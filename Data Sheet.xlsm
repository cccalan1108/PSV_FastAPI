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FORM" sheetId="1" r:id="rId5"/>
  </sheets>
  <definedNames/>
  <calcPr/>
  <extLst>
    <ext uri="GoogleSheetsCustomDataVersion2">
      <go:sheetsCustomData xmlns:go="http://customooxmlschemas.google.com/" r:id="rId6" roundtripDataChecksum="KkP2/rip380LbI69Akgi/rzee7dfli4AV3njeu0f2Sc="/>
    </ext>
  </extLst>
</workbook>
</file>

<file path=xl/sharedStrings.xml><?xml version="1.0" encoding="utf-8"?>
<sst xmlns="http://schemas.openxmlformats.org/spreadsheetml/2006/main" count="1830" uniqueCount="237">
  <si>
    <t xml:space="preserve">                                                                                                                           INSTRUMENT DATA  </t>
  </si>
  <si>
    <t>REV</t>
  </si>
  <si>
    <t>DATE</t>
  </si>
  <si>
    <t>BY</t>
  </si>
  <si>
    <t>MKH</t>
  </si>
  <si>
    <t xml:space="preserve">                                                                                                                        SUMMARY SHEET</t>
  </si>
  <si>
    <t>SI</t>
  </si>
  <si>
    <r>
      <rPr>
        <rFont val="Arial"/>
        <b/>
        <color theme="1"/>
        <sz val="20.0"/>
        <u/>
      </rPr>
      <t xml:space="preserve">                                                              </t>
    </r>
    <r>
      <rPr>
        <rFont val="Arial"/>
        <b/>
        <color theme="1"/>
        <sz val="20.0"/>
        <u/>
      </rPr>
      <t xml:space="preserve">PSV INSTRUMENTS </t>
    </r>
  </si>
  <si>
    <t>US</t>
  </si>
  <si>
    <t>None</t>
  </si>
  <si>
    <t xml:space="preserve">PROJ. NO.    </t>
  </si>
  <si>
    <t xml:space="preserve">SHEET NO. </t>
  </si>
  <si>
    <t>OF</t>
  </si>
  <si>
    <t>CHECK</t>
  </si>
  <si>
    <t>APPROVE</t>
  </si>
  <si>
    <t>Tag No.           /Flow Sheet No.</t>
  </si>
  <si>
    <t xml:space="preserve">Location     </t>
  </si>
  <si>
    <t>Relief Condition</t>
  </si>
  <si>
    <t>Phase  /Fluid</t>
  </si>
  <si>
    <t>Flow Rate</t>
  </si>
  <si>
    <t>Nor. Pressure</t>
  </si>
  <si>
    <t>Mechanical
Design Pressure or      M.A.W.P.</t>
  </si>
  <si>
    <t>Set Pressure</t>
  </si>
  <si>
    <t>Const. / Variable
Superimposed Back Press.</t>
  </si>
  <si>
    <t>Build-up Back Press.</t>
  </si>
  <si>
    <t>Flare System / Type PSV</t>
  </si>
  <si>
    <t>Accumu-lation %</t>
  </si>
  <si>
    <t>Nor. Temp.</t>
  </si>
  <si>
    <t>Mechanical
Design Temp.</t>
  </si>
  <si>
    <t>Relief Temp.</t>
  </si>
  <si>
    <t>Visc.</t>
  </si>
  <si>
    <t>M.W. / Sp.Gr.</t>
  </si>
  <si>
    <t>Gas Z/ Cp/Cv</t>
  </si>
  <si>
    <t>Rev. No.</t>
  </si>
  <si>
    <t>Remark</t>
  </si>
  <si>
    <t>PSV-110</t>
  </si>
  <si>
    <t>V-110</t>
  </si>
  <si>
    <t>External Fire</t>
  </si>
  <si>
    <t>VAPOR</t>
  </si>
  <si>
    <t>50.8 / F.V.</t>
  </si>
  <si>
    <t>5 / 11.2</t>
  </si>
  <si>
    <t>HVG</t>
  </si>
  <si>
    <t>0Ca</t>
  </si>
  <si>
    <t>1. With rupture disk PSE-110</t>
  </si>
  <si>
    <t>PI-1-0001A</t>
  </si>
  <si>
    <t>HEPTANE</t>
  </si>
  <si>
    <t>lb/hr</t>
  </si>
  <si>
    <t>psig</t>
  </si>
  <si>
    <t>psi</t>
  </si>
  <si>
    <t>B</t>
  </si>
  <si>
    <t>℉</t>
  </si>
  <si>
    <t>cp</t>
  </si>
  <si>
    <t>-</t>
  </si>
  <si>
    <t>Instrument Air Failure</t>
  </si>
  <si>
    <t>LIQUID</t>
  </si>
  <si>
    <t>Closed Outlet</t>
  </si>
  <si>
    <t>CV Failure 
(Open)</t>
  </si>
  <si>
    <t>CV Failure 
(Close)</t>
  </si>
  <si>
    <t>Abnormal Pressure Input</t>
  </si>
  <si>
    <t>1. With rupture disk PSE-110
2. Control valve CV value to be confirmed by Vendor.</t>
  </si>
  <si>
    <t>UPN</t>
  </si>
  <si>
    <t>Liquid Over Fill</t>
  </si>
  <si>
    <t>PSV-118</t>
  </si>
  <si>
    <t>UPN-6-701</t>
  </si>
  <si>
    <t>0 / 0</t>
  </si>
  <si>
    <t>ATM</t>
  </si>
  <si>
    <t>1. Control valve CV value to be confirmed by Vendor.</t>
  </si>
  <si>
    <t>C</t>
  </si>
  <si>
    <t>PSV-113</t>
  </si>
  <si>
    <t>MCR-1-111</t>
  </si>
  <si>
    <t>3.63 / 0</t>
  </si>
  <si>
    <t>MCR-1-110</t>
  </si>
  <si>
    <t>0B</t>
  </si>
  <si>
    <t>PI-1-0001B</t>
  </si>
  <si>
    <t>PSV-120</t>
  </si>
  <si>
    <t>V-120</t>
  </si>
  <si>
    <t>1. With rupture disk PSE-120</t>
  </si>
  <si>
    <t>PI-1-0002A</t>
  </si>
  <si>
    <t>1. With rupture disk PSE-120
2. Control valve CV value to be confirmed by Vendor.</t>
  </si>
  <si>
    <t>PSV-123</t>
  </si>
  <si>
    <t>MPY-1-131</t>
  </si>
  <si>
    <t>MPY-1-130</t>
  </si>
  <si>
    <t>PI-1-0002B</t>
  </si>
  <si>
    <t>PSV-130</t>
  </si>
  <si>
    <t>V-130</t>
  </si>
  <si>
    <t>1. With rupture disk PSE-130</t>
  </si>
  <si>
    <t>PI-1-0003A</t>
  </si>
  <si>
    <t>1. With rupture disk PSE-130
2. Control valve CV value to be confirmed by Vendor.</t>
  </si>
  <si>
    <t>PSV-133</t>
  </si>
  <si>
    <t>HCE-1-150</t>
  </si>
  <si>
    <t>HCE-1-146</t>
  </si>
  <si>
    <t>PI-1-0003B</t>
  </si>
  <si>
    <t>HCE</t>
  </si>
  <si>
    <t>PSV-140</t>
  </si>
  <si>
    <t>V-140</t>
  </si>
  <si>
    <t>V-142</t>
  </si>
  <si>
    <t>1. With rupture disk PSE-140</t>
  </si>
  <si>
    <t>PI-1-0004A</t>
  </si>
  <si>
    <t>1. With rupture disk PSE-140
2. Control valve CV value to be confirmed by Vendor.</t>
  </si>
  <si>
    <t>PSV-143</t>
  </si>
  <si>
    <t>TEA-1-171</t>
  </si>
  <si>
    <t>TEA-1-170</t>
  </si>
  <si>
    <t>PI-1-0004B</t>
  </si>
  <si>
    <t>TEA</t>
  </si>
  <si>
    <t>PSV-150-1</t>
  </si>
  <si>
    <t>UPN-6-707</t>
  </si>
  <si>
    <t>PI-1-0005A</t>
  </si>
  <si>
    <t>PSV-151</t>
  </si>
  <si>
    <t>V-151</t>
  </si>
  <si>
    <t>1. With rupture disk PSE-151</t>
  </si>
  <si>
    <t>PI-1-0005C</t>
  </si>
  <si>
    <t>2EH</t>
  </si>
  <si>
    <t>1. With rupture disk PSE-151
2. Control valve CV value to be confirmed by Vendor.</t>
  </si>
  <si>
    <t>PSV-153</t>
  </si>
  <si>
    <t>2EH-1-189</t>
  </si>
  <si>
    <t>3.6 / 9.7</t>
  </si>
  <si>
    <t>2EH-1-188</t>
  </si>
  <si>
    <t>PSV-200</t>
  </si>
  <si>
    <t>R-200</t>
  </si>
  <si>
    <t>Supercritical</t>
  </si>
  <si>
    <t>1. With rupture disk PSE-200</t>
  </si>
  <si>
    <t>PI-2-0002A</t>
  </si>
  <si>
    <t>Cooling 
Water Failure</t>
  </si>
  <si>
    <t>CYG</t>
  </si>
  <si>
    <t>1. With rupture disk PSE-200
2. Control valve CV value to be confirmed by Vendor.</t>
  </si>
  <si>
    <t>Liquid 
Over Fill</t>
  </si>
  <si>
    <t>PSV-202A</t>
  </si>
  <si>
    <t>HWR-2-592A</t>
  </si>
  <si>
    <t>Tube rupture</t>
  </si>
  <si>
    <t>1. With rupture disk PSE-202A</t>
  </si>
  <si>
    <t>PI-2-0003</t>
  </si>
  <si>
    <t>ETHYLENE</t>
  </si>
  <si>
    <t>PSV-202B</t>
  </si>
  <si>
    <t>HWR-2-592B</t>
  </si>
  <si>
    <t>1. With rupture disk PSE-202B</t>
  </si>
  <si>
    <t>PI-2-0004A</t>
  </si>
  <si>
    <t>PSV-210</t>
  </si>
  <si>
    <t>V-210</t>
  </si>
  <si>
    <t>0C</t>
  </si>
  <si>
    <t>1. With rupture disk PSE-210</t>
  </si>
  <si>
    <t>PI-2-0006A</t>
  </si>
  <si>
    <t>PET</t>
  </si>
  <si>
    <t>Reflux 
Failure</t>
  </si>
  <si>
    <t>L / V</t>
  </si>
  <si>
    <t>1. With rupture disk PSE-210
2. Control valve CV value to be confirmed by Vendor.</t>
  </si>
  <si>
    <t>PSV-212</t>
  </si>
  <si>
    <t>CWR-2-512</t>
  </si>
  <si>
    <t>1. With rupture disk PSE-212</t>
  </si>
  <si>
    <t>PSV-216</t>
  </si>
  <si>
    <t>E-216</t>
  </si>
  <si>
    <t>1. With rupture disk PSE-216</t>
  </si>
  <si>
    <t>PI-2-0006B</t>
  </si>
  <si>
    <t>PSV-220A/B</t>
  </si>
  <si>
    <t>C-220</t>
  </si>
  <si>
    <t>103 / F.V.</t>
  </si>
  <si>
    <t>1. With rupture 
disk PSE-220A/B</t>
  </si>
  <si>
    <t>PI-2-0007A</t>
  </si>
  <si>
    <t>RET</t>
  </si>
  <si>
    <t>STEAM</t>
  </si>
  <si>
    <t>MPS</t>
  </si>
  <si>
    <t>1. With rupture 
disk PSE-220A/B
2. Control valve CV value to be confirmed by Vendor.</t>
  </si>
  <si>
    <t>Abnormal 
Pressure Input</t>
  </si>
  <si>
    <t>PSV-226</t>
  </si>
  <si>
    <t>RET-2-154</t>
  </si>
  <si>
    <t>PI-2-0008</t>
  </si>
  <si>
    <t>PSV-255</t>
  </si>
  <si>
    <t>ETH-2-131</t>
  </si>
  <si>
    <t>Instrument 
Air Failure</t>
  </si>
  <si>
    <t>1. With rupture disk PSE-255</t>
  </si>
  <si>
    <t>PI-2-0001</t>
  </si>
  <si>
    <t>ETH</t>
  </si>
  <si>
    <r>
      <rPr>
        <rFont val="Arial"/>
        <strike/>
        <color theme="1"/>
        <sz val="10.0"/>
      </rPr>
      <t xml:space="preserve">1. With rupture disk PSE-255
</t>
    </r>
    <r>
      <rPr>
        <rFont val="Arial"/>
        <strike val="0"/>
        <color theme="1"/>
        <sz val="10.0"/>
      </rPr>
      <t>1. Control valve CV value to be confirmed by Vendor.</t>
    </r>
  </si>
  <si>
    <t>PSV-310A/B</t>
  </si>
  <si>
    <t>C-310</t>
  </si>
  <si>
    <t>1. With rupture disk PSE-310A/B</t>
  </si>
  <si>
    <t>PI-3-0001A</t>
  </si>
  <si>
    <t>RHX</t>
  </si>
  <si>
    <t>CW</t>
  </si>
  <si>
    <t>1. With rupture disk PSE-310A/B
2. Control valve CV value to be confirmed by Vendor.</t>
  </si>
  <si>
    <t>PSV-320</t>
  </si>
  <si>
    <t>C-320</t>
  </si>
  <si>
    <t>1. With rupture disk PSE-320</t>
  </si>
  <si>
    <t>PI-3-0002A</t>
  </si>
  <si>
    <t>HEX</t>
  </si>
  <si>
    <t>0A</t>
  </si>
  <si>
    <t>LPS</t>
  </si>
  <si>
    <r>
      <rPr>
        <rFont val="Arial"/>
        <color theme="1"/>
        <sz val="10.0"/>
      </rPr>
      <t xml:space="preserve">1. With rupture disk </t>
    </r>
    <r>
      <rPr>
        <rFont val="Arial"/>
        <color rgb="FFFF0000"/>
        <sz val="10.0"/>
      </rPr>
      <t>PSE-320A/B</t>
    </r>
    <r>
      <rPr>
        <rFont val="Arial"/>
        <color theme="1"/>
        <sz val="10.0"/>
      </rPr>
      <t xml:space="preserve">
2. Control valve CV value to be confirmed by Vendor.</t>
    </r>
  </si>
  <si>
    <t>PSV-331</t>
  </si>
  <si>
    <t>HPT-3-112</t>
  </si>
  <si>
    <t>1.02 / 0</t>
  </si>
  <si>
    <t>1. With rupture disk PSE-331</t>
  </si>
  <si>
    <t>PI-3-0002C</t>
  </si>
  <si>
    <t>HPT</t>
  </si>
  <si>
    <r>
      <rPr>
        <rFont val="Arial"/>
        <b/>
        <color theme="1"/>
        <sz val="10.0"/>
      </rPr>
      <t>℉</t>
    </r>
  </si>
  <si>
    <t>PSV-336</t>
  </si>
  <si>
    <t>HPT-3-120</t>
  </si>
  <si>
    <t>1. With rupture disk PSE-336</t>
  </si>
  <si>
    <r>
      <rPr>
        <rFont val="Arial"/>
        <b/>
        <color theme="1"/>
        <sz val="10.0"/>
      </rPr>
      <t>℉</t>
    </r>
  </si>
  <si>
    <t>PSV-342</t>
  </si>
  <si>
    <t>HPT-2-171</t>
  </si>
  <si>
    <t>Thermal 
Expanion</t>
  </si>
  <si>
    <t>1. With rupture disk PSE-342</t>
  </si>
  <si>
    <t>PI-3-0003B</t>
  </si>
  <si>
    <t>PSV-342-1</t>
  </si>
  <si>
    <t>E-342</t>
  </si>
  <si>
    <t>203.1 / F.V.</t>
  </si>
  <si>
    <t>1. With rupture disk PSE-342-1</t>
  </si>
  <si>
    <t>PSV-346</t>
  </si>
  <si>
    <t>HPT-2-012</t>
  </si>
  <si>
    <t>1. With rupture disk PSE-346</t>
  </si>
  <si>
    <t>PSV-346-1</t>
  </si>
  <si>
    <t>E-346</t>
  </si>
  <si>
    <t>1. With rupture disk PSE-346-1</t>
  </si>
  <si>
    <t>PSV-438</t>
  </si>
  <si>
    <t>C-438</t>
  </si>
  <si>
    <t>1. With rupture disk PSE-438
2. Updated per C-438 Vendor info.</t>
  </si>
  <si>
    <t>PI-4-0006B</t>
  </si>
  <si>
    <r>
      <rPr>
        <rFont val="Arial"/>
        <b/>
        <color theme="1"/>
        <sz val="10.0"/>
      </rPr>
      <t>℉</t>
    </r>
  </si>
  <si>
    <t>Nitrogen</t>
  </si>
  <si>
    <r>
      <rPr>
        <rFont val="Arial"/>
        <b/>
        <color theme="1"/>
        <sz val="10.0"/>
      </rPr>
      <t>℉</t>
    </r>
  </si>
  <si>
    <t>PSV-439-1</t>
  </si>
  <si>
    <t>UPN-4-764</t>
  </si>
  <si>
    <t>PI-4-0006A</t>
  </si>
  <si>
    <t>PSV-531</t>
  </si>
  <si>
    <t>V-531</t>
  </si>
  <si>
    <t>1. With rupture disk PSE-531</t>
  </si>
  <si>
    <t>PI-5-0001</t>
  </si>
  <si>
    <t>PSV-532</t>
  </si>
  <si>
    <t>V-532</t>
  </si>
  <si>
    <t>1. With rupture disk PSE-532</t>
  </si>
  <si>
    <t>PI-5-0002</t>
  </si>
  <si>
    <t>PSV-592</t>
  </si>
  <si>
    <t>V-592</t>
  </si>
  <si>
    <t>0</t>
  </si>
  <si>
    <t>392 / -76</t>
  </si>
  <si>
    <t>1. With rupture disk PSE-592</t>
  </si>
  <si>
    <t>PI-5-0005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</si>
</sst>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00"/>
    <numFmt numFmtId="165" formatCode="0.0"/>
  </numFmts>
  <fonts count="17">
    <font>
      <sz val="12.0"/>
      <color rgb="FF000000"/>
      <name val="Calibri"/>
      <scheme val="minor"/>
    </font>
    <font>
      <b/>
      <sz val="10.0"/>
      <color theme="1"/>
      <name val="Arial"/>
    </font>
    <font>
      <sz val="12.0"/>
      <color theme="1"/>
      <name val="PMingLiu"/>
    </font>
    <font/>
    <font>
      <sz val="10.0"/>
      <color theme="1"/>
      <name val="Arial"/>
    </font>
    <font>
      <b/>
      <u/>
      <sz val="20.0"/>
      <color theme="1"/>
      <name val="Arial"/>
    </font>
    <font>
      <b/>
      <sz val="14.0"/>
      <color theme="1"/>
      <name val="Arial"/>
    </font>
    <font>
      <b/>
      <sz val="12.0"/>
      <color theme="1"/>
      <name val="Arial"/>
    </font>
    <font>
      <sz val="12.0"/>
      <color theme="1"/>
      <name val="Arial"/>
    </font>
    <font>
      <b/>
      <sz val="9.0"/>
      <color theme="1"/>
      <name val="Arial"/>
    </font>
    <font>
      <sz val="10.0"/>
      <color rgb="FFFF0000"/>
      <name val="Arial"/>
    </font>
    <font>
      <b/>
      <sz val="12.0"/>
      <color rgb="FFFF0000"/>
      <name val="Arial"/>
    </font>
    <font>
      <sz val="8.0"/>
      <color rgb="FFFF0000"/>
      <name val="Arial"/>
    </font>
    <font>
      <sz val="9.0"/>
      <color theme="1"/>
      <name val="Arial"/>
    </font>
    <font>
      <strike/>
      <sz val="10.0"/>
      <color theme="1"/>
      <name val="Arial"/>
    </font>
    <font>
      <b/>
      <strike/>
      <sz val="12.0"/>
      <color theme="1"/>
      <name val="Arial"/>
    </font>
    <font>
      <b/>
      <strike/>
      <sz val="10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</fills>
  <borders count="37">
    <border/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</border>
    <border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0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2" numFmtId="0" xfId="0" applyFont="1"/>
    <xf borderId="1" fillId="0" fontId="1" numFmtId="0" xfId="0" applyAlignment="1" applyBorder="1" applyFont="1">
      <alignment horizontal="center" vertical="center"/>
    </xf>
    <xf borderId="2" fillId="0" fontId="1" numFmtId="0" xfId="0" applyAlignment="1" applyBorder="1" applyFont="1">
      <alignment horizontal="center" vertical="center"/>
    </xf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0" fillId="0" fontId="2" numFmtId="0" xfId="0" applyAlignment="1" applyFont="1">
      <alignment horizontal="center"/>
    </xf>
    <xf borderId="6" fillId="0" fontId="4" numFmtId="49" xfId="0" applyAlignment="1" applyBorder="1" applyFont="1" applyNumberFormat="1">
      <alignment horizontal="center" vertical="center"/>
    </xf>
    <xf borderId="7" fillId="0" fontId="4" numFmtId="0" xfId="0" applyAlignment="1" applyBorder="1" applyFont="1">
      <alignment horizontal="center" vertical="center"/>
    </xf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0" fillId="0" fontId="5" numFmtId="0" xfId="0" applyAlignment="1" applyFont="1">
      <alignment horizontal="center" vertical="center"/>
    </xf>
    <xf borderId="0" fillId="0" fontId="6" numFmtId="0" xfId="0" applyAlignment="1" applyFont="1">
      <alignment horizontal="left"/>
    </xf>
    <xf borderId="11" fillId="0" fontId="7" numFmtId="11" xfId="0" applyAlignment="1" applyBorder="1" applyFont="1" applyNumberFormat="1">
      <alignment horizontal="left"/>
    </xf>
    <xf borderId="11" fillId="0" fontId="3" numFmtId="0" xfId="0" applyBorder="1" applyFont="1"/>
    <xf borderId="0" fillId="0" fontId="2" numFmtId="0" xfId="0" applyAlignment="1" applyFon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8" numFmtId="0" xfId="0" applyAlignment="1" applyFont="1">
      <alignment horizontal="center" shrinkToFit="0" vertical="center" wrapText="1"/>
    </xf>
    <xf borderId="12" fillId="0" fontId="4" numFmtId="49" xfId="0" applyAlignment="1" applyBorder="1" applyFont="1" applyNumberFormat="1">
      <alignment horizontal="center" vertical="center"/>
    </xf>
    <xf borderId="13" fillId="0" fontId="4" numFmtId="0" xfId="0" applyAlignment="1" applyBorder="1" applyFont="1">
      <alignment horizontal="center" vertical="center"/>
    </xf>
    <xf borderId="14" fillId="0" fontId="3" numFmtId="0" xfId="0" applyBorder="1" applyFont="1"/>
    <xf borderId="15" fillId="0" fontId="3" numFmtId="0" xfId="0" applyBorder="1" applyFont="1"/>
    <xf borderId="16" fillId="0" fontId="3" numFmtId="0" xfId="0" applyBorder="1" applyFont="1"/>
    <xf borderId="0" fillId="0" fontId="7" numFmtId="0" xfId="0" applyAlignment="1" applyFont="1">
      <alignment horizontal="right"/>
    </xf>
    <xf borderId="0" fillId="0" fontId="8" numFmtId="0" xfId="0" applyAlignment="1" applyFont="1">
      <alignment horizontal="center"/>
    </xf>
    <xf borderId="0" fillId="0" fontId="6" numFmtId="0" xfId="0" applyFont="1"/>
    <xf borderId="9" fillId="0" fontId="7" numFmtId="0" xfId="0" applyAlignment="1" applyBorder="1" applyFont="1">
      <alignment horizontal="center"/>
    </xf>
    <xf borderId="0" fillId="0" fontId="6" numFmtId="0" xfId="0" applyAlignment="1" applyFont="1">
      <alignment horizontal="center"/>
    </xf>
    <xf borderId="9" fillId="0" fontId="2" numFmtId="0" xfId="0" applyAlignment="1" applyBorder="1" applyFont="1">
      <alignment horizontal="center"/>
    </xf>
    <xf borderId="17" fillId="0" fontId="1" numFmtId="0" xfId="0" applyAlignment="1" applyBorder="1" applyFont="1">
      <alignment horizontal="center" vertical="center"/>
    </xf>
    <xf borderId="0" fillId="0" fontId="7" numFmtId="0" xfId="0" applyAlignment="1" applyFont="1">
      <alignment horizontal="center"/>
    </xf>
    <xf borderId="18" fillId="0" fontId="4" numFmtId="0" xfId="0" applyAlignment="1" applyBorder="1" applyFont="1">
      <alignment horizontal="center" vertical="center"/>
    </xf>
    <xf borderId="15" fillId="0" fontId="4" numFmtId="0" xfId="0" applyAlignment="1" applyBorder="1" applyFont="1">
      <alignment horizontal="center" vertical="center"/>
    </xf>
    <xf borderId="19" fillId="0" fontId="1" numFmtId="0" xfId="0" applyAlignment="1" applyBorder="1" applyFont="1">
      <alignment horizontal="center" shrinkToFit="0" vertical="center" wrapText="1"/>
    </xf>
    <xf borderId="20" fillId="0" fontId="3" numFmtId="0" xfId="0" applyBorder="1" applyFont="1"/>
    <xf borderId="21" fillId="0" fontId="3" numFmtId="0" xfId="0" applyBorder="1" applyFont="1"/>
    <xf borderId="22" fillId="0" fontId="1" numFmtId="0" xfId="0" applyAlignment="1" applyBorder="1" applyFont="1">
      <alignment horizontal="center" shrinkToFit="0" vertical="center" wrapText="1"/>
    </xf>
    <xf borderId="23" fillId="0" fontId="1" numFmtId="0" xfId="0" applyAlignment="1" applyBorder="1" applyFont="1">
      <alignment horizontal="center" shrinkToFit="0" vertical="center" wrapText="1"/>
    </xf>
    <xf borderId="23" fillId="0" fontId="9" numFmtId="0" xfId="0" applyAlignment="1" applyBorder="1" applyFont="1">
      <alignment horizontal="center" shrinkToFit="0" vertical="center" wrapText="1"/>
    </xf>
    <xf borderId="22" fillId="0" fontId="7" numFmtId="0" xfId="0" applyAlignment="1" applyBorder="1" applyFont="1">
      <alignment horizontal="center" shrinkToFit="0" vertical="center" wrapText="1"/>
    </xf>
    <xf borderId="24" fillId="0" fontId="3" numFmtId="0" xfId="0" applyBorder="1" applyFont="1"/>
    <xf borderId="17" fillId="0" fontId="4" numFmtId="49" xfId="0" applyAlignment="1" applyBorder="1" applyFont="1" applyNumberFormat="1">
      <alignment horizontal="center" vertical="center"/>
    </xf>
    <xf borderId="25" fillId="0" fontId="4" numFmtId="49" xfId="0" applyAlignment="1" applyBorder="1" applyFont="1" applyNumberFormat="1">
      <alignment horizontal="center" vertical="center"/>
    </xf>
    <xf borderId="25" fillId="0" fontId="3" numFmtId="0" xfId="0" applyBorder="1" applyFont="1"/>
    <xf borderId="26" fillId="0" fontId="3" numFmtId="0" xfId="0" applyBorder="1" applyFont="1"/>
    <xf borderId="27" fillId="0" fontId="4" numFmtId="0" xfId="0" applyAlignment="1" applyBorder="1" applyFont="1">
      <alignment horizontal="center" shrinkToFit="0" vertical="center" wrapText="1"/>
    </xf>
    <xf borderId="28" fillId="0" fontId="4" numFmtId="0" xfId="0" applyAlignment="1" applyBorder="1" applyFont="1">
      <alignment horizontal="center" vertical="center"/>
    </xf>
    <xf borderId="28" fillId="2" fontId="10" numFmtId="0" xfId="0" applyAlignment="1" applyBorder="1" applyFill="1" applyFont="1">
      <alignment horizontal="center" readingOrder="0" shrinkToFit="0" vertical="center" wrapText="1"/>
    </xf>
    <xf borderId="28" fillId="0" fontId="4" numFmtId="0" xfId="0" applyAlignment="1" applyBorder="1" applyFont="1">
      <alignment horizontal="center" shrinkToFit="0" vertical="center" wrapText="1"/>
    </xf>
    <xf borderId="29" fillId="0" fontId="4" numFmtId="0" xfId="0" applyAlignment="1" applyBorder="1" applyFont="1">
      <alignment horizontal="center" vertical="center"/>
    </xf>
    <xf borderId="28" fillId="2" fontId="10" numFmtId="0" xfId="0" applyAlignment="1" applyBorder="1" applyFont="1">
      <alignment horizontal="center" vertical="center"/>
    </xf>
    <xf borderId="28" fillId="0" fontId="4" numFmtId="164" xfId="0" applyAlignment="1" applyBorder="1" applyFont="1" applyNumberFormat="1">
      <alignment horizontal="center" vertical="center"/>
    </xf>
    <xf borderId="27" fillId="2" fontId="11" numFmtId="0" xfId="0" applyAlignment="1" applyBorder="1" applyFont="1">
      <alignment horizontal="center" vertical="center"/>
    </xf>
    <xf borderId="27" fillId="0" fontId="4" numFmtId="0" xfId="0" applyAlignment="1" applyBorder="1" applyFont="1">
      <alignment horizontal="left" shrinkToFit="0" vertical="top" wrapText="1"/>
    </xf>
    <xf borderId="30" fillId="0" fontId="3" numFmtId="0" xfId="0" applyBorder="1" applyFont="1"/>
    <xf borderId="31" fillId="0" fontId="3" numFmtId="0" xfId="0" applyBorder="1" applyFont="1"/>
    <xf borderId="32" fillId="0" fontId="3" numFmtId="0" xfId="0" applyBorder="1" applyFont="1"/>
    <xf borderId="33" fillId="0" fontId="3" numFmtId="0" xfId="0" applyBorder="1" applyFont="1"/>
    <xf borderId="34" fillId="0" fontId="4" numFmtId="0" xfId="0" applyAlignment="1" applyBorder="1" applyFont="1">
      <alignment horizontal="center" vertical="center"/>
    </xf>
    <xf borderId="34" fillId="0" fontId="4" numFmtId="0" xfId="0" applyAlignment="1" applyBorder="1" applyFont="1">
      <alignment horizontal="center" shrinkToFit="0" vertical="center" wrapText="1"/>
    </xf>
    <xf borderId="13" fillId="0" fontId="4" numFmtId="0" xfId="0" applyAlignment="1" applyBorder="1" applyFont="1">
      <alignment horizontal="center" shrinkToFit="0" vertical="center" wrapText="1"/>
    </xf>
    <xf borderId="34" fillId="0" fontId="4" numFmtId="49" xfId="0" applyAlignment="1" applyBorder="1" applyFont="1" applyNumberFormat="1">
      <alignment horizontal="center" vertical="center"/>
    </xf>
    <xf borderId="35" fillId="0" fontId="3" numFmtId="0" xfId="0" applyBorder="1" applyFont="1"/>
    <xf borderId="13" fillId="0" fontId="1" numFmtId="0" xfId="0" applyAlignment="1" applyBorder="1" applyFont="1">
      <alignment horizontal="center" vertical="center"/>
    </xf>
    <xf borderId="36" fillId="0" fontId="3" numFmtId="0" xfId="0" applyBorder="1" applyFont="1"/>
    <xf borderId="34" fillId="2" fontId="10" numFmtId="0" xfId="0" applyAlignment="1" applyBorder="1" applyFont="1">
      <alignment horizontal="center" vertical="center"/>
    </xf>
    <xf borderId="28" fillId="2" fontId="10" numFmtId="0" xfId="0" applyAlignment="1" applyBorder="1" applyFont="1">
      <alignment horizontal="center" shrinkToFit="0" vertical="center" wrapText="1"/>
    </xf>
    <xf borderId="28" fillId="0" fontId="4" numFmtId="2" xfId="0" applyAlignment="1" applyBorder="1" applyFont="1" applyNumberFormat="1">
      <alignment horizontal="center" vertical="center"/>
    </xf>
    <xf borderId="34" fillId="0" fontId="4" numFmtId="2" xfId="0" applyAlignment="1" applyBorder="1" applyFont="1" applyNumberFormat="1">
      <alignment horizontal="center" vertical="center"/>
    </xf>
    <xf quotePrefix="1" borderId="28" fillId="0" fontId="4" numFmtId="0" xfId="0" applyAlignment="1" applyBorder="1" applyFont="1">
      <alignment horizontal="center" vertical="center"/>
    </xf>
    <xf borderId="27" fillId="0" fontId="7" numFmtId="0" xfId="0" applyAlignment="1" applyBorder="1" applyFont="1">
      <alignment horizontal="center" vertical="center"/>
    </xf>
    <xf borderId="27" fillId="0" fontId="4" numFmtId="49" xfId="0" applyAlignment="1" applyBorder="1" applyFont="1" applyNumberFormat="1">
      <alignment horizontal="center" vertical="center"/>
    </xf>
    <xf borderId="28" fillId="2" fontId="10" numFmtId="164" xfId="0" applyAlignment="1" applyBorder="1" applyFont="1" applyNumberFormat="1">
      <alignment horizontal="center" vertical="center"/>
    </xf>
    <xf borderId="34" fillId="2" fontId="10" numFmtId="49" xfId="0" applyAlignment="1" applyBorder="1" applyFont="1" applyNumberFormat="1">
      <alignment horizontal="center" vertical="center"/>
    </xf>
    <xf borderId="28" fillId="0" fontId="4" numFmtId="165" xfId="0" applyAlignment="1" applyBorder="1" applyFont="1" applyNumberFormat="1">
      <alignment horizontal="center" vertical="center"/>
    </xf>
    <xf borderId="28" fillId="0" fontId="4" numFmtId="165" xfId="0" applyAlignment="1" applyBorder="1" applyFont="1" applyNumberFormat="1">
      <alignment horizontal="center" shrinkToFit="0" vertical="center" wrapText="1"/>
    </xf>
    <xf borderId="28" fillId="2" fontId="12" numFmtId="0" xfId="0" applyAlignment="1" applyBorder="1" applyFont="1">
      <alignment horizontal="center" vertical="center"/>
    </xf>
    <xf borderId="27" fillId="0" fontId="4" numFmtId="0" xfId="0" applyAlignment="1" applyBorder="1" applyFont="1">
      <alignment horizontal="center" vertical="center"/>
    </xf>
    <xf borderId="34" fillId="0" fontId="13" numFmtId="0" xfId="0" applyAlignment="1" applyBorder="1" applyFont="1">
      <alignment horizontal="center" vertical="center"/>
    </xf>
    <xf borderId="28" fillId="3" fontId="4" numFmtId="0" xfId="0" applyAlignment="1" applyBorder="1" applyFill="1" applyFont="1">
      <alignment horizontal="center" vertical="center"/>
    </xf>
    <xf borderId="27" fillId="3" fontId="7" numFmtId="0" xfId="0" applyAlignment="1" applyBorder="1" applyFont="1">
      <alignment horizontal="center" vertical="center"/>
    </xf>
    <xf borderId="34" fillId="2" fontId="10" numFmtId="2" xfId="0" applyAlignment="1" applyBorder="1" applyFont="1" applyNumberFormat="1">
      <alignment horizontal="center" vertical="center"/>
    </xf>
    <xf borderId="28" fillId="2" fontId="10" numFmtId="2" xfId="0" applyAlignment="1" applyBorder="1" applyFont="1" applyNumberFormat="1">
      <alignment horizontal="center" vertical="center"/>
    </xf>
    <xf quotePrefix="1" borderId="34" fillId="0" fontId="4" numFmtId="0" xfId="0" applyAlignment="1" applyBorder="1" applyFont="1">
      <alignment horizontal="center" vertical="center"/>
    </xf>
    <xf borderId="27" fillId="0" fontId="14" numFmtId="0" xfId="0" applyAlignment="1" applyBorder="1" applyFont="1">
      <alignment horizontal="left" shrinkToFit="0" vertical="top" wrapText="1"/>
    </xf>
    <xf borderId="27" fillId="2" fontId="4" numFmtId="0" xfId="0" applyAlignment="1" applyBorder="1" applyFont="1">
      <alignment horizontal="left" shrinkToFit="0" vertical="top" wrapText="1"/>
    </xf>
    <xf borderId="28" fillId="0" fontId="13" numFmtId="0" xfId="0" applyAlignment="1" applyBorder="1" applyFont="1">
      <alignment horizontal="center" vertical="center"/>
    </xf>
    <xf borderId="17" fillId="0" fontId="14" numFmtId="49" xfId="0" applyAlignment="1" applyBorder="1" applyFont="1" applyNumberFormat="1">
      <alignment horizontal="center" vertical="center"/>
    </xf>
    <xf borderId="25" fillId="0" fontId="14" numFmtId="49" xfId="0" applyAlignment="1" applyBorder="1" applyFont="1" applyNumberFormat="1">
      <alignment horizontal="center" vertical="center"/>
    </xf>
    <xf borderId="27" fillId="0" fontId="14" numFmtId="0" xfId="0" applyAlignment="1" applyBorder="1" applyFont="1">
      <alignment horizontal="center" shrinkToFit="0" vertical="center" wrapText="1"/>
    </xf>
    <xf borderId="28" fillId="0" fontId="14" numFmtId="0" xfId="0" applyAlignment="1" applyBorder="1" applyFont="1">
      <alignment horizontal="center" vertical="center"/>
    </xf>
    <xf borderId="28" fillId="0" fontId="14" numFmtId="0" xfId="0" applyAlignment="1" applyBorder="1" applyFont="1">
      <alignment horizontal="center" shrinkToFit="0" vertical="center" wrapText="1"/>
    </xf>
    <xf quotePrefix="1" borderId="28" fillId="0" fontId="14" numFmtId="0" xfId="0" applyAlignment="1" applyBorder="1" applyFont="1">
      <alignment horizontal="center" vertical="center"/>
    </xf>
    <xf borderId="29" fillId="0" fontId="14" numFmtId="0" xfId="0" applyAlignment="1" applyBorder="1" applyFont="1">
      <alignment horizontal="center" vertical="center"/>
    </xf>
    <xf borderId="28" fillId="0" fontId="14" numFmtId="164" xfId="0" applyAlignment="1" applyBorder="1" applyFont="1" applyNumberFormat="1">
      <alignment horizontal="center" vertical="center"/>
    </xf>
    <xf borderId="28" fillId="0" fontId="14" numFmtId="2" xfId="0" applyAlignment="1" applyBorder="1" applyFont="1" applyNumberFormat="1">
      <alignment horizontal="center" vertical="center"/>
    </xf>
    <xf borderId="27" fillId="0" fontId="15" numFmtId="0" xfId="0" applyAlignment="1" applyBorder="1" applyFont="1">
      <alignment horizontal="center" vertical="center"/>
    </xf>
    <xf borderId="18" fillId="0" fontId="14" numFmtId="0" xfId="0" applyAlignment="1" applyBorder="1" applyFont="1">
      <alignment horizontal="center" vertical="center"/>
    </xf>
    <xf borderId="34" fillId="0" fontId="14" numFmtId="0" xfId="0" applyAlignment="1" applyBorder="1" applyFont="1">
      <alignment horizontal="center" vertical="center"/>
    </xf>
    <xf borderId="34" fillId="0" fontId="14" numFmtId="0" xfId="0" applyAlignment="1" applyBorder="1" applyFont="1">
      <alignment horizontal="center" shrinkToFit="0" vertical="center" wrapText="1"/>
    </xf>
    <xf borderId="13" fillId="0" fontId="14" numFmtId="0" xfId="0" applyAlignment="1" applyBorder="1" applyFont="1">
      <alignment horizontal="center" shrinkToFit="0" vertical="center" wrapText="1"/>
    </xf>
    <xf borderId="34" fillId="0" fontId="14" numFmtId="49" xfId="0" applyAlignment="1" applyBorder="1" applyFont="1" applyNumberFormat="1">
      <alignment horizontal="center" vertical="center"/>
    </xf>
    <xf borderId="13" fillId="0" fontId="16" numFmtId="0" xfId="0" applyAlignment="1" applyBorder="1" applyFont="1">
      <alignment horizontal="center" vertical="center"/>
    </xf>
    <xf borderId="34" fillId="0" fontId="14" numFmtId="2" xfId="0" applyAlignment="1" applyBorder="1" applyFont="1" applyNumberFormat="1">
      <alignment horizontal="center" vertical="center"/>
    </xf>
    <xf quotePrefix="1" borderId="28" fillId="0" fontId="4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18</xdr:col>
      <xdr:colOff>400050</xdr:colOff>
      <xdr:row>4</xdr:row>
      <xdr:rowOff>342900</xdr:rowOff>
    </xdr:from>
    <xdr:ext cx="1266825" cy="1809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showGridLines="0" workbookViewId="0">
      <pane ySplit="8.0" topLeftCell="A9" activePane="bottomLeft" state="frozen"/>
      <selection activeCell="B10" sqref="B10" pane="bottomLeft"/>
    </sheetView>
  </sheetViews>
  <sheetFormatPr customHeight="1" defaultColWidth="11.22" defaultRowHeight="15.0"/>
  <cols>
    <col customWidth="1" min="1" max="1" width="4.22"/>
    <col customWidth="1" min="2" max="2" width="6.56"/>
    <col customWidth="1" min="3" max="3" width="0.67"/>
    <col customWidth="1" min="4" max="4" width="3.56"/>
    <col customWidth="1" min="5" max="6" width="2.67"/>
    <col customWidth="1" min="7" max="7" width="1.22"/>
    <col customWidth="1" min="8" max="8" width="2.89"/>
    <col customWidth="1" min="9" max="9" width="4.33"/>
    <col customWidth="1" min="10" max="10" width="6.67"/>
    <col customWidth="1" min="11" max="12" width="7.44"/>
    <col customWidth="1" min="13" max="13" width="9.67"/>
    <col customWidth="1" min="14" max="14" width="7.44"/>
    <col customWidth="1" min="15" max="15" width="9.44"/>
    <col customWidth="1" min="16" max="17" width="7.44"/>
    <col customWidth="1" min="18" max="18" width="6.56"/>
    <col customWidth="1" min="19" max="19" width="7.11"/>
    <col customWidth="1" min="20" max="20" width="8.33"/>
    <col customWidth="1" min="21" max="21" width="7.11"/>
    <col customWidth="1" min="22" max="22" width="4.22"/>
    <col customWidth="1" min="23" max="24" width="5.11"/>
    <col customWidth="1" min="25" max="25" width="3.22"/>
    <col customWidth="1" min="26" max="26" width="1.67"/>
    <col customWidth="1" min="27" max="27" width="3.67"/>
    <col customWidth="1" min="28" max="28" width="4.0"/>
    <col customWidth="1" min="29" max="29" width="2.78"/>
    <col customWidth="1" min="30" max="31" width="7.44"/>
    <col customWidth="1" min="32" max="32" width="0.11"/>
    <col customWidth="1" min="33" max="33" width="4.33"/>
    <col customWidth="1" min="34" max="34" width="8.22"/>
    <col customWidth="1" min="35" max="36" width="5.11"/>
    <col customWidth="1" min="37" max="37" width="1.22"/>
    <col customWidth="1" min="38" max="38" width="4.33"/>
    <col customWidth="1" hidden="1" min="39" max="39" width="0.11"/>
    <col customWidth="1" min="40" max="40" width="4.44"/>
    <col customWidth="1" min="41" max="41" width="4.11"/>
    <col customWidth="1" min="42" max="42" width="6.0"/>
    <col customWidth="1" min="43" max="45" width="4.33"/>
    <col customWidth="1" min="46" max="50" width="7.0"/>
  </cols>
  <sheetData>
    <row r="1" ht="19.5" customHeight="1">
      <c r="A1" s="1" t="s">
        <v>0</v>
      </c>
      <c r="T1" s="2"/>
      <c r="U1" s="2"/>
      <c r="V1" s="2"/>
      <c r="W1" s="3" t="s">
        <v>1</v>
      </c>
      <c r="X1" s="4" t="s">
        <v>2</v>
      </c>
      <c r="Y1" s="5"/>
      <c r="Z1" s="4" t="s">
        <v>3</v>
      </c>
      <c r="AA1" s="6"/>
      <c r="AB1" s="6"/>
      <c r="AC1" s="7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2"/>
      <c r="AU1" s="2"/>
      <c r="AV1" s="2"/>
      <c r="AW1" s="2" t="s">
        <v>4</v>
      </c>
      <c r="AX1" s="2"/>
    </row>
    <row r="2" ht="19.5" customHeight="1">
      <c r="A2" s="1" t="s">
        <v>5</v>
      </c>
      <c r="T2" s="2"/>
      <c r="U2" s="2"/>
      <c r="V2" s="2"/>
      <c r="W2" s="9"/>
      <c r="X2" s="10"/>
      <c r="Y2" s="11"/>
      <c r="Z2" s="10"/>
      <c r="AA2" s="12"/>
      <c r="AB2" s="12"/>
      <c r="AC2" s="13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2"/>
      <c r="AU2" s="2"/>
      <c r="AV2" s="2"/>
      <c r="AW2" s="2" t="s">
        <v>6</v>
      </c>
      <c r="AX2" s="2">
        <v>3.0</v>
      </c>
    </row>
    <row r="3" ht="19.5" customHeight="1">
      <c r="A3" s="14" t="s">
        <v>7</v>
      </c>
      <c r="T3" s="8"/>
      <c r="U3" s="8"/>
      <c r="V3" s="8"/>
      <c r="W3" s="9"/>
      <c r="X3" s="10"/>
      <c r="Y3" s="11"/>
      <c r="Z3" s="10"/>
      <c r="AA3" s="12"/>
      <c r="AB3" s="12"/>
      <c r="AC3" s="13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2"/>
      <c r="AU3" s="2"/>
      <c r="AV3" s="2"/>
      <c r="AW3" s="2" t="s">
        <v>8</v>
      </c>
      <c r="AX3" s="2"/>
    </row>
    <row r="4" ht="19.5" customHeight="1">
      <c r="T4" s="8"/>
      <c r="U4" s="8"/>
      <c r="V4" s="8"/>
      <c r="W4" s="9"/>
      <c r="X4" s="10"/>
      <c r="Y4" s="11"/>
      <c r="Z4" s="10"/>
      <c r="AA4" s="12"/>
      <c r="AB4" s="12"/>
      <c r="AC4" s="13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2"/>
      <c r="AU4" s="2"/>
      <c r="AV4" s="2"/>
      <c r="AW4" s="2" t="s">
        <v>9</v>
      </c>
      <c r="AX4" s="2"/>
    </row>
    <row r="5" ht="19.5" customHeight="1">
      <c r="A5" s="15" t="s">
        <v>10</v>
      </c>
      <c r="C5" s="16"/>
      <c r="D5" s="17"/>
      <c r="E5" s="17"/>
      <c r="F5" s="17"/>
      <c r="G5" s="17"/>
      <c r="H5" s="17"/>
      <c r="I5" s="17"/>
      <c r="J5" s="18"/>
      <c r="K5" s="18"/>
      <c r="L5" s="18"/>
      <c r="M5" s="18"/>
      <c r="N5" s="19"/>
      <c r="O5" s="20"/>
      <c r="P5" s="20"/>
      <c r="Q5" s="20"/>
      <c r="R5" s="20"/>
      <c r="S5" s="20"/>
      <c r="T5" s="20"/>
      <c r="U5" s="20"/>
      <c r="V5" s="20"/>
      <c r="W5" s="21"/>
      <c r="X5" s="22"/>
      <c r="Y5" s="23"/>
      <c r="Z5" s="22"/>
      <c r="AA5" s="24"/>
      <c r="AB5" s="24"/>
      <c r="AC5" s="25"/>
      <c r="AD5" s="20"/>
      <c r="AE5" s="18"/>
      <c r="AF5" s="2"/>
      <c r="AG5" s="2"/>
      <c r="AH5" s="2"/>
      <c r="AI5" s="2"/>
      <c r="AJ5" s="2"/>
      <c r="AK5" s="2"/>
      <c r="AL5" s="2"/>
      <c r="AM5" s="26"/>
      <c r="AQ5" s="27"/>
      <c r="AT5" s="2"/>
      <c r="AU5" s="2"/>
      <c r="AV5" s="2"/>
      <c r="AW5" s="2"/>
      <c r="AX5" s="2"/>
    </row>
    <row r="6" ht="19.5" customHeight="1">
      <c r="A6" s="28" t="s">
        <v>11</v>
      </c>
      <c r="C6" s="29"/>
      <c r="D6" s="12"/>
      <c r="E6" s="12"/>
      <c r="F6" s="30" t="s">
        <v>12</v>
      </c>
      <c r="G6" s="31"/>
      <c r="H6" s="12"/>
      <c r="I6" s="12"/>
      <c r="J6" s="2"/>
      <c r="K6" s="2"/>
      <c r="L6" s="2"/>
      <c r="M6" s="2"/>
      <c r="O6" s="20"/>
      <c r="P6" s="20"/>
      <c r="Q6" s="20"/>
      <c r="R6" s="20"/>
      <c r="S6" s="20"/>
      <c r="T6" s="20"/>
      <c r="U6" s="20"/>
      <c r="V6" s="20"/>
      <c r="W6" s="32" t="s">
        <v>13</v>
      </c>
      <c r="X6" s="6"/>
      <c r="Y6" s="5"/>
      <c r="Z6" s="4" t="s">
        <v>14</v>
      </c>
      <c r="AA6" s="6"/>
      <c r="AB6" s="6"/>
      <c r="AC6" s="7"/>
      <c r="AD6" s="20"/>
      <c r="AE6" s="18"/>
      <c r="AF6" s="2"/>
      <c r="AG6" s="2"/>
      <c r="AH6" s="2"/>
      <c r="AI6" s="2"/>
      <c r="AJ6" s="2"/>
      <c r="AK6" s="2"/>
      <c r="AL6" s="2"/>
      <c r="AM6" s="26"/>
      <c r="AQ6" s="27"/>
      <c r="AR6" s="33"/>
      <c r="AS6" s="27"/>
      <c r="AT6" s="2"/>
      <c r="AU6" s="2"/>
      <c r="AV6" s="2"/>
      <c r="AW6" s="2"/>
      <c r="AX6" s="2"/>
    </row>
    <row r="7" ht="19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34"/>
      <c r="X7" s="24"/>
      <c r="Y7" s="23"/>
      <c r="Z7" s="35"/>
      <c r="AA7" s="24"/>
      <c r="AB7" s="24"/>
      <c r="AC7" s="25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</row>
    <row r="8" ht="66.0" customHeight="1">
      <c r="A8" s="36" t="s">
        <v>15</v>
      </c>
      <c r="B8" s="37"/>
      <c r="C8" s="38"/>
      <c r="D8" s="39" t="s">
        <v>16</v>
      </c>
      <c r="E8" s="37"/>
      <c r="F8" s="38"/>
      <c r="G8" s="39" t="s">
        <v>17</v>
      </c>
      <c r="H8" s="37"/>
      <c r="I8" s="38"/>
      <c r="J8" s="40" t="s">
        <v>18</v>
      </c>
      <c r="K8" s="40" t="s">
        <v>19</v>
      </c>
      <c r="L8" s="40" t="s">
        <v>20</v>
      </c>
      <c r="M8" s="40" t="s">
        <v>21</v>
      </c>
      <c r="N8" s="40" t="s">
        <v>22</v>
      </c>
      <c r="O8" s="41" t="s">
        <v>23</v>
      </c>
      <c r="P8" s="40" t="s">
        <v>24</v>
      </c>
      <c r="Q8" s="40" t="s">
        <v>25</v>
      </c>
      <c r="R8" s="40" t="s">
        <v>26</v>
      </c>
      <c r="S8" s="40" t="s">
        <v>27</v>
      </c>
      <c r="T8" s="40" t="s">
        <v>28</v>
      </c>
      <c r="U8" s="40" t="s">
        <v>29</v>
      </c>
      <c r="V8" s="40" t="s">
        <v>30</v>
      </c>
      <c r="W8" s="40" t="s">
        <v>31</v>
      </c>
      <c r="X8" s="40" t="s">
        <v>32</v>
      </c>
      <c r="Y8" s="39" t="s">
        <v>33</v>
      </c>
      <c r="Z8" s="38"/>
      <c r="AA8" s="42" t="s">
        <v>34</v>
      </c>
      <c r="AB8" s="37"/>
      <c r="AC8" s="43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</row>
    <row r="9" ht="19.5" customHeight="1">
      <c r="A9" s="44" t="s">
        <v>35</v>
      </c>
      <c r="B9" s="6"/>
      <c r="C9" s="5"/>
      <c r="D9" s="45" t="s">
        <v>36</v>
      </c>
      <c r="E9" s="46"/>
      <c r="F9" s="47"/>
      <c r="G9" s="48" t="s">
        <v>37</v>
      </c>
      <c r="H9" s="46"/>
      <c r="I9" s="47"/>
      <c r="J9" s="49" t="s">
        <v>38</v>
      </c>
      <c r="K9" s="50">
        <v>19107.0</v>
      </c>
      <c r="L9" s="51">
        <v>3.63</v>
      </c>
      <c r="M9" s="51" t="s">
        <v>39</v>
      </c>
      <c r="N9" s="49">
        <v>50.8</v>
      </c>
      <c r="O9" s="49" t="s">
        <v>40</v>
      </c>
      <c r="P9" s="49">
        <v>4.12</v>
      </c>
      <c r="Q9" s="49" t="s">
        <v>41</v>
      </c>
      <c r="R9" s="52">
        <v>21.0</v>
      </c>
      <c r="S9" s="49">
        <v>104.0</v>
      </c>
      <c r="T9" s="49">
        <v>176.0</v>
      </c>
      <c r="U9" s="53">
        <v>330.9</v>
      </c>
      <c r="V9" s="54">
        <v>0.008</v>
      </c>
      <c r="W9" s="53">
        <v>100.0</v>
      </c>
      <c r="X9" s="53">
        <v>0.85</v>
      </c>
      <c r="Y9" s="55" t="s">
        <v>42</v>
      </c>
      <c r="Z9" s="47"/>
      <c r="AA9" s="56" t="s">
        <v>43</v>
      </c>
      <c r="AB9" s="46"/>
      <c r="AC9" s="57"/>
      <c r="AD9" s="18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</row>
    <row r="10" ht="19.5" customHeight="1">
      <c r="A10" s="34" t="s">
        <v>44</v>
      </c>
      <c r="B10" s="24"/>
      <c r="C10" s="23"/>
      <c r="D10" s="58"/>
      <c r="E10" s="58"/>
      <c r="F10" s="59"/>
      <c r="G10" s="60"/>
      <c r="H10" s="58"/>
      <c r="I10" s="59"/>
      <c r="J10" s="61" t="s">
        <v>45</v>
      </c>
      <c r="K10" s="62" t="s">
        <v>46</v>
      </c>
      <c r="L10" s="63" t="s">
        <v>47</v>
      </c>
      <c r="M10" s="24"/>
      <c r="N10" s="24"/>
      <c r="O10" s="24"/>
      <c r="P10" s="61" t="s">
        <v>48</v>
      </c>
      <c r="Q10" s="64" t="s">
        <v>49</v>
      </c>
      <c r="R10" s="65"/>
      <c r="S10" s="66" t="s">
        <v>50</v>
      </c>
      <c r="T10" s="24"/>
      <c r="U10" s="23"/>
      <c r="V10" s="61" t="s">
        <v>51</v>
      </c>
      <c r="W10" s="61" t="s">
        <v>52</v>
      </c>
      <c r="X10" s="61">
        <v>1.04</v>
      </c>
      <c r="Y10" s="60"/>
      <c r="Z10" s="59"/>
      <c r="AA10" s="60"/>
      <c r="AB10" s="58"/>
      <c r="AC10" s="67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</row>
    <row r="11" ht="19.5" customHeight="1">
      <c r="A11" s="44" t="s">
        <v>35</v>
      </c>
      <c r="B11" s="6"/>
      <c r="C11" s="5"/>
      <c r="D11" s="45" t="s">
        <v>36</v>
      </c>
      <c r="E11" s="46"/>
      <c r="F11" s="47"/>
      <c r="G11" s="48" t="s">
        <v>53</v>
      </c>
      <c r="H11" s="46"/>
      <c r="I11" s="47"/>
      <c r="J11" s="49" t="s">
        <v>54</v>
      </c>
      <c r="K11" s="51">
        <v>57695.0</v>
      </c>
      <c r="L11" s="51">
        <v>3.63</v>
      </c>
      <c r="M11" s="51" t="s">
        <v>39</v>
      </c>
      <c r="N11" s="49">
        <v>50.8</v>
      </c>
      <c r="O11" s="49" t="s">
        <v>40</v>
      </c>
      <c r="P11" s="49">
        <v>4.12</v>
      </c>
      <c r="Q11" s="49" t="s">
        <v>41</v>
      </c>
      <c r="R11" s="52">
        <v>10.0</v>
      </c>
      <c r="S11" s="49">
        <v>104.0</v>
      </c>
      <c r="T11" s="49">
        <v>176.0</v>
      </c>
      <c r="U11" s="53">
        <v>122.0</v>
      </c>
      <c r="V11" s="53">
        <v>0.31</v>
      </c>
      <c r="W11" s="49" t="s">
        <v>52</v>
      </c>
      <c r="X11" s="49" t="s">
        <v>52</v>
      </c>
      <c r="Y11" s="55" t="s">
        <v>42</v>
      </c>
      <c r="Z11" s="47"/>
      <c r="AA11" s="56" t="s">
        <v>43</v>
      </c>
      <c r="AB11" s="46"/>
      <c r="AC11" s="57"/>
      <c r="AD11" s="18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</row>
    <row r="12" ht="19.5" customHeight="1">
      <c r="A12" s="34" t="s">
        <v>44</v>
      </c>
      <c r="B12" s="24"/>
      <c r="C12" s="23"/>
      <c r="D12" s="58"/>
      <c r="E12" s="58"/>
      <c r="F12" s="59"/>
      <c r="G12" s="60"/>
      <c r="H12" s="58"/>
      <c r="I12" s="59"/>
      <c r="J12" s="61" t="s">
        <v>45</v>
      </c>
      <c r="K12" s="62" t="s">
        <v>46</v>
      </c>
      <c r="L12" s="63" t="s">
        <v>47</v>
      </c>
      <c r="M12" s="24"/>
      <c r="N12" s="24"/>
      <c r="O12" s="24"/>
      <c r="P12" s="61" t="s">
        <v>48</v>
      </c>
      <c r="Q12" s="64" t="s">
        <v>49</v>
      </c>
      <c r="R12" s="65"/>
      <c r="S12" s="66" t="s">
        <v>50</v>
      </c>
      <c r="T12" s="24"/>
      <c r="U12" s="23"/>
      <c r="V12" s="61" t="s">
        <v>51</v>
      </c>
      <c r="W12" s="68">
        <v>0.662</v>
      </c>
      <c r="X12" s="61" t="s">
        <v>52</v>
      </c>
      <c r="Y12" s="60"/>
      <c r="Z12" s="59"/>
      <c r="AA12" s="60"/>
      <c r="AB12" s="58"/>
      <c r="AC12" s="67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</row>
    <row r="13" ht="19.5" customHeight="1">
      <c r="A13" s="44" t="s">
        <v>35</v>
      </c>
      <c r="B13" s="6"/>
      <c r="C13" s="5"/>
      <c r="D13" s="45" t="s">
        <v>36</v>
      </c>
      <c r="E13" s="46"/>
      <c r="F13" s="47"/>
      <c r="G13" s="48" t="s">
        <v>55</v>
      </c>
      <c r="H13" s="46"/>
      <c r="I13" s="47"/>
      <c r="J13" s="49" t="s">
        <v>54</v>
      </c>
      <c r="K13" s="51">
        <v>57695.0</v>
      </c>
      <c r="L13" s="51">
        <v>3.63</v>
      </c>
      <c r="M13" s="51" t="s">
        <v>39</v>
      </c>
      <c r="N13" s="49">
        <v>50.8</v>
      </c>
      <c r="O13" s="49" t="s">
        <v>40</v>
      </c>
      <c r="P13" s="49">
        <v>4.12</v>
      </c>
      <c r="Q13" s="49" t="s">
        <v>41</v>
      </c>
      <c r="R13" s="52">
        <v>10.0</v>
      </c>
      <c r="S13" s="49">
        <v>104.0</v>
      </c>
      <c r="T13" s="49">
        <v>176.0</v>
      </c>
      <c r="U13" s="53">
        <v>122.0</v>
      </c>
      <c r="V13" s="53">
        <v>0.31</v>
      </c>
      <c r="W13" s="49" t="s">
        <v>52</v>
      </c>
      <c r="X13" s="49" t="s">
        <v>52</v>
      </c>
      <c r="Y13" s="55" t="s">
        <v>42</v>
      </c>
      <c r="Z13" s="47"/>
      <c r="AA13" s="56" t="s">
        <v>43</v>
      </c>
      <c r="AB13" s="46"/>
      <c r="AC13" s="57"/>
      <c r="AD13" s="18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</row>
    <row r="14" ht="19.5" customHeight="1">
      <c r="A14" s="34" t="s">
        <v>44</v>
      </c>
      <c r="B14" s="24"/>
      <c r="C14" s="23"/>
      <c r="D14" s="58"/>
      <c r="E14" s="58"/>
      <c r="F14" s="59"/>
      <c r="G14" s="60"/>
      <c r="H14" s="58"/>
      <c r="I14" s="59"/>
      <c r="J14" s="61" t="s">
        <v>45</v>
      </c>
      <c r="K14" s="62" t="s">
        <v>46</v>
      </c>
      <c r="L14" s="63" t="s">
        <v>47</v>
      </c>
      <c r="M14" s="24"/>
      <c r="N14" s="24"/>
      <c r="O14" s="24"/>
      <c r="P14" s="61" t="s">
        <v>48</v>
      </c>
      <c r="Q14" s="64" t="s">
        <v>49</v>
      </c>
      <c r="R14" s="65"/>
      <c r="S14" s="66" t="s">
        <v>50</v>
      </c>
      <c r="T14" s="24"/>
      <c r="U14" s="23"/>
      <c r="V14" s="61" t="s">
        <v>51</v>
      </c>
      <c r="W14" s="68">
        <v>0.662</v>
      </c>
      <c r="X14" s="61" t="s">
        <v>52</v>
      </c>
      <c r="Y14" s="60"/>
      <c r="Z14" s="59"/>
      <c r="AA14" s="60"/>
      <c r="AB14" s="58"/>
      <c r="AC14" s="67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ht="19.5" customHeight="1">
      <c r="A15" s="44" t="s">
        <v>35</v>
      </c>
      <c r="B15" s="6"/>
      <c r="C15" s="5"/>
      <c r="D15" s="45" t="s">
        <v>36</v>
      </c>
      <c r="E15" s="46"/>
      <c r="F15" s="47"/>
      <c r="G15" s="48" t="s">
        <v>56</v>
      </c>
      <c r="H15" s="46"/>
      <c r="I15" s="47"/>
      <c r="J15" s="49" t="s">
        <v>54</v>
      </c>
      <c r="K15" s="51">
        <v>57695.0</v>
      </c>
      <c r="L15" s="51">
        <v>3.63</v>
      </c>
      <c r="M15" s="51" t="s">
        <v>39</v>
      </c>
      <c r="N15" s="49">
        <v>50.8</v>
      </c>
      <c r="O15" s="49" t="s">
        <v>40</v>
      </c>
      <c r="P15" s="49">
        <v>4.12</v>
      </c>
      <c r="Q15" s="49" t="s">
        <v>41</v>
      </c>
      <c r="R15" s="52">
        <v>10.0</v>
      </c>
      <c r="S15" s="49">
        <v>104.0</v>
      </c>
      <c r="T15" s="49">
        <v>176.0</v>
      </c>
      <c r="U15" s="53">
        <v>122.0</v>
      </c>
      <c r="V15" s="53">
        <v>0.31</v>
      </c>
      <c r="W15" s="49" t="s">
        <v>52</v>
      </c>
      <c r="X15" s="49" t="s">
        <v>52</v>
      </c>
      <c r="Y15" s="55" t="s">
        <v>42</v>
      </c>
      <c r="Z15" s="47"/>
      <c r="AA15" s="56" t="s">
        <v>43</v>
      </c>
      <c r="AB15" s="46"/>
      <c r="AC15" s="57"/>
      <c r="AD15" s="18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ht="19.5" customHeight="1">
      <c r="A16" s="34" t="s">
        <v>44</v>
      </c>
      <c r="B16" s="24"/>
      <c r="C16" s="23"/>
      <c r="D16" s="58"/>
      <c r="E16" s="58"/>
      <c r="F16" s="59"/>
      <c r="G16" s="60"/>
      <c r="H16" s="58"/>
      <c r="I16" s="59"/>
      <c r="J16" s="61" t="s">
        <v>45</v>
      </c>
      <c r="K16" s="62" t="s">
        <v>46</v>
      </c>
      <c r="L16" s="63" t="s">
        <v>47</v>
      </c>
      <c r="M16" s="24"/>
      <c r="N16" s="24"/>
      <c r="O16" s="24"/>
      <c r="P16" s="61" t="s">
        <v>48</v>
      </c>
      <c r="Q16" s="64" t="s">
        <v>49</v>
      </c>
      <c r="R16" s="65"/>
      <c r="S16" s="66" t="s">
        <v>50</v>
      </c>
      <c r="T16" s="24"/>
      <c r="U16" s="23"/>
      <c r="V16" s="61" t="s">
        <v>51</v>
      </c>
      <c r="W16" s="68">
        <v>0.662</v>
      </c>
      <c r="X16" s="61" t="s">
        <v>52</v>
      </c>
      <c r="Y16" s="60"/>
      <c r="Z16" s="59"/>
      <c r="AA16" s="60"/>
      <c r="AB16" s="58"/>
      <c r="AC16" s="67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</row>
    <row r="17" ht="19.5" customHeight="1">
      <c r="A17" s="44" t="s">
        <v>35</v>
      </c>
      <c r="B17" s="6"/>
      <c r="C17" s="5"/>
      <c r="D17" s="45" t="s">
        <v>36</v>
      </c>
      <c r="E17" s="46"/>
      <c r="F17" s="47"/>
      <c r="G17" s="48" t="s">
        <v>57</v>
      </c>
      <c r="H17" s="46"/>
      <c r="I17" s="47"/>
      <c r="J17" s="49" t="s">
        <v>54</v>
      </c>
      <c r="K17" s="51">
        <v>57695.0</v>
      </c>
      <c r="L17" s="51">
        <v>3.63</v>
      </c>
      <c r="M17" s="51" t="s">
        <v>39</v>
      </c>
      <c r="N17" s="49">
        <v>50.8</v>
      </c>
      <c r="O17" s="49" t="s">
        <v>40</v>
      </c>
      <c r="P17" s="49">
        <v>4.12</v>
      </c>
      <c r="Q17" s="49" t="s">
        <v>41</v>
      </c>
      <c r="R17" s="52">
        <v>10.0</v>
      </c>
      <c r="S17" s="49">
        <v>104.0</v>
      </c>
      <c r="T17" s="49">
        <v>176.0</v>
      </c>
      <c r="U17" s="53">
        <v>122.0</v>
      </c>
      <c r="V17" s="53">
        <v>0.31</v>
      </c>
      <c r="W17" s="49" t="s">
        <v>52</v>
      </c>
      <c r="X17" s="49" t="s">
        <v>52</v>
      </c>
      <c r="Y17" s="55" t="s">
        <v>42</v>
      </c>
      <c r="Z17" s="47"/>
      <c r="AA17" s="56" t="s">
        <v>43</v>
      </c>
      <c r="AB17" s="46"/>
      <c r="AC17" s="57"/>
      <c r="AD17" s="18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</row>
    <row r="18" ht="19.5" customHeight="1">
      <c r="A18" s="34" t="s">
        <v>44</v>
      </c>
      <c r="B18" s="24"/>
      <c r="C18" s="23"/>
      <c r="D18" s="58"/>
      <c r="E18" s="58"/>
      <c r="F18" s="59"/>
      <c r="G18" s="60"/>
      <c r="H18" s="58"/>
      <c r="I18" s="59"/>
      <c r="J18" s="61" t="s">
        <v>45</v>
      </c>
      <c r="K18" s="62" t="s">
        <v>46</v>
      </c>
      <c r="L18" s="63" t="s">
        <v>47</v>
      </c>
      <c r="M18" s="24"/>
      <c r="N18" s="24"/>
      <c r="O18" s="24"/>
      <c r="P18" s="61" t="s">
        <v>48</v>
      </c>
      <c r="Q18" s="64" t="s">
        <v>49</v>
      </c>
      <c r="R18" s="65"/>
      <c r="S18" s="66" t="s">
        <v>50</v>
      </c>
      <c r="T18" s="24"/>
      <c r="U18" s="23"/>
      <c r="V18" s="61" t="s">
        <v>51</v>
      </c>
      <c r="W18" s="68">
        <v>0.662</v>
      </c>
      <c r="X18" s="61" t="s">
        <v>52</v>
      </c>
      <c r="Y18" s="60"/>
      <c r="Z18" s="59"/>
      <c r="AA18" s="60"/>
      <c r="AB18" s="58"/>
      <c r="AC18" s="67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</row>
    <row r="19" ht="39.75" customHeight="1">
      <c r="A19" s="44" t="s">
        <v>35</v>
      </c>
      <c r="B19" s="6"/>
      <c r="C19" s="5"/>
      <c r="D19" s="45" t="s">
        <v>36</v>
      </c>
      <c r="E19" s="46"/>
      <c r="F19" s="47"/>
      <c r="G19" s="48" t="s">
        <v>58</v>
      </c>
      <c r="H19" s="46"/>
      <c r="I19" s="47"/>
      <c r="J19" s="49" t="s">
        <v>38</v>
      </c>
      <c r="K19" s="69">
        <v>998.0</v>
      </c>
      <c r="L19" s="51">
        <v>3.63</v>
      </c>
      <c r="M19" s="51" t="s">
        <v>39</v>
      </c>
      <c r="N19" s="49">
        <v>50.8</v>
      </c>
      <c r="O19" s="49" t="s">
        <v>40</v>
      </c>
      <c r="P19" s="49">
        <v>4.12</v>
      </c>
      <c r="Q19" s="49" t="s">
        <v>41</v>
      </c>
      <c r="R19" s="52">
        <v>10.0</v>
      </c>
      <c r="S19" s="49">
        <v>104.0</v>
      </c>
      <c r="T19" s="49">
        <v>176.0</v>
      </c>
      <c r="U19" s="53">
        <v>86.0</v>
      </c>
      <c r="V19" s="54">
        <v>0.018</v>
      </c>
      <c r="W19" s="49">
        <v>28.0</v>
      </c>
      <c r="X19" s="70">
        <v>1.0</v>
      </c>
      <c r="Y19" s="55" t="s">
        <v>42</v>
      </c>
      <c r="Z19" s="47"/>
      <c r="AA19" s="56" t="s">
        <v>59</v>
      </c>
      <c r="AB19" s="46"/>
      <c r="AC19" s="57"/>
      <c r="AD19" s="18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</row>
    <row r="20" ht="39.75" customHeight="1">
      <c r="A20" s="34" t="s">
        <v>44</v>
      </c>
      <c r="B20" s="24"/>
      <c r="C20" s="23"/>
      <c r="D20" s="58"/>
      <c r="E20" s="58"/>
      <c r="F20" s="59"/>
      <c r="G20" s="60"/>
      <c r="H20" s="58"/>
      <c r="I20" s="59"/>
      <c r="J20" s="61" t="s">
        <v>60</v>
      </c>
      <c r="K20" s="62" t="s">
        <v>46</v>
      </c>
      <c r="L20" s="63" t="s">
        <v>47</v>
      </c>
      <c r="M20" s="24"/>
      <c r="N20" s="24"/>
      <c r="O20" s="24"/>
      <c r="P20" s="61" t="s">
        <v>48</v>
      </c>
      <c r="Q20" s="64" t="s">
        <v>49</v>
      </c>
      <c r="R20" s="65"/>
      <c r="S20" s="66" t="s">
        <v>50</v>
      </c>
      <c r="T20" s="24"/>
      <c r="U20" s="23"/>
      <c r="V20" s="61" t="s">
        <v>51</v>
      </c>
      <c r="W20" s="61" t="s">
        <v>52</v>
      </c>
      <c r="X20" s="71">
        <v>1.4</v>
      </c>
      <c r="Y20" s="60"/>
      <c r="Z20" s="59"/>
      <c r="AA20" s="60"/>
      <c r="AB20" s="58"/>
      <c r="AC20" s="67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</row>
    <row r="21" ht="19.5" customHeight="1">
      <c r="A21" s="44" t="s">
        <v>35</v>
      </c>
      <c r="B21" s="6"/>
      <c r="C21" s="5"/>
      <c r="D21" s="45" t="s">
        <v>36</v>
      </c>
      <c r="E21" s="46"/>
      <c r="F21" s="47"/>
      <c r="G21" s="48" t="s">
        <v>61</v>
      </c>
      <c r="H21" s="46"/>
      <c r="I21" s="47"/>
      <c r="J21" s="49" t="s">
        <v>54</v>
      </c>
      <c r="K21" s="51">
        <v>57695.0</v>
      </c>
      <c r="L21" s="51">
        <v>3.63</v>
      </c>
      <c r="M21" s="51" t="s">
        <v>39</v>
      </c>
      <c r="N21" s="49">
        <v>50.8</v>
      </c>
      <c r="O21" s="49" t="s">
        <v>40</v>
      </c>
      <c r="P21" s="49">
        <v>4.12</v>
      </c>
      <c r="Q21" s="49" t="s">
        <v>41</v>
      </c>
      <c r="R21" s="52">
        <v>10.0</v>
      </c>
      <c r="S21" s="49">
        <v>104.0</v>
      </c>
      <c r="T21" s="49">
        <v>176.0</v>
      </c>
      <c r="U21" s="53">
        <v>122.0</v>
      </c>
      <c r="V21" s="53">
        <v>0.31</v>
      </c>
      <c r="W21" s="49" t="s">
        <v>52</v>
      </c>
      <c r="X21" s="49" t="s">
        <v>52</v>
      </c>
      <c r="Y21" s="55" t="s">
        <v>42</v>
      </c>
      <c r="Z21" s="47"/>
      <c r="AA21" s="56" t="s">
        <v>43</v>
      </c>
      <c r="AB21" s="46"/>
      <c r="AC21" s="57"/>
      <c r="AD21" s="18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</row>
    <row r="22" ht="19.5" customHeight="1">
      <c r="A22" s="34" t="s">
        <v>44</v>
      </c>
      <c r="B22" s="24"/>
      <c r="C22" s="23"/>
      <c r="D22" s="58"/>
      <c r="E22" s="58"/>
      <c r="F22" s="59"/>
      <c r="G22" s="60"/>
      <c r="H22" s="58"/>
      <c r="I22" s="59"/>
      <c r="J22" s="61" t="s">
        <v>45</v>
      </c>
      <c r="K22" s="62" t="s">
        <v>46</v>
      </c>
      <c r="L22" s="63" t="s">
        <v>47</v>
      </c>
      <c r="M22" s="24"/>
      <c r="N22" s="24"/>
      <c r="O22" s="24"/>
      <c r="P22" s="61" t="s">
        <v>48</v>
      </c>
      <c r="Q22" s="64" t="s">
        <v>49</v>
      </c>
      <c r="R22" s="65"/>
      <c r="S22" s="66" t="s">
        <v>50</v>
      </c>
      <c r="T22" s="24"/>
      <c r="U22" s="23"/>
      <c r="V22" s="61" t="s">
        <v>51</v>
      </c>
      <c r="W22" s="68">
        <v>0.662</v>
      </c>
      <c r="X22" s="61" t="s">
        <v>52</v>
      </c>
      <c r="Y22" s="60"/>
      <c r="Z22" s="59"/>
      <c r="AA22" s="60"/>
      <c r="AB22" s="58"/>
      <c r="AC22" s="67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ht="27.0" customHeight="1">
      <c r="A23" s="44" t="s">
        <v>62</v>
      </c>
      <c r="B23" s="6"/>
      <c r="C23" s="5"/>
      <c r="D23" s="45" t="s">
        <v>63</v>
      </c>
      <c r="E23" s="46"/>
      <c r="F23" s="47"/>
      <c r="G23" s="48" t="s">
        <v>56</v>
      </c>
      <c r="H23" s="46"/>
      <c r="I23" s="47"/>
      <c r="J23" s="49" t="s">
        <v>38</v>
      </c>
      <c r="K23" s="51">
        <v>1008.0</v>
      </c>
      <c r="L23" s="51">
        <v>31.91</v>
      </c>
      <c r="M23" s="51">
        <v>50.8</v>
      </c>
      <c r="N23" s="49">
        <v>35.0</v>
      </c>
      <c r="O23" s="72" t="s">
        <v>64</v>
      </c>
      <c r="P23" s="49">
        <v>3.5</v>
      </c>
      <c r="Q23" s="49" t="s">
        <v>65</v>
      </c>
      <c r="R23" s="52">
        <v>10.0</v>
      </c>
      <c r="S23" s="53">
        <v>86.0</v>
      </c>
      <c r="T23" s="49">
        <v>158.0</v>
      </c>
      <c r="U23" s="53">
        <v>86.0</v>
      </c>
      <c r="V23" s="54">
        <v>0.018</v>
      </c>
      <c r="W23" s="49">
        <v>28.0</v>
      </c>
      <c r="X23" s="70">
        <v>1.0</v>
      </c>
      <c r="Y23" s="55" t="s">
        <v>42</v>
      </c>
      <c r="Z23" s="47"/>
      <c r="AA23" s="56" t="s">
        <v>66</v>
      </c>
      <c r="AB23" s="46"/>
      <c r="AC23" s="57"/>
      <c r="AD23" s="18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ht="27.0" customHeight="1">
      <c r="A24" s="34" t="s">
        <v>44</v>
      </c>
      <c r="B24" s="24"/>
      <c r="C24" s="23"/>
      <c r="D24" s="58"/>
      <c r="E24" s="58"/>
      <c r="F24" s="59"/>
      <c r="G24" s="60"/>
      <c r="H24" s="58"/>
      <c r="I24" s="59"/>
      <c r="J24" s="61" t="s">
        <v>60</v>
      </c>
      <c r="K24" s="62" t="s">
        <v>46</v>
      </c>
      <c r="L24" s="63" t="s">
        <v>47</v>
      </c>
      <c r="M24" s="24"/>
      <c r="N24" s="24"/>
      <c r="O24" s="24"/>
      <c r="P24" s="61" t="s">
        <v>48</v>
      </c>
      <c r="Q24" s="64" t="s">
        <v>67</v>
      </c>
      <c r="R24" s="65"/>
      <c r="S24" s="66" t="s">
        <v>50</v>
      </c>
      <c r="T24" s="24"/>
      <c r="U24" s="23"/>
      <c r="V24" s="61" t="s">
        <v>51</v>
      </c>
      <c r="W24" s="61" t="s">
        <v>52</v>
      </c>
      <c r="X24" s="71">
        <v>1.4</v>
      </c>
      <c r="Y24" s="60"/>
      <c r="Z24" s="59"/>
      <c r="AA24" s="60"/>
      <c r="AB24" s="58"/>
      <c r="AC24" s="67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ht="19.5" customHeight="1">
      <c r="A25" s="44" t="s">
        <v>68</v>
      </c>
      <c r="B25" s="6"/>
      <c r="C25" s="5"/>
      <c r="D25" s="45" t="s">
        <v>69</v>
      </c>
      <c r="E25" s="46"/>
      <c r="F25" s="47"/>
      <c r="G25" s="48" t="s">
        <v>55</v>
      </c>
      <c r="H25" s="46"/>
      <c r="I25" s="47"/>
      <c r="J25" s="49" t="s">
        <v>54</v>
      </c>
      <c r="K25" s="51">
        <f>71*2</f>
        <v>142</v>
      </c>
      <c r="L25" s="51">
        <v>1046.0</v>
      </c>
      <c r="M25" s="51">
        <v>1255.2</v>
      </c>
      <c r="N25" s="49">
        <v>1255.2</v>
      </c>
      <c r="O25" s="49" t="s">
        <v>70</v>
      </c>
      <c r="P25" s="49">
        <v>121.0</v>
      </c>
      <c r="Q25" s="49" t="s">
        <v>71</v>
      </c>
      <c r="R25" s="52">
        <v>10.0</v>
      </c>
      <c r="S25" s="49">
        <v>104.0</v>
      </c>
      <c r="T25" s="49">
        <v>176.0</v>
      </c>
      <c r="U25" s="49">
        <v>104.0</v>
      </c>
      <c r="V25" s="49">
        <v>0.3</v>
      </c>
      <c r="W25" s="49" t="s">
        <v>52</v>
      </c>
      <c r="X25" s="49" t="s">
        <v>52</v>
      </c>
      <c r="Y25" s="73" t="s">
        <v>72</v>
      </c>
      <c r="Z25" s="47"/>
      <c r="AA25" s="56"/>
      <c r="AB25" s="46"/>
      <c r="AC25" s="57"/>
      <c r="AD25" s="18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</row>
    <row r="26" ht="19.5" customHeight="1">
      <c r="A26" s="34" t="s">
        <v>73</v>
      </c>
      <c r="B26" s="24"/>
      <c r="C26" s="23"/>
      <c r="D26" s="58"/>
      <c r="E26" s="58"/>
      <c r="F26" s="59"/>
      <c r="G26" s="60"/>
      <c r="H26" s="58"/>
      <c r="I26" s="59"/>
      <c r="J26" s="61" t="s">
        <v>45</v>
      </c>
      <c r="K26" s="62" t="s">
        <v>46</v>
      </c>
      <c r="L26" s="63" t="s">
        <v>47</v>
      </c>
      <c r="M26" s="24"/>
      <c r="N26" s="24"/>
      <c r="O26" s="24"/>
      <c r="P26" s="61" t="s">
        <v>48</v>
      </c>
      <c r="Q26" s="64" t="s">
        <v>67</v>
      </c>
      <c r="R26" s="65"/>
      <c r="S26" s="66" t="s">
        <v>50</v>
      </c>
      <c r="T26" s="24"/>
      <c r="U26" s="23"/>
      <c r="V26" s="61" t="s">
        <v>51</v>
      </c>
      <c r="W26" s="61">
        <v>0.67</v>
      </c>
      <c r="X26" s="61" t="s">
        <v>52</v>
      </c>
      <c r="Y26" s="60"/>
      <c r="Z26" s="59"/>
      <c r="AA26" s="60"/>
      <c r="AB26" s="58"/>
      <c r="AC26" s="67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</row>
    <row r="27" ht="19.5" customHeight="1">
      <c r="A27" s="44" t="s">
        <v>74</v>
      </c>
      <c r="B27" s="6"/>
      <c r="C27" s="5"/>
      <c r="D27" s="45" t="s">
        <v>75</v>
      </c>
      <c r="E27" s="46"/>
      <c r="F27" s="47"/>
      <c r="G27" s="48" t="s">
        <v>37</v>
      </c>
      <c r="H27" s="46"/>
      <c r="I27" s="47"/>
      <c r="J27" s="49" t="s">
        <v>38</v>
      </c>
      <c r="K27" s="69">
        <v>10269.0</v>
      </c>
      <c r="L27" s="51">
        <v>3.63</v>
      </c>
      <c r="M27" s="51" t="s">
        <v>39</v>
      </c>
      <c r="N27" s="49">
        <v>50.8</v>
      </c>
      <c r="O27" s="49" t="s">
        <v>40</v>
      </c>
      <c r="P27" s="49">
        <v>4.12</v>
      </c>
      <c r="Q27" s="49" t="s">
        <v>41</v>
      </c>
      <c r="R27" s="52">
        <v>21.0</v>
      </c>
      <c r="S27" s="49">
        <v>104.0</v>
      </c>
      <c r="T27" s="49">
        <v>176.0</v>
      </c>
      <c r="U27" s="53">
        <v>330.9</v>
      </c>
      <c r="V27" s="54">
        <v>0.008</v>
      </c>
      <c r="W27" s="53">
        <v>100.0</v>
      </c>
      <c r="X27" s="49">
        <v>0.85</v>
      </c>
      <c r="Y27" s="55" t="s">
        <v>42</v>
      </c>
      <c r="Z27" s="47"/>
      <c r="AA27" s="56" t="s">
        <v>76</v>
      </c>
      <c r="AB27" s="46"/>
      <c r="AC27" s="57"/>
      <c r="AD27" s="18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</row>
    <row r="28" ht="19.5" customHeight="1">
      <c r="A28" s="34" t="s">
        <v>77</v>
      </c>
      <c r="B28" s="24"/>
      <c r="C28" s="23"/>
      <c r="D28" s="58"/>
      <c r="E28" s="58"/>
      <c r="F28" s="59"/>
      <c r="G28" s="60"/>
      <c r="H28" s="58"/>
      <c r="I28" s="59"/>
      <c r="J28" s="61" t="s">
        <v>45</v>
      </c>
      <c r="K28" s="62" t="s">
        <v>46</v>
      </c>
      <c r="L28" s="63" t="s">
        <v>47</v>
      </c>
      <c r="M28" s="24"/>
      <c r="N28" s="24"/>
      <c r="O28" s="24"/>
      <c r="P28" s="61" t="s">
        <v>48</v>
      </c>
      <c r="Q28" s="64" t="s">
        <v>49</v>
      </c>
      <c r="R28" s="65"/>
      <c r="S28" s="66" t="s">
        <v>50</v>
      </c>
      <c r="T28" s="24"/>
      <c r="U28" s="23"/>
      <c r="V28" s="61" t="s">
        <v>51</v>
      </c>
      <c r="W28" s="61" t="s">
        <v>52</v>
      </c>
      <c r="X28" s="61">
        <v>1.04</v>
      </c>
      <c r="Y28" s="60"/>
      <c r="Z28" s="59"/>
      <c r="AA28" s="60"/>
      <c r="AB28" s="58"/>
      <c r="AC28" s="67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</row>
    <row r="29" ht="19.5" customHeight="1">
      <c r="A29" s="44" t="s">
        <v>74</v>
      </c>
      <c r="B29" s="6"/>
      <c r="C29" s="5"/>
      <c r="D29" s="74" t="s">
        <v>75</v>
      </c>
      <c r="E29" s="46"/>
      <c r="F29" s="47"/>
      <c r="G29" s="48" t="s">
        <v>53</v>
      </c>
      <c r="H29" s="46"/>
      <c r="I29" s="47"/>
      <c r="J29" s="49" t="s">
        <v>54</v>
      </c>
      <c r="K29" s="51">
        <v>26808.0</v>
      </c>
      <c r="L29" s="51">
        <v>3.63</v>
      </c>
      <c r="M29" s="51" t="s">
        <v>39</v>
      </c>
      <c r="N29" s="49">
        <v>50.8</v>
      </c>
      <c r="O29" s="49" t="s">
        <v>40</v>
      </c>
      <c r="P29" s="49">
        <v>4.12</v>
      </c>
      <c r="Q29" s="49" t="s">
        <v>41</v>
      </c>
      <c r="R29" s="52">
        <v>10.0</v>
      </c>
      <c r="S29" s="49">
        <v>104.0</v>
      </c>
      <c r="T29" s="49">
        <v>176.0</v>
      </c>
      <c r="U29" s="53">
        <v>122.0</v>
      </c>
      <c r="V29" s="53">
        <v>0.31</v>
      </c>
      <c r="W29" s="49" t="s">
        <v>52</v>
      </c>
      <c r="X29" s="49" t="s">
        <v>52</v>
      </c>
      <c r="Y29" s="55" t="s">
        <v>42</v>
      </c>
      <c r="Z29" s="47"/>
      <c r="AA29" s="56" t="s">
        <v>76</v>
      </c>
      <c r="AB29" s="46"/>
      <c r="AC29" s="57"/>
      <c r="AD29" s="18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</row>
    <row r="30" ht="19.5" customHeight="1">
      <c r="A30" s="34" t="s">
        <v>77</v>
      </c>
      <c r="B30" s="24"/>
      <c r="C30" s="23"/>
      <c r="D30" s="60"/>
      <c r="E30" s="58"/>
      <c r="F30" s="59"/>
      <c r="G30" s="60"/>
      <c r="H30" s="58"/>
      <c r="I30" s="59"/>
      <c r="J30" s="61" t="s">
        <v>45</v>
      </c>
      <c r="K30" s="62" t="s">
        <v>46</v>
      </c>
      <c r="L30" s="63" t="s">
        <v>47</v>
      </c>
      <c r="M30" s="24"/>
      <c r="N30" s="24"/>
      <c r="O30" s="23"/>
      <c r="P30" s="61" t="s">
        <v>48</v>
      </c>
      <c r="Q30" s="64" t="s">
        <v>49</v>
      </c>
      <c r="R30" s="65"/>
      <c r="S30" s="66" t="s">
        <v>50</v>
      </c>
      <c r="T30" s="24"/>
      <c r="U30" s="23"/>
      <c r="V30" s="61" t="s">
        <v>51</v>
      </c>
      <c r="W30" s="68">
        <v>0.662</v>
      </c>
      <c r="X30" s="61" t="s">
        <v>52</v>
      </c>
      <c r="Y30" s="60"/>
      <c r="Z30" s="59"/>
      <c r="AA30" s="60"/>
      <c r="AB30" s="58"/>
      <c r="AC30" s="67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</row>
    <row r="31" ht="19.5" customHeight="1">
      <c r="A31" s="44" t="s">
        <v>74</v>
      </c>
      <c r="B31" s="6"/>
      <c r="C31" s="5"/>
      <c r="D31" s="74" t="s">
        <v>75</v>
      </c>
      <c r="E31" s="46"/>
      <c r="F31" s="47"/>
      <c r="G31" s="48" t="s">
        <v>55</v>
      </c>
      <c r="H31" s="46"/>
      <c r="I31" s="47"/>
      <c r="J31" s="49" t="s">
        <v>54</v>
      </c>
      <c r="K31" s="51">
        <v>26808.0</v>
      </c>
      <c r="L31" s="51">
        <v>3.63</v>
      </c>
      <c r="M31" s="51" t="s">
        <v>39</v>
      </c>
      <c r="N31" s="49">
        <v>50.8</v>
      </c>
      <c r="O31" s="49" t="s">
        <v>40</v>
      </c>
      <c r="P31" s="49">
        <v>4.12</v>
      </c>
      <c r="Q31" s="49" t="s">
        <v>41</v>
      </c>
      <c r="R31" s="52">
        <v>10.0</v>
      </c>
      <c r="S31" s="49">
        <v>104.0</v>
      </c>
      <c r="T31" s="49">
        <v>176.0</v>
      </c>
      <c r="U31" s="53">
        <v>122.0</v>
      </c>
      <c r="V31" s="53">
        <v>0.31</v>
      </c>
      <c r="W31" s="49" t="s">
        <v>52</v>
      </c>
      <c r="X31" s="49" t="s">
        <v>52</v>
      </c>
      <c r="Y31" s="55" t="s">
        <v>42</v>
      </c>
      <c r="Z31" s="47"/>
      <c r="AA31" s="56" t="s">
        <v>76</v>
      </c>
      <c r="AB31" s="46"/>
      <c r="AC31" s="57"/>
      <c r="AD31" s="18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</row>
    <row r="32" ht="19.5" customHeight="1">
      <c r="A32" s="34" t="s">
        <v>77</v>
      </c>
      <c r="B32" s="24"/>
      <c r="C32" s="23"/>
      <c r="D32" s="60"/>
      <c r="E32" s="58"/>
      <c r="F32" s="59"/>
      <c r="G32" s="60"/>
      <c r="H32" s="58"/>
      <c r="I32" s="59"/>
      <c r="J32" s="61" t="s">
        <v>45</v>
      </c>
      <c r="K32" s="62" t="s">
        <v>46</v>
      </c>
      <c r="L32" s="63" t="s">
        <v>47</v>
      </c>
      <c r="M32" s="24"/>
      <c r="N32" s="24"/>
      <c r="O32" s="23"/>
      <c r="P32" s="61" t="s">
        <v>48</v>
      </c>
      <c r="Q32" s="64" t="s">
        <v>49</v>
      </c>
      <c r="R32" s="65"/>
      <c r="S32" s="66" t="s">
        <v>50</v>
      </c>
      <c r="T32" s="24"/>
      <c r="U32" s="23"/>
      <c r="V32" s="61" t="s">
        <v>51</v>
      </c>
      <c r="W32" s="68">
        <v>0.662</v>
      </c>
      <c r="X32" s="61" t="s">
        <v>52</v>
      </c>
      <c r="Y32" s="60"/>
      <c r="Z32" s="59"/>
      <c r="AA32" s="60"/>
      <c r="AB32" s="58"/>
      <c r="AC32" s="67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</row>
    <row r="33" ht="19.5" customHeight="1">
      <c r="A33" s="44" t="s">
        <v>74</v>
      </c>
      <c r="B33" s="6"/>
      <c r="C33" s="5"/>
      <c r="D33" s="74" t="s">
        <v>75</v>
      </c>
      <c r="E33" s="46"/>
      <c r="F33" s="47"/>
      <c r="G33" s="48" t="s">
        <v>56</v>
      </c>
      <c r="H33" s="46"/>
      <c r="I33" s="47"/>
      <c r="J33" s="49" t="s">
        <v>54</v>
      </c>
      <c r="K33" s="51">
        <v>26808.0</v>
      </c>
      <c r="L33" s="51">
        <v>3.63</v>
      </c>
      <c r="M33" s="51" t="s">
        <v>39</v>
      </c>
      <c r="N33" s="49">
        <v>50.8</v>
      </c>
      <c r="O33" s="49" t="s">
        <v>40</v>
      </c>
      <c r="P33" s="49">
        <v>4.12</v>
      </c>
      <c r="Q33" s="49" t="s">
        <v>41</v>
      </c>
      <c r="R33" s="52">
        <v>10.0</v>
      </c>
      <c r="S33" s="49">
        <v>104.0</v>
      </c>
      <c r="T33" s="49">
        <v>176.0</v>
      </c>
      <c r="U33" s="53">
        <v>122.0</v>
      </c>
      <c r="V33" s="53">
        <v>0.31</v>
      </c>
      <c r="W33" s="49" t="s">
        <v>52</v>
      </c>
      <c r="X33" s="49" t="s">
        <v>52</v>
      </c>
      <c r="Y33" s="55" t="s">
        <v>42</v>
      </c>
      <c r="Z33" s="47"/>
      <c r="AA33" s="56" t="s">
        <v>76</v>
      </c>
      <c r="AB33" s="46"/>
      <c r="AC33" s="57"/>
      <c r="AD33" s="18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ht="19.5" customHeight="1">
      <c r="A34" s="34" t="s">
        <v>77</v>
      </c>
      <c r="B34" s="24"/>
      <c r="C34" s="23"/>
      <c r="D34" s="60"/>
      <c r="E34" s="58"/>
      <c r="F34" s="59"/>
      <c r="G34" s="60"/>
      <c r="H34" s="58"/>
      <c r="I34" s="59"/>
      <c r="J34" s="61" t="s">
        <v>45</v>
      </c>
      <c r="K34" s="62" t="s">
        <v>46</v>
      </c>
      <c r="L34" s="63" t="s">
        <v>47</v>
      </c>
      <c r="M34" s="24"/>
      <c r="N34" s="24"/>
      <c r="O34" s="23"/>
      <c r="P34" s="61" t="s">
        <v>48</v>
      </c>
      <c r="Q34" s="64" t="s">
        <v>49</v>
      </c>
      <c r="R34" s="65"/>
      <c r="S34" s="66" t="s">
        <v>50</v>
      </c>
      <c r="T34" s="24"/>
      <c r="U34" s="23"/>
      <c r="V34" s="61" t="s">
        <v>51</v>
      </c>
      <c r="W34" s="68">
        <v>0.662</v>
      </c>
      <c r="X34" s="61" t="s">
        <v>52</v>
      </c>
      <c r="Y34" s="60"/>
      <c r="Z34" s="59"/>
      <c r="AA34" s="60"/>
      <c r="AB34" s="58"/>
      <c r="AC34" s="67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ht="19.5" customHeight="1">
      <c r="A35" s="44" t="s">
        <v>74</v>
      </c>
      <c r="B35" s="6"/>
      <c r="C35" s="5"/>
      <c r="D35" s="74" t="s">
        <v>75</v>
      </c>
      <c r="E35" s="46"/>
      <c r="F35" s="47"/>
      <c r="G35" s="48" t="s">
        <v>57</v>
      </c>
      <c r="H35" s="46"/>
      <c r="I35" s="47"/>
      <c r="J35" s="49" t="s">
        <v>54</v>
      </c>
      <c r="K35" s="51">
        <v>26808.0</v>
      </c>
      <c r="L35" s="51">
        <v>3.63</v>
      </c>
      <c r="M35" s="51" t="s">
        <v>39</v>
      </c>
      <c r="N35" s="49">
        <v>50.8</v>
      </c>
      <c r="O35" s="49" t="s">
        <v>40</v>
      </c>
      <c r="P35" s="49">
        <v>4.12</v>
      </c>
      <c r="Q35" s="49" t="s">
        <v>41</v>
      </c>
      <c r="R35" s="52">
        <v>10.0</v>
      </c>
      <c r="S35" s="49">
        <v>104.0</v>
      </c>
      <c r="T35" s="49">
        <v>176.0</v>
      </c>
      <c r="U35" s="53">
        <v>122.0</v>
      </c>
      <c r="V35" s="53">
        <v>0.31</v>
      </c>
      <c r="W35" s="49" t="s">
        <v>52</v>
      </c>
      <c r="X35" s="49" t="s">
        <v>52</v>
      </c>
      <c r="Y35" s="55" t="s">
        <v>42</v>
      </c>
      <c r="Z35" s="47"/>
      <c r="AA35" s="56" t="s">
        <v>76</v>
      </c>
      <c r="AB35" s="46"/>
      <c r="AC35" s="57"/>
      <c r="AD35" s="18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</row>
    <row r="36" ht="19.5" customHeight="1">
      <c r="A36" s="34" t="s">
        <v>77</v>
      </c>
      <c r="B36" s="24"/>
      <c r="C36" s="23"/>
      <c r="D36" s="60"/>
      <c r="E36" s="58"/>
      <c r="F36" s="59"/>
      <c r="G36" s="60"/>
      <c r="H36" s="58"/>
      <c r="I36" s="59"/>
      <c r="J36" s="61" t="s">
        <v>45</v>
      </c>
      <c r="K36" s="62" t="s">
        <v>46</v>
      </c>
      <c r="L36" s="63" t="s">
        <v>47</v>
      </c>
      <c r="M36" s="24"/>
      <c r="N36" s="24"/>
      <c r="O36" s="23"/>
      <c r="P36" s="61" t="s">
        <v>48</v>
      </c>
      <c r="Q36" s="64" t="s">
        <v>49</v>
      </c>
      <c r="R36" s="65"/>
      <c r="S36" s="66" t="s">
        <v>50</v>
      </c>
      <c r="T36" s="24"/>
      <c r="U36" s="23"/>
      <c r="V36" s="61" t="s">
        <v>51</v>
      </c>
      <c r="W36" s="68">
        <v>0.662</v>
      </c>
      <c r="X36" s="61" t="s">
        <v>52</v>
      </c>
      <c r="Y36" s="60"/>
      <c r="Z36" s="59"/>
      <c r="AA36" s="60"/>
      <c r="AB36" s="58"/>
      <c r="AC36" s="67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</row>
    <row r="37" ht="39.75" customHeight="1">
      <c r="A37" s="44" t="s">
        <v>74</v>
      </c>
      <c r="B37" s="6"/>
      <c r="C37" s="5"/>
      <c r="D37" s="74" t="s">
        <v>75</v>
      </c>
      <c r="E37" s="46"/>
      <c r="F37" s="47"/>
      <c r="G37" s="48" t="s">
        <v>58</v>
      </c>
      <c r="H37" s="46"/>
      <c r="I37" s="47"/>
      <c r="J37" s="49" t="s">
        <v>38</v>
      </c>
      <c r="K37" s="51">
        <v>998.0</v>
      </c>
      <c r="L37" s="51">
        <v>3.63</v>
      </c>
      <c r="M37" s="51" t="s">
        <v>39</v>
      </c>
      <c r="N37" s="49">
        <v>50.8</v>
      </c>
      <c r="O37" s="49" t="s">
        <v>40</v>
      </c>
      <c r="P37" s="49">
        <v>4.12</v>
      </c>
      <c r="Q37" s="49" t="s">
        <v>41</v>
      </c>
      <c r="R37" s="52">
        <v>10.0</v>
      </c>
      <c r="S37" s="49">
        <v>104.0</v>
      </c>
      <c r="T37" s="49">
        <v>176.0</v>
      </c>
      <c r="U37" s="53">
        <v>86.0</v>
      </c>
      <c r="V37" s="54">
        <v>0.018</v>
      </c>
      <c r="W37" s="49">
        <v>28.0</v>
      </c>
      <c r="X37" s="70">
        <v>1.0</v>
      </c>
      <c r="Y37" s="55" t="s">
        <v>42</v>
      </c>
      <c r="Z37" s="47"/>
      <c r="AA37" s="56" t="s">
        <v>78</v>
      </c>
      <c r="AB37" s="46"/>
      <c r="AC37" s="57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</row>
    <row r="38" ht="39.75" customHeight="1">
      <c r="A38" s="34" t="s">
        <v>77</v>
      </c>
      <c r="B38" s="24"/>
      <c r="C38" s="23"/>
      <c r="D38" s="60"/>
      <c r="E38" s="58"/>
      <c r="F38" s="59"/>
      <c r="G38" s="60"/>
      <c r="H38" s="58"/>
      <c r="I38" s="59"/>
      <c r="J38" s="61" t="s">
        <v>60</v>
      </c>
      <c r="K38" s="62" t="s">
        <v>46</v>
      </c>
      <c r="L38" s="63" t="s">
        <v>47</v>
      </c>
      <c r="M38" s="24"/>
      <c r="N38" s="24"/>
      <c r="O38" s="23"/>
      <c r="P38" s="61" t="s">
        <v>48</v>
      </c>
      <c r="Q38" s="64" t="s">
        <v>49</v>
      </c>
      <c r="R38" s="65"/>
      <c r="S38" s="66" t="s">
        <v>50</v>
      </c>
      <c r="T38" s="24"/>
      <c r="U38" s="23"/>
      <c r="V38" s="61" t="s">
        <v>51</v>
      </c>
      <c r="W38" s="61" t="s">
        <v>52</v>
      </c>
      <c r="X38" s="71">
        <v>1.4</v>
      </c>
      <c r="Y38" s="60"/>
      <c r="Z38" s="59"/>
      <c r="AA38" s="60"/>
      <c r="AB38" s="58"/>
      <c r="AC38" s="67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</row>
    <row r="39" ht="19.5" customHeight="1">
      <c r="A39" s="44" t="s">
        <v>74</v>
      </c>
      <c r="B39" s="6"/>
      <c r="C39" s="5"/>
      <c r="D39" s="74" t="s">
        <v>75</v>
      </c>
      <c r="E39" s="46"/>
      <c r="F39" s="47"/>
      <c r="G39" s="48" t="s">
        <v>61</v>
      </c>
      <c r="H39" s="46"/>
      <c r="I39" s="47"/>
      <c r="J39" s="49" t="s">
        <v>54</v>
      </c>
      <c r="K39" s="51">
        <v>26808.0</v>
      </c>
      <c r="L39" s="51">
        <v>3.63</v>
      </c>
      <c r="M39" s="51" t="s">
        <v>39</v>
      </c>
      <c r="N39" s="49">
        <v>50.8</v>
      </c>
      <c r="O39" s="49" t="s">
        <v>40</v>
      </c>
      <c r="P39" s="49">
        <v>4.12</v>
      </c>
      <c r="Q39" s="49" t="s">
        <v>41</v>
      </c>
      <c r="R39" s="52">
        <v>10.0</v>
      </c>
      <c r="S39" s="49">
        <v>104.0</v>
      </c>
      <c r="T39" s="49">
        <v>176.0</v>
      </c>
      <c r="U39" s="53">
        <v>122.0</v>
      </c>
      <c r="V39" s="53">
        <v>0.31</v>
      </c>
      <c r="W39" s="49" t="s">
        <v>52</v>
      </c>
      <c r="X39" s="49" t="s">
        <v>52</v>
      </c>
      <c r="Y39" s="55" t="s">
        <v>42</v>
      </c>
      <c r="Z39" s="47"/>
      <c r="AA39" s="56" t="s">
        <v>76</v>
      </c>
      <c r="AB39" s="46"/>
      <c r="AC39" s="57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</row>
    <row r="40" ht="19.5" customHeight="1">
      <c r="A40" s="34" t="s">
        <v>77</v>
      </c>
      <c r="B40" s="24"/>
      <c r="C40" s="23"/>
      <c r="D40" s="60"/>
      <c r="E40" s="58"/>
      <c r="F40" s="59"/>
      <c r="G40" s="60"/>
      <c r="H40" s="58"/>
      <c r="I40" s="59"/>
      <c r="J40" s="61" t="s">
        <v>45</v>
      </c>
      <c r="K40" s="62" t="s">
        <v>46</v>
      </c>
      <c r="L40" s="63" t="s">
        <v>47</v>
      </c>
      <c r="M40" s="24"/>
      <c r="N40" s="24"/>
      <c r="O40" s="23"/>
      <c r="P40" s="61" t="s">
        <v>48</v>
      </c>
      <c r="Q40" s="64" t="s">
        <v>49</v>
      </c>
      <c r="R40" s="65"/>
      <c r="S40" s="66" t="s">
        <v>50</v>
      </c>
      <c r="T40" s="24"/>
      <c r="U40" s="23"/>
      <c r="V40" s="61" t="s">
        <v>51</v>
      </c>
      <c r="W40" s="68">
        <v>0.662</v>
      </c>
      <c r="X40" s="61" t="s">
        <v>52</v>
      </c>
      <c r="Y40" s="60"/>
      <c r="Z40" s="59"/>
      <c r="AA40" s="60"/>
      <c r="AB40" s="58"/>
      <c r="AC40" s="67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</row>
    <row r="41" ht="19.5" customHeight="1">
      <c r="A41" s="44" t="s">
        <v>79</v>
      </c>
      <c r="B41" s="6"/>
      <c r="C41" s="5"/>
      <c r="D41" s="45" t="s">
        <v>80</v>
      </c>
      <c r="E41" s="46"/>
      <c r="F41" s="47"/>
      <c r="G41" s="48" t="s">
        <v>55</v>
      </c>
      <c r="H41" s="46"/>
      <c r="I41" s="47"/>
      <c r="J41" s="49" t="s">
        <v>54</v>
      </c>
      <c r="K41" s="51">
        <f>30*2</f>
        <v>60</v>
      </c>
      <c r="L41" s="51">
        <v>1045.0</v>
      </c>
      <c r="M41" s="51">
        <v>1255.0</v>
      </c>
      <c r="N41" s="49">
        <v>1255.0</v>
      </c>
      <c r="O41" s="49" t="s">
        <v>70</v>
      </c>
      <c r="P41" s="49">
        <v>121.0</v>
      </c>
      <c r="Q41" s="49" t="s">
        <v>81</v>
      </c>
      <c r="R41" s="52">
        <v>10.0</v>
      </c>
      <c r="S41" s="49">
        <v>104.0</v>
      </c>
      <c r="T41" s="49">
        <v>176.0</v>
      </c>
      <c r="U41" s="49">
        <v>104.0</v>
      </c>
      <c r="V41" s="49">
        <v>0.3</v>
      </c>
      <c r="W41" s="49" t="s">
        <v>52</v>
      </c>
      <c r="X41" s="49" t="s">
        <v>52</v>
      </c>
      <c r="Y41" s="55" t="s">
        <v>42</v>
      </c>
      <c r="Z41" s="47"/>
      <c r="AA41" s="56"/>
      <c r="AB41" s="46"/>
      <c r="AC41" s="57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</row>
    <row r="42" ht="19.5" customHeight="1">
      <c r="A42" s="34" t="s">
        <v>82</v>
      </c>
      <c r="B42" s="24"/>
      <c r="C42" s="23"/>
      <c r="D42" s="58"/>
      <c r="E42" s="58"/>
      <c r="F42" s="59"/>
      <c r="G42" s="60"/>
      <c r="H42" s="58"/>
      <c r="I42" s="59"/>
      <c r="J42" s="61" t="s">
        <v>45</v>
      </c>
      <c r="K42" s="62" t="s">
        <v>46</v>
      </c>
      <c r="L42" s="63" t="s">
        <v>47</v>
      </c>
      <c r="M42" s="24"/>
      <c r="N42" s="24"/>
      <c r="O42" s="24"/>
      <c r="P42" s="61" t="s">
        <v>48</v>
      </c>
      <c r="Q42" s="64" t="s">
        <v>67</v>
      </c>
      <c r="R42" s="65"/>
      <c r="S42" s="66" t="s">
        <v>50</v>
      </c>
      <c r="T42" s="24"/>
      <c r="U42" s="23"/>
      <c r="V42" s="61" t="s">
        <v>51</v>
      </c>
      <c r="W42" s="68">
        <v>0.675</v>
      </c>
      <c r="X42" s="61" t="s">
        <v>52</v>
      </c>
      <c r="Y42" s="60"/>
      <c r="Z42" s="59"/>
      <c r="AA42" s="60"/>
      <c r="AB42" s="58"/>
      <c r="AC42" s="67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</row>
    <row r="43" ht="19.5" customHeight="1">
      <c r="A43" s="44" t="s">
        <v>83</v>
      </c>
      <c r="B43" s="6"/>
      <c r="C43" s="5"/>
      <c r="D43" s="45" t="s">
        <v>84</v>
      </c>
      <c r="E43" s="46"/>
      <c r="F43" s="47"/>
      <c r="G43" s="48" t="s">
        <v>37</v>
      </c>
      <c r="H43" s="46"/>
      <c r="I43" s="47"/>
      <c r="J43" s="49" t="s">
        <v>38</v>
      </c>
      <c r="K43" s="69">
        <v>15536.0</v>
      </c>
      <c r="L43" s="51">
        <v>3.63</v>
      </c>
      <c r="M43" s="51" t="s">
        <v>39</v>
      </c>
      <c r="N43" s="49">
        <v>50.8</v>
      </c>
      <c r="O43" s="49" t="s">
        <v>40</v>
      </c>
      <c r="P43" s="49">
        <v>4.12</v>
      </c>
      <c r="Q43" s="49" t="s">
        <v>41</v>
      </c>
      <c r="R43" s="52">
        <v>21.0</v>
      </c>
      <c r="S43" s="49">
        <v>104.0</v>
      </c>
      <c r="T43" s="49">
        <v>176.0</v>
      </c>
      <c r="U43" s="53">
        <v>330.9</v>
      </c>
      <c r="V43" s="75">
        <v>0.008</v>
      </c>
      <c r="W43" s="49">
        <v>100.0</v>
      </c>
      <c r="X43" s="49">
        <v>0.85</v>
      </c>
      <c r="Y43" s="55" t="s">
        <v>42</v>
      </c>
      <c r="Z43" s="47"/>
      <c r="AA43" s="56" t="s">
        <v>85</v>
      </c>
      <c r="AB43" s="46"/>
      <c r="AC43" s="57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</row>
    <row r="44" ht="19.5" customHeight="1">
      <c r="A44" s="34" t="s">
        <v>86</v>
      </c>
      <c r="B44" s="24"/>
      <c r="C44" s="23"/>
      <c r="D44" s="58"/>
      <c r="E44" s="58"/>
      <c r="F44" s="59"/>
      <c r="G44" s="60"/>
      <c r="H44" s="58"/>
      <c r="I44" s="59"/>
      <c r="J44" s="61" t="s">
        <v>45</v>
      </c>
      <c r="K44" s="62" t="s">
        <v>46</v>
      </c>
      <c r="L44" s="63" t="s">
        <v>47</v>
      </c>
      <c r="M44" s="24"/>
      <c r="N44" s="24"/>
      <c r="O44" s="24"/>
      <c r="P44" s="61" t="s">
        <v>48</v>
      </c>
      <c r="Q44" s="64" t="s">
        <v>49</v>
      </c>
      <c r="R44" s="65"/>
      <c r="S44" s="66" t="s">
        <v>50</v>
      </c>
      <c r="T44" s="24"/>
      <c r="U44" s="23"/>
      <c r="V44" s="61" t="s">
        <v>51</v>
      </c>
      <c r="W44" s="61" t="s">
        <v>52</v>
      </c>
      <c r="X44" s="61">
        <v>1.04</v>
      </c>
      <c r="Y44" s="60"/>
      <c r="Z44" s="59"/>
      <c r="AA44" s="60"/>
      <c r="AB44" s="58"/>
      <c r="AC44" s="67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</row>
    <row r="45" ht="19.5" customHeight="1">
      <c r="A45" s="44" t="s">
        <v>83</v>
      </c>
      <c r="B45" s="6"/>
      <c r="C45" s="5"/>
      <c r="D45" s="45" t="s">
        <v>84</v>
      </c>
      <c r="E45" s="46"/>
      <c r="F45" s="47"/>
      <c r="G45" s="48" t="s">
        <v>53</v>
      </c>
      <c r="H45" s="46"/>
      <c r="I45" s="47"/>
      <c r="J45" s="49" t="s">
        <v>54</v>
      </c>
      <c r="K45" s="51">
        <v>47047.0</v>
      </c>
      <c r="L45" s="51">
        <v>3.63</v>
      </c>
      <c r="M45" s="51" t="s">
        <v>39</v>
      </c>
      <c r="N45" s="49">
        <v>50.8</v>
      </c>
      <c r="O45" s="49" t="s">
        <v>40</v>
      </c>
      <c r="P45" s="49">
        <v>4.12</v>
      </c>
      <c r="Q45" s="49" t="s">
        <v>41</v>
      </c>
      <c r="R45" s="52">
        <v>10.0</v>
      </c>
      <c r="S45" s="49">
        <v>104.0</v>
      </c>
      <c r="T45" s="49">
        <v>176.0</v>
      </c>
      <c r="U45" s="53">
        <v>122.0</v>
      </c>
      <c r="V45" s="53">
        <v>0.31</v>
      </c>
      <c r="W45" s="49" t="s">
        <v>52</v>
      </c>
      <c r="X45" s="49" t="s">
        <v>52</v>
      </c>
      <c r="Y45" s="55" t="s">
        <v>42</v>
      </c>
      <c r="Z45" s="47"/>
      <c r="AA45" s="56" t="s">
        <v>85</v>
      </c>
      <c r="AB45" s="46"/>
      <c r="AC45" s="57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</row>
    <row r="46" ht="19.5" customHeight="1">
      <c r="A46" s="34" t="s">
        <v>86</v>
      </c>
      <c r="B46" s="24"/>
      <c r="C46" s="23"/>
      <c r="D46" s="58"/>
      <c r="E46" s="58"/>
      <c r="F46" s="59"/>
      <c r="G46" s="60"/>
      <c r="H46" s="58"/>
      <c r="I46" s="59"/>
      <c r="J46" s="61" t="s">
        <v>45</v>
      </c>
      <c r="K46" s="62" t="s">
        <v>46</v>
      </c>
      <c r="L46" s="63" t="s">
        <v>47</v>
      </c>
      <c r="M46" s="24"/>
      <c r="N46" s="24"/>
      <c r="O46" s="24"/>
      <c r="P46" s="61" t="s">
        <v>48</v>
      </c>
      <c r="Q46" s="64" t="s">
        <v>49</v>
      </c>
      <c r="R46" s="65"/>
      <c r="S46" s="66" t="s">
        <v>50</v>
      </c>
      <c r="T46" s="24"/>
      <c r="U46" s="23"/>
      <c r="V46" s="61" t="s">
        <v>51</v>
      </c>
      <c r="W46" s="68">
        <v>0.662</v>
      </c>
      <c r="X46" s="61" t="s">
        <v>52</v>
      </c>
      <c r="Y46" s="60"/>
      <c r="Z46" s="59"/>
      <c r="AA46" s="60"/>
      <c r="AB46" s="58"/>
      <c r="AC46" s="67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ht="19.5" customHeight="1">
      <c r="A47" s="44" t="s">
        <v>83</v>
      </c>
      <c r="B47" s="6"/>
      <c r="C47" s="5"/>
      <c r="D47" s="45" t="s">
        <v>84</v>
      </c>
      <c r="E47" s="46"/>
      <c r="F47" s="47"/>
      <c r="G47" s="48" t="s">
        <v>55</v>
      </c>
      <c r="H47" s="46"/>
      <c r="I47" s="47"/>
      <c r="J47" s="49" t="s">
        <v>54</v>
      </c>
      <c r="K47" s="51">
        <v>47047.0</v>
      </c>
      <c r="L47" s="51">
        <v>3.63</v>
      </c>
      <c r="M47" s="51" t="s">
        <v>39</v>
      </c>
      <c r="N47" s="49">
        <v>50.8</v>
      </c>
      <c r="O47" s="49" t="s">
        <v>40</v>
      </c>
      <c r="P47" s="49">
        <v>4.12</v>
      </c>
      <c r="Q47" s="49" t="s">
        <v>41</v>
      </c>
      <c r="R47" s="52">
        <v>10.0</v>
      </c>
      <c r="S47" s="49">
        <v>104.0</v>
      </c>
      <c r="T47" s="49">
        <v>176.0</v>
      </c>
      <c r="U47" s="53">
        <v>122.0</v>
      </c>
      <c r="V47" s="53">
        <v>0.31</v>
      </c>
      <c r="W47" s="49" t="s">
        <v>52</v>
      </c>
      <c r="X47" s="49" t="s">
        <v>52</v>
      </c>
      <c r="Y47" s="55" t="s">
        <v>42</v>
      </c>
      <c r="Z47" s="47"/>
      <c r="AA47" s="56" t="s">
        <v>85</v>
      </c>
      <c r="AB47" s="46"/>
      <c r="AC47" s="57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</row>
    <row r="48" ht="19.5" customHeight="1">
      <c r="A48" s="34" t="s">
        <v>86</v>
      </c>
      <c r="B48" s="24"/>
      <c r="C48" s="23"/>
      <c r="D48" s="58"/>
      <c r="E48" s="58"/>
      <c r="F48" s="59"/>
      <c r="G48" s="60"/>
      <c r="H48" s="58"/>
      <c r="I48" s="59"/>
      <c r="J48" s="61" t="s">
        <v>45</v>
      </c>
      <c r="K48" s="62" t="s">
        <v>46</v>
      </c>
      <c r="L48" s="63" t="s">
        <v>47</v>
      </c>
      <c r="M48" s="24"/>
      <c r="N48" s="24"/>
      <c r="O48" s="24"/>
      <c r="P48" s="61" t="s">
        <v>48</v>
      </c>
      <c r="Q48" s="64" t="s">
        <v>49</v>
      </c>
      <c r="R48" s="65"/>
      <c r="S48" s="66" t="s">
        <v>50</v>
      </c>
      <c r="T48" s="24"/>
      <c r="U48" s="23"/>
      <c r="V48" s="61" t="s">
        <v>51</v>
      </c>
      <c r="W48" s="68">
        <v>0.662</v>
      </c>
      <c r="X48" s="61" t="s">
        <v>52</v>
      </c>
      <c r="Y48" s="60"/>
      <c r="Z48" s="59"/>
      <c r="AA48" s="60"/>
      <c r="AB48" s="58"/>
      <c r="AC48" s="67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</row>
    <row r="49" ht="19.5" customHeight="1">
      <c r="A49" s="44" t="s">
        <v>83</v>
      </c>
      <c r="B49" s="6"/>
      <c r="C49" s="5"/>
      <c r="D49" s="45" t="s">
        <v>84</v>
      </c>
      <c r="E49" s="46"/>
      <c r="F49" s="47"/>
      <c r="G49" s="48" t="s">
        <v>56</v>
      </c>
      <c r="H49" s="46"/>
      <c r="I49" s="47"/>
      <c r="J49" s="49" t="s">
        <v>54</v>
      </c>
      <c r="K49" s="51">
        <v>47047.0</v>
      </c>
      <c r="L49" s="51">
        <v>3.63</v>
      </c>
      <c r="M49" s="51" t="s">
        <v>39</v>
      </c>
      <c r="N49" s="49">
        <v>50.8</v>
      </c>
      <c r="O49" s="49" t="s">
        <v>40</v>
      </c>
      <c r="P49" s="49">
        <v>4.12</v>
      </c>
      <c r="Q49" s="49" t="s">
        <v>41</v>
      </c>
      <c r="R49" s="52">
        <v>10.0</v>
      </c>
      <c r="S49" s="49">
        <v>104.0</v>
      </c>
      <c r="T49" s="49">
        <v>176.0</v>
      </c>
      <c r="U49" s="53">
        <v>122.0</v>
      </c>
      <c r="V49" s="53">
        <v>0.31</v>
      </c>
      <c r="W49" s="49" t="s">
        <v>52</v>
      </c>
      <c r="X49" s="49" t="s">
        <v>52</v>
      </c>
      <c r="Y49" s="55" t="s">
        <v>42</v>
      </c>
      <c r="Z49" s="47"/>
      <c r="AA49" s="56" t="s">
        <v>85</v>
      </c>
      <c r="AB49" s="46"/>
      <c r="AC49" s="57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</row>
    <row r="50" ht="19.5" customHeight="1">
      <c r="A50" s="34" t="s">
        <v>86</v>
      </c>
      <c r="B50" s="24"/>
      <c r="C50" s="23"/>
      <c r="D50" s="58"/>
      <c r="E50" s="58"/>
      <c r="F50" s="59"/>
      <c r="G50" s="60"/>
      <c r="H50" s="58"/>
      <c r="I50" s="59"/>
      <c r="J50" s="61" t="s">
        <v>45</v>
      </c>
      <c r="K50" s="62" t="s">
        <v>46</v>
      </c>
      <c r="L50" s="63" t="s">
        <v>47</v>
      </c>
      <c r="M50" s="24"/>
      <c r="N50" s="24"/>
      <c r="O50" s="24"/>
      <c r="P50" s="61" t="s">
        <v>48</v>
      </c>
      <c r="Q50" s="64" t="s">
        <v>49</v>
      </c>
      <c r="R50" s="65"/>
      <c r="S50" s="66" t="s">
        <v>50</v>
      </c>
      <c r="T50" s="24"/>
      <c r="U50" s="23"/>
      <c r="V50" s="61" t="s">
        <v>51</v>
      </c>
      <c r="W50" s="68">
        <v>0.662</v>
      </c>
      <c r="X50" s="61" t="s">
        <v>52</v>
      </c>
      <c r="Y50" s="60"/>
      <c r="Z50" s="59"/>
      <c r="AA50" s="60"/>
      <c r="AB50" s="58"/>
      <c r="AC50" s="67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ht="19.5" customHeight="1">
      <c r="A51" s="44" t="s">
        <v>83</v>
      </c>
      <c r="B51" s="6"/>
      <c r="C51" s="5"/>
      <c r="D51" s="45" t="s">
        <v>84</v>
      </c>
      <c r="E51" s="46"/>
      <c r="F51" s="47"/>
      <c r="G51" s="48" t="s">
        <v>57</v>
      </c>
      <c r="H51" s="46"/>
      <c r="I51" s="47"/>
      <c r="J51" s="49" t="s">
        <v>54</v>
      </c>
      <c r="K51" s="51">
        <v>47047.0</v>
      </c>
      <c r="L51" s="51">
        <v>3.63</v>
      </c>
      <c r="M51" s="51" t="s">
        <v>39</v>
      </c>
      <c r="N51" s="49">
        <v>50.8</v>
      </c>
      <c r="O51" s="49" t="s">
        <v>40</v>
      </c>
      <c r="P51" s="49">
        <v>4.12</v>
      </c>
      <c r="Q51" s="49" t="s">
        <v>41</v>
      </c>
      <c r="R51" s="52">
        <v>10.0</v>
      </c>
      <c r="S51" s="49">
        <v>104.0</v>
      </c>
      <c r="T51" s="49">
        <v>176.0</v>
      </c>
      <c r="U51" s="53">
        <v>122.0</v>
      </c>
      <c r="V51" s="53">
        <v>0.31</v>
      </c>
      <c r="W51" s="49" t="s">
        <v>52</v>
      </c>
      <c r="X51" s="49" t="s">
        <v>52</v>
      </c>
      <c r="Y51" s="55" t="s">
        <v>42</v>
      </c>
      <c r="Z51" s="47"/>
      <c r="AA51" s="56" t="s">
        <v>85</v>
      </c>
      <c r="AB51" s="46"/>
      <c r="AC51" s="57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</row>
    <row r="52" ht="19.5" customHeight="1">
      <c r="A52" s="34" t="s">
        <v>86</v>
      </c>
      <c r="B52" s="24"/>
      <c r="C52" s="23"/>
      <c r="D52" s="58"/>
      <c r="E52" s="58"/>
      <c r="F52" s="59"/>
      <c r="G52" s="60"/>
      <c r="H52" s="58"/>
      <c r="I52" s="59"/>
      <c r="J52" s="61" t="s">
        <v>45</v>
      </c>
      <c r="K52" s="62" t="s">
        <v>46</v>
      </c>
      <c r="L52" s="63" t="s">
        <v>47</v>
      </c>
      <c r="M52" s="24"/>
      <c r="N52" s="24"/>
      <c r="O52" s="24"/>
      <c r="P52" s="61" t="s">
        <v>48</v>
      </c>
      <c r="Q52" s="64" t="s">
        <v>49</v>
      </c>
      <c r="R52" s="65"/>
      <c r="S52" s="66" t="s">
        <v>50</v>
      </c>
      <c r="T52" s="24"/>
      <c r="U52" s="23"/>
      <c r="V52" s="61" t="s">
        <v>51</v>
      </c>
      <c r="W52" s="68">
        <v>0.662</v>
      </c>
      <c r="X52" s="61" t="s">
        <v>52</v>
      </c>
      <c r="Y52" s="60"/>
      <c r="Z52" s="59"/>
      <c r="AA52" s="60"/>
      <c r="AB52" s="58"/>
      <c r="AC52" s="67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</row>
    <row r="53" ht="39.75" customHeight="1">
      <c r="A53" s="44" t="s">
        <v>83</v>
      </c>
      <c r="B53" s="6"/>
      <c r="C53" s="5"/>
      <c r="D53" s="45" t="s">
        <v>84</v>
      </c>
      <c r="E53" s="46"/>
      <c r="F53" s="47"/>
      <c r="G53" s="48" t="s">
        <v>58</v>
      </c>
      <c r="H53" s="46"/>
      <c r="I53" s="47"/>
      <c r="J53" s="49" t="s">
        <v>38</v>
      </c>
      <c r="K53" s="51">
        <v>998.0</v>
      </c>
      <c r="L53" s="51">
        <v>3.63</v>
      </c>
      <c r="M53" s="51" t="s">
        <v>39</v>
      </c>
      <c r="N53" s="49">
        <v>50.8</v>
      </c>
      <c r="O53" s="49" t="s">
        <v>40</v>
      </c>
      <c r="P53" s="49">
        <v>4.12</v>
      </c>
      <c r="Q53" s="49" t="s">
        <v>41</v>
      </c>
      <c r="R53" s="52">
        <v>10.0</v>
      </c>
      <c r="S53" s="49">
        <v>104.0</v>
      </c>
      <c r="T53" s="49">
        <v>176.0</v>
      </c>
      <c r="U53" s="53">
        <v>86.0</v>
      </c>
      <c r="V53" s="54">
        <v>0.018</v>
      </c>
      <c r="W53" s="49">
        <v>28.0</v>
      </c>
      <c r="X53" s="70">
        <v>1.0</v>
      </c>
      <c r="Y53" s="55" t="s">
        <v>42</v>
      </c>
      <c r="Z53" s="47"/>
      <c r="AA53" s="56" t="s">
        <v>87</v>
      </c>
      <c r="AB53" s="46"/>
      <c r="AC53" s="57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</row>
    <row r="54" ht="39.75" customHeight="1">
      <c r="A54" s="34" t="s">
        <v>86</v>
      </c>
      <c r="B54" s="24"/>
      <c r="C54" s="23"/>
      <c r="D54" s="58"/>
      <c r="E54" s="58"/>
      <c r="F54" s="59"/>
      <c r="G54" s="60"/>
      <c r="H54" s="58"/>
      <c r="I54" s="59"/>
      <c r="J54" s="61" t="s">
        <v>60</v>
      </c>
      <c r="K54" s="62" t="s">
        <v>46</v>
      </c>
      <c r="L54" s="63" t="s">
        <v>47</v>
      </c>
      <c r="M54" s="24"/>
      <c r="N54" s="24"/>
      <c r="O54" s="24"/>
      <c r="P54" s="61" t="s">
        <v>48</v>
      </c>
      <c r="Q54" s="64" t="s">
        <v>49</v>
      </c>
      <c r="R54" s="65"/>
      <c r="S54" s="66" t="s">
        <v>50</v>
      </c>
      <c r="T54" s="24"/>
      <c r="U54" s="23"/>
      <c r="V54" s="61" t="s">
        <v>51</v>
      </c>
      <c r="W54" s="61" t="s">
        <v>52</v>
      </c>
      <c r="X54" s="71">
        <v>1.4</v>
      </c>
      <c r="Y54" s="60"/>
      <c r="Z54" s="59"/>
      <c r="AA54" s="60"/>
      <c r="AB54" s="58"/>
      <c r="AC54" s="67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</row>
    <row r="55" ht="19.5" customHeight="1">
      <c r="A55" s="44" t="s">
        <v>83</v>
      </c>
      <c r="B55" s="6"/>
      <c r="C55" s="5"/>
      <c r="D55" s="45" t="s">
        <v>84</v>
      </c>
      <c r="E55" s="46"/>
      <c r="F55" s="47"/>
      <c r="G55" s="48" t="s">
        <v>61</v>
      </c>
      <c r="H55" s="46"/>
      <c r="I55" s="47"/>
      <c r="J55" s="49" t="s">
        <v>54</v>
      </c>
      <c r="K55" s="51">
        <v>47047.0</v>
      </c>
      <c r="L55" s="51">
        <v>3.63</v>
      </c>
      <c r="M55" s="51" t="s">
        <v>39</v>
      </c>
      <c r="N55" s="49">
        <v>50.8</v>
      </c>
      <c r="O55" s="49" t="s">
        <v>40</v>
      </c>
      <c r="P55" s="49">
        <v>4.12</v>
      </c>
      <c r="Q55" s="49" t="s">
        <v>41</v>
      </c>
      <c r="R55" s="52">
        <v>10.0</v>
      </c>
      <c r="S55" s="49">
        <v>104.0</v>
      </c>
      <c r="T55" s="49">
        <v>176.0</v>
      </c>
      <c r="U55" s="53">
        <v>122.0</v>
      </c>
      <c r="V55" s="53">
        <v>0.31</v>
      </c>
      <c r="W55" s="49" t="s">
        <v>52</v>
      </c>
      <c r="X55" s="49" t="s">
        <v>52</v>
      </c>
      <c r="Y55" s="55" t="s">
        <v>42</v>
      </c>
      <c r="Z55" s="47"/>
      <c r="AA55" s="56" t="s">
        <v>85</v>
      </c>
      <c r="AB55" s="46"/>
      <c r="AC55" s="57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</row>
    <row r="56" ht="19.5" customHeight="1">
      <c r="A56" s="34" t="s">
        <v>86</v>
      </c>
      <c r="B56" s="24"/>
      <c r="C56" s="23"/>
      <c r="D56" s="58"/>
      <c r="E56" s="58"/>
      <c r="F56" s="59"/>
      <c r="G56" s="60"/>
      <c r="H56" s="58"/>
      <c r="I56" s="59"/>
      <c r="J56" s="61" t="s">
        <v>45</v>
      </c>
      <c r="K56" s="62" t="s">
        <v>46</v>
      </c>
      <c r="L56" s="63" t="s">
        <v>47</v>
      </c>
      <c r="M56" s="24"/>
      <c r="N56" s="24"/>
      <c r="O56" s="24"/>
      <c r="P56" s="61" t="s">
        <v>48</v>
      </c>
      <c r="Q56" s="64" t="s">
        <v>49</v>
      </c>
      <c r="R56" s="65"/>
      <c r="S56" s="66" t="s">
        <v>50</v>
      </c>
      <c r="T56" s="24"/>
      <c r="U56" s="23"/>
      <c r="V56" s="61" t="s">
        <v>51</v>
      </c>
      <c r="W56" s="68">
        <v>0.662</v>
      </c>
      <c r="X56" s="61" t="s">
        <v>52</v>
      </c>
      <c r="Y56" s="60"/>
      <c r="Z56" s="59"/>
      <c r="AA56" s="60"/>
      <c r="AB56" s="58"/>
      <c r="AC56" s="67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</row>
    <row r="57" ht="19.5" customHeight="1">
      <c r="A57" s="44" t="s">
        <v>88</v>
      </c>
      <c r="B57" s="6"/>
      <c r="C57" s="5"/>
      <c r="D57" s="45" t="s">
        <v>89</v>
      </c>
      <c r="E57" s="46"/>
      <c r="F57" s="47"/>
      <c r="G57" s="48" t="s">
        <v>55</v>
      </c>
      <c r="H57" s="46"/>
      <c r="I57" s="47"/>
      <c r="J57" s="49" t="s">
        <v>54</v>
      </c>
      <c r="K57" s="51">
        <f>60*2</f>
        <v>120</v>
      </c>
      <c r="L57" s="51">
        <v>1046.0</v>
      </c>
      <c r="M57" s="51">
        <v>1255.8</v>
      </c>
      <c r="N57" s="49">
        <v>1255.8</v>
      </c>
      <c r="O57" s="49" t="s">
        <v>70</v>
      </c>
      <c r="P57" s="49">
        <v>121.0</v>
      </c>
      <c r="Q57" s="49" t="s">
        <v>90</v>
      </c>
      <c r="R57" s="52">
        <v>10.0</v>
      </c>
      <c r="S57" s="49">
        <v>104.0</v>
      </c>
      <c r="T57" s="49">
        <v>176.0</v>
      </c>
      <c r="U57" s="49">
        <v>104.0</v>
      </c>
      <c r="V57" s="49">
        <v>0.3</v>
      </c>
      <c r="W57" s="49" t="s">
        <v>52</v>
      </c>
      <c r="X57" s="49" t="s">
        <v>52</v>
      </c>
      <c r="Y57" s="73" t="s">
        <v>72</v>
      </c>
      <c r="Z57" s="47"/>
      <c r="AA57" s="56"/>
      <c r="AB57" s="46"/>
      <c r="AC57" s="57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</row>
    <row r="58" ht="19.5" customHeight="1">
      <c r="A58" s="34" t="s">
        <v>91</v>
      </c>
      <c r="B58" s="24"/>
      <c r="C58" s="23"/>
      <c r="D58" s="58"/>
      <c r="E58" s="58"/>
      <c r="F58" s="59"/>
      <c r="G58" s="60"/>
      <c r="H58" s="58"/>
      <c r="I58" s="59"/>
      <c r="J58" s="61" t="s">
        <v>92</v>
      </c>
      <c r="K58" s="62" t="s">
        <v>46</v>
      </c>
      <c r="L58" s="63" t="s">
        <v>47</v>
      </c>
      <c r="M58" s="24"/>
      <c r="N58" s="24"/>
      <c r="O58" s="24"/>
      <c r="P58" s="61" t="s">
        <v>48</v>
      </c>
      <c r="Q58" s="64" t="s">
        <v>67</v>
      </c>
      <c r="R58" s="65"/>
      <c r="S58" s="66" t="s">
        <v>50</v>
      </c>
      <c r="T58" s="24"/>
      <c r="U58" s="23"/>
      <c r="V58" s="61" t="s">
        <v>51</v>
      </c>
      <c r="W58" s="61">
        <v>0.687</v>
      </c>
      <c r="X58" s="61" t="s">
        <v>52</v>
      </c>
      <c r="Y58" s="60"/>
      <c r="Z58" s="59"/>
      <c r="AA58" s="60"/>
      <c r="AB58" s="58"/>
      <c r="AC58" s="67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</row>
    <row r="59" ht="19.5" customHeight="1">
      <c r="A59" s="44" t="s">
        <v>93</v>
      </c>
      <c r="B59" s="6"/>
      <c r="C59" s="5"/>
      <c r="D59" s="45" t="s">
        <v>94</v>
      </c>
      <c r="E59" s="46"/>
      <c r="F59" s="47"/>
      <c r="G59" s="48" t="s">
        <v>37</v>
      </c>
      <c r="H59" s="46"/>
      <c r="I59" s="47"/>
      <c r="J59" s="49" t="s">
        <v>38</v>
      </c>
      <c r="K59" s="69">
        <v>38219.0</v>
      </c>
      <c r="L59" s="51">
        <v>3.63</v>
      </c>
      <c r="M59" s="51" t="s">
        <v>39</v>
      </c>
      <c r="N59" s="49">
        <v>50.8</v>
      </c>
      <c r="O59" s="72" t="s">
        <v>64</v>
      </c>
      <c r="P59" s="53">
        <v>15.2</v>
      </c>
      <c r="Q59" s="49" t="s">
        <v>95</v>
      </c>
      <c r="R59" s="52">
        <v>21.0</v>
      </c>
      <c r="S59" s="49">
        <v>104.0</v>
      </c>
      <c r="T59" s="49">
        <v>176.0</v>
      </c>
      <c r="U59" s="53">
        <v>330.9</v>
      </c>
      <c r="V59" s="54">
        <v>0.008</v>
      </c>
      <c r="W59" s="49">
        <v>100.0</v>
      </c>
      <c r="X59" s="49">
        <v>0.85</v>
      </c>
      <c r="Y59" s="55" t="s">
        <v>42</v>
      </c>
      <c r="Z59" s="47"/>
      <c r="AA59" s="56" t="s">
        <v>96</v>
      </c>
      <c r="AB59" s="46"/>
      <c r="AC59" s="57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</row>
    <row r="60" ht="19.5" customHeight="1">
      <c r="A60" s="34" t="s">
        <v>97</v>
      </c>
      <c r="B60" s="24"/>
      <c r="C60" s="23"/>
      <c r="D60" s="58"/>
      <c r="E60" s="58"/>
      <c r="F60" s="59"/>
      <c r="G60" s="60"/>
      <c r="H60" s="58"/>
      <c r="I60" s="59"/>
      <c r="J60" s="61" t="s">
        <v>45</v>
      </c>
      <c r="K60" s="62" t="s">
        <v>46</v>
      </c>
      <c r="L60" s="63" t="s">
        <v>47</v>
      </c>
      <c r="M60" s="24"/>
      <c r="N60" s="24"/>
      <c r="O60" s="24"/>
      <c r="P60" s="61" t="s">
        <v>48</v>
      </c>
      <c r="Q60" s="76" t="s">
        <v>49</v>
      </c>
      <c r="R60" s="65"/>
      <c r="S60" s="66" t="s">
        <v>50</v>
      </c>
      <c r="T60" s="24"/>
      <c r="U60" s="23"/>
      <c r="V60" s="61" t="s">
        <v>51</v>
      </c>
      <c r="W60" s="61" t="s">
        <v>52</v>
      </c>
      <c r="X60" s="61">
        <v>1.04</v>
      </c>
      <c r="Y60" s="60"/>
      <c r="Z60" s="59"/>
      <c r="AA60" s="60"/>
      <c r="AB60" s="58"/>
      <c r="AC60" s="67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</row>
    <row r="61" ht="19.5" customHeight="1">
      <c r="A61" s="44" t="s">
        <v>93</v>
      </c>
      <c r="B61" s="6"/>
      <c r="C61" s="5"/>
      <c r="D61" s="45" t="s">
        <v>94</v>
      </c>
      <c r="E61" s="46"/>
      <c r="F61" s="47"/>
      <c r="G61" s="48" t="s">
        <v>53</v>
      </c>
      <c r="H61" s="46"/>
      <c r="I61" s="47"/>
      <c r="J61" s="49" t="s">
        <v>54</v>
      </c>
      <c r="K61" s="69">
        <v>122449.0</v>
      </c>
      <c r="L61" s="51">
        <v>3.63</v>
      </c>
      <c r="M61" s="51" t="s">
        <v>39</v>
      </c>
      <c r="N61" s="49">
        <v>50.8</v>
      </c>
      <c r="O61" s="72" t="s">
        <v>64</v>
      </c>
      <c r="P61" s="53">
        <v>15.2</v>
      </c>
      <c r="Q61" s="49" t="s">
        <v>95</v>
      </c>
      <c r="R61" s="52">
        <v>10.0</v>
      </c>
      <c r="S61" s="49">
        <v>104.0</v>
      </c>
      <c r="T61" s="49">
        <v>176.0</v>
      </c>
      <c r="U61" s="53">
        <v>122.0</v>
      </c>
      <c r="V61" s="53">
        <v>0.31</v>
      </c>
      <c r="W61" s="49" t="s">
        <v>52</v>
      </c>
      <c r="X61" s="49" t="s">
        <v>52</v>
      </c>
      <c r="Y61" s="55" t="s">
        <v>42</v>
      </c>
      <c r="Z61" s="47"/>
      <c r="AA61" s="56" t="s">
        <v>96</v>
      </c>
      <c r="AB61" s="46"/>
      <c r="AC61" s="57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</row>
    <row r="62" ht="19.5" customHeight="1">
      <c r="A62" s="34" t="s">
        <v>97</v>
      </c>
      <c r="B62" s="24"/>
      <c r="C62" s="23"/>
      <c r="D62" s="58"/>
      <c r="E62" s="58"/>
      <c r="F62" s="59"/>
      <c r="G62" s="60"/>
      <c r="H62" s="58"/>
      <c r="I62" s="59"/>
      <c r="J62" s="61" t="s">
        <v>45</v>
      </c>
      <c r="K62" s="62" t="s">
        <v>46</v>
      </c>
      <c r="L62" s="63" t="s">
        <v>47</v>
      </c>
      <c r="M62" s="24"/>
      <c r="N62" s="24"/>
      <c r="O62" s="24"/>
      <c r="P62" s="61" t="s">
        <v>48</v>
      </c>
      <c r="Q62" s="76" t="s">
        <v>49</v>
      </c>
      <c r="R62" s="65"/>
      <c r="S62" s="66" t="s">
        <v>50</v>
      </c>
      <c r="T62" s="24"/>
      <c r="U62" s="23"/>
      <c r="V62" s="61" t="s">
        <v>51</v>
      </c>
      <c r="W62" s="68">
        <v>0.662</v>
      </c>
      <c r="X62" s="61" t="s">
        <v>52</v>
      </c>
      <c r="Y62" s="60"/>
      <c r="Z62" s="59"/>
      <c r="AA62" s="60"/>
      <c r="AB62" s="58"/>
      <c r="AC62" s="67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</row>
    <row r="63" ht="19.5" customHeight="1">
      <c r="A63" s="44" t="s">
        <v>93</v>
      </c>
      <c r="B63" s="6"/>
      <c r="C63" s="5"/>
      <c r="D63" s="45" t="s">
        <v>94</v>
      </c>
      <c r="E63" s="46"/>
      <c r="F63" s="47"/>
      <c r="G63" s="48" t="s">
        <v>55</v>
      </c>
      <c r="H63" s="46"/>
      <c r="I63" s="47"/>
      <c r="J63" s="49" t="s">
        <v>54</v>
      </c>
      <c r="K63" s="69">
        <v>122449.0</v>
      </c>
      <c r="L63" s="51">
        <v>3.63</v>
      </c>
      <c r="M63" s="51" t="s">
        <v>39</v>
      </c>
      <c r="N63" s="49">
        <v>50.8</v>
      </c>
      <c r="O63" s="72" t="s">
        <v>64</v>
      </c>
      <c r="P63" s="53">
        <v>15.2</v>
      </c>
      <c r="Q63" s="49" t="s">
        <v>95</v>
      </c>
      <c r="R63" s="52">
        <v>10.0</v>
      </c>
      <c r="S63" s="49">
        <v>104.0</v>
      </c>
      <c r="T63" s="49">
        <v>176.0</v>
      </c>
      <c r="U63" s="53">
        <v>122.0</v>
      </c>
      <c r="V63" s="53">
        <v>0.31</v>
      </c>
      <c r="W63" s="49" t="s">
        <v>52</v>
      </c>
      <c r="X63" s="49" t="s">
        <v>52</v>
      </c>
      <c r="Y63" s="55" t="s">
        <v>42</v>
      </c>
      <c r="Z63" s="47"/>
      <c r="AA63" s="56" t="s">
        <v>96</v>
      </c>
      <c r="AB63" s="46"/>
      <c r="AC63" s="57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</row>
    <row r="64" ht="19.5" customHeight="1">
      <c r="A64" s="34" t="s">
        <v>97</v>
      </c>
      <c r="B64" s="24"/>
      <c r="C64" s="23"/>
      <c r="D64" s="58"/>
      <c r="E64" s="58"/>
      <c r="F64" s="59"/>
      <c r="G64" s="60"/>
      <c r="H64" s="58"/>
      <c r="I64" s="59"/>
      <c r="J64" s="61" t="s">
        <v>45</v>
      </c>
      <c r="K64" s="62" t="s">
        <v>46</v>
      </c>
      <c r="L64" s="63" t="s">
        <v>47</v>
      </c>
      <c r="M64" s="24"/>
      <c r="N64" s="24"/>
      <c r="O64" s="24"/>
      <c r="P64" s="61" t="s">
        <v>48</v>
      </c>
      <c r="Q64" s="76" t="s">
        <v>49</v>
      </c>
      <c r="R64" s="65"/>
      <c r="S64" s="66" t="s">
        <v>50</v>
      </c>
      <c r="T64" s="24"/>
      <c r="U64" s="23"/>
      <c r="V64" s="61" t="s">
        <v>51</v>
      </c>
      <c r="W64" s="68">
        <v>0.662</v>
      </c>
      <c r="X64" s="61" t="s">
        <v>52</v>
      </c>
      <c r="Y64" s="60"/>
      <c r="Z64" s="59"/>
      <c r="AA64" s="60"/>
      <c r="AB64" s="58"/>
      <c r="AC64" s="67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ht="39.75" customHeight="1">
      <c r="A65" s="44" t="s">
        <v>93</v>
      </c>
      <c r="B65" s="6"/>
      <c r="C65" s="5"/>
      <c r="D65" s="45" t="s">
        <v>94</v>
      </c>
      <c r="E65" s="46"/>
      <c r="F65" s="47"/>
      <c r="G65" s="48" t="s">
        <v>58</v>
      </c>
      <c r="H65" s="46"/>
      <c r="I65" s="47"/>
      <c r="J65" s="49" t="s">
        <v>38</v>
      </c>
      <c r="K65" s="51">
        <v>998.0</v>
      </c>
      <c r="L65" s="51">
        <v>3.63</v>
      </c>
      <c r="M65" s="51" t="s">
        <v>39</v>
      </c>
      <c r="N65" s="49">
        <v>50.8</v>
      </c>
      <c r="O65" s="72" t="s">
        <v>64</v>
      </c>
      <c r="P65" s="53">
        <v>15.2</v>
      </c>
      <c r="Q65" s="49" t="s">
        <v>95</v>
      </c>
      <c r="R65" s="52">
        <v>10.0</v>
      </c>
      <c r="S65" s="49">
        <v>104.0</v>
      </c>
      <c r="T65" s="49">
        <v>176.0</v>
      </c>
      <c r="U65" s="53">
        <v>86.0</v>
      </c>
      <c r="V65" s="54">
        <v>0.018</v>
      </c>
      <c r="W65" s="49">
        <v>28.0</v>
      </c>
      <c r="X65" s="70">
        <v>1.0</v>
      </c>
      <c r="Y65" s="55" t="s">
        <v>42</v>
      </c>
      <c r="Z65" s="47"/>
      <c r="AA65" s="56" t="s">
        <v>98</v>
      </c>
      <c r="AB65" s="46"/>
      <c r="AC65" s="57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</row>
    <row r="66" ht="39.75" customHeight="1">
      <c r="A66" s="34" t="s">
        <v>97</v>
      </c>
      <c r="B66" s="24"/>
      <c r="C66" s="23"/>
      <c r="D66" s="58"/>
      <c r="E66" s="58"/>
      <c r="F66" s="59"/>
      <c r="G66" s="60"/>
      <c r="H66" s="58"/>
      <c r="I66" s="59"/>
      <c r="J66" s="61" t="s">
        <v>60</v>
      </c>
      <c r="K66" s="62" t="s">
        <v>46</v>
      </c>
      <c r="L66" s="63" t="s">
        <v>47</v>
      </c>
      <c r="M66" s="24"/>
      <c r="N66" s="24"/>
      <c r="O66" s="24"/>
      <c r="P66" s="61" t="s">
        <v>48</v>
      </c>
      <c r="Q66" s="76" t="s">
        <v>49</v>
      </c>
      <c r="R66" s="65"/>
      <c r="S66" s="66" t="s">
        <v>50</v>
      </c>
      <c r="T66" s="24"/>
      <c r="U66" s="23"/>
      <c r="V66" s="61" t="s">
        <v>51</v>
      </c>
      <c r="W66" s="61" t="s">
        <v>52</v>
      </c>
      <c r="X66" s="71">
        <v>1.4</v>
      </c>
      <c r="Y66" s="60"/>
      <c r="Z66" s="59"/>
      <c r="AA66" s="60"/>
      <c r="AB66" s="58"/>
      <c r="AC66" s="67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ht="19.5" customHeight="1">
      <c r="A67" s="44" t="s">
        <v>93</v>
      </c>
      <c r="B67" s="6"/>
      <c r="C67" s="5"/>
      <c r="D67" s="45" t="s">
        <v>94</v>
      </c>
      <c r="E67" s="46"/>
      <c r="F67" s="47"/>
      <c r="G67" s="48" t="s">
        <v>56</v>
      </c>
      <c r="H67" s="46"/>
      <c r="I67" s="47"/>
      <c r="J67" s="49" t="s">
        <v>54</v>
      </c>
      <c r="K67" s="69">
        <v>122449.0</v>
      </c>
      <c r="L67" s="51">
        <v>3.63</v>
      </c>
      <c r="M67" s="51" t="s">
        <v>39</v>
      </c>
      <c r="N67" s="49">
        <v>50.8</v>
      </c>
      <c r="O67" s="72" t="s">
        <v>64</v>
      </c>
      <c r="P67" s="53">
        <v>15.2</v>
      </c>
      <c r="Q67" s="49" t="s">
        <v>95</v>
      </c>
      <c r="R67" s="52">
        <v>10.0</v>
      </c>
      <c r="S67" s="49">
        <v>104.0</v>
      </c>
      <c r="T67" s="49">
        <v>176.0</v>
      </c>
      <c r="U67" s="53">
        <v>122.0</v>
      </c>
      <c r="V67" s="53">
        <v>0.31</v>
      </c>
      <c r="W67" s="49" t="s">
        <v>52</v>
      </c>
      <c r="X67" s="49" t="s">
        <v>52</v>
      </c>
      <c r="Y67" s="55" t="s">
        <v>42</v>
      </c>
      <c r="Z67" s="47"/>
      <c r="AA67" s="56" t="s">
        <v>96</v>
      </c>
      <c r="AB67" s="46"/>
      <c r="AC67" s="57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ht="19.5" customHeight="1">
      <c r="A68" s="34" t="s">
        <v>97</v>
      </c>
      <c r="B68" s="24"/>
      <c r="C68" s="23"/>
      <c r="D68" s="58"/>
      <c r="E68" s="58"/>
      <c r="F68" s="59"/>
      <c r="G68" s="60"/>
      <c r="H68" s="58"/>
      <c r="I68" s="59"/>
      <c r="J68" s="61" t="s">
        <v>45</v>
      </c>
      <c r="K68" s="62" t="s">
        <v>46</v>
      </c>
      <c r="L68" s="63" t="s">
        <v>47</v>
      </c>
      <c r="M68" s="24"/>
      <c r="N68" s="24"/>
      <c r="O68" s="24"/>
      <c r="P68" s="61" t="s">
        <v>48</v>
      </c>
      <c r="Q68" s="76" t="s">
        <v>49</v>
      </c>
      <c r="R68" s="65"/>
      <c r="S68" s="66" t="s">
        <v>50</v>
      </c>
      <c r="T68" s="24"/>
      <c r="U68" s="23"/>
      <c r="V68" s="61" t="s">
        <v>51</v>
      </c>
      <c r="W68" s="68">
        <v>0.662</v>
      </c>
      <c r="X68" s="61" t="s">
        <v>52</v>
      </c>
      <c r="Y68" s="60"/>
      <c r="Z68" s="59"/>
      <c r="AA68" s="60"/>
      <c r="AB68" s="58"/>
      <c r="AC68" s="67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ht="19.5" customHeight="1">
      <c r="A69" s="44" t="s">
        <v>93</v>
      </c>
      <c r="B69" s="6"/>
      <c r="C69" s="5"/>
      <c r="D69" s="45" t="s">
        <v>94</v>
      </c>
      <c r="E69" s="46"/>
      <c r="F69" s="47"/>
      <c r="G69" s="48" t="s">
        <v>57</v>
      </c>
      <c r="H69" s="46"/>
      <c r="I69" s="47"/>
      <c r="J69" s="49" t="s">
        <v>54</v>
      </c>
      <c r="K69" s="69">
        <v>122449.0</v>
      </c>
      <c r="L69" s="51">
        <v>3.63</v>
      </c>
      <c r="M69" s="51" t="s">
        <v>39</v>
      </c>
      <c r="N69" s="49">
        <v>50.8</v>
      </c>
      <c r="O69" s="72" t="s">
        <v>64</v>
      </c>
      <c r="P69" s="53">
        <v>15.2</v>
      </c>
      <c r="Q69" s="49" t="s">
        <v>95</v>
      </c>
      <c r="R69" s="52">
        <v>10.0</v>
      </c>
      <c r="S69" s="49">
        <v>104.0</v>
      </c>
      <c r="T69" s="49">
        <v>176.0</v>
      </c>
      <c r="U69" s="53">
        <v>122.0</v>
      </c>
      <c r="V69" s="53">
        <v>0.31</v>
      </c>
      <c r="W69" s="49" t="s">
        <v>52</v>
      </c>
      <c r="X69" s="49" t="s">
        <v>52</v>
      </c>
      <c r="Y69" s="55" t="s">
        <v>42</v>
      </c>
      <c r="Z69" s="47"/>
      <c r="AA69" s="56" t="s">
        <v>96</v>
      </c>
      <c r="AB69" s="46"/>
      <c r="AC69" s="57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</row>
    <row r="70" ht="19.5" customHeight="1">
      <c r="A70" s="34" t="s">
        <v>97</v>
      </c>
      <c r="B70" s="24"/>
      <c r="C70" s="23"/>
      <c r="D70" s="58"/>
      <c r="E70" s="58"/>
      <c r="F70" s="59"/>
      <c r="G70" s="60"/>
      <c r="H70" s="58"/>
      <c r="I70" s="59"/>
      <c r="J70" s="61" t="s">
        <v>45</v>
      </c>
      <c r="K70" s="62" t="s">
        <v>46</v>
      </c>
      <c r="L70" s="63" t="s">
        <v>47</v>
      </c>
      <c r="M70" s="24"/>
      <c r="N70" s="24"/>
      <c r="O70" s="24"/>
      <c r="P70" s="61" t="s">
        <v>48</v>
      </c>
      <c r="Q70" s="76" t="s">
        <v>49</v>
      </c>
      <c r="R70" s="65"/>
      <c r="S70" s="66" t="s">
        <v>50</v>
      </c>
      <c r="T70" s="24"/>
      <c r="U70" s="23"/>
      <c r="V70" s="61" t="s">
        <v>51</v>
      </c>
      <c r="W70" s="68">
        <v>0.662</v>
      </c>
      <c r="X70" s="61" t="s">
        <v>52</v>
      </c>
      <c r="Y70" s="60"/>
      <c r="Z70" s="59"/>
      <c r="AA70" s="60"/>
      <c r="AB70" s="58"/>
      <c r="AC70" s="67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</row>
    <row r="71" ht="19.5" customHeight="1">
      <c r="A71" s="44" t="s">
        <v>93</v>
      </c>
      <c r="B71" s="6"/>
      <c r="C71" s="5"/>
      <c r="D71" s="45" t="s">
        <v>94</v>
      </c>
      <c r="E71" s="46"/>
      <c r="F71" s="47"/>
      <c r="G71" s="48" t="s">
        <v>61</v>
      </c>
      <c r="H71" s="46"/>
      <c r="I71" s="47"/>
      <c r="J71" s="49" t="s">
        <v>54</v>
      </c>
      <c r="K71" s="69">
        <v>122449.0</v>
      </c>
      <c r="L71" s="51">
        <v>3.63</v>
      </c>
      <c r="M71" s="51" t="s">
        <v>39</v>
      </c>
      <c r="N71" s="49">
        <v>50.8</v>
      </c>
      <c r="O71" s="72" t="s">
        <v>64</v>
      </c>
      <c r="P71" s="49">
        <v>5.08</v>
      </c>
      <c r="Q71" s="49" t="s">
        <v>95</v>
      </c>
      <c r="R71" s="52">
        <v>10.0</v>
      </c>
      <c r="S71" s="49">
        <v>104.0</v>
      </c>
      <c r="T71" s="49">
        <v>176.0</v>
      </c>
      <c r="U71" s="53">
        <v>122.0</v>
      </c>
      <c r="V71" s="53">
        <v>0.31</v>
      </c>
      <c r="W71" s="49" t="s">
        <v>52</v>
      </c>
      <c r="X71" s="49" t="s">
        <v>52</v>
      </c>
      <c r="Y71" s="55" t="s">
        <v>42</v>
      </c>
      <c r="Z71" s="47"/>
      <c r="AA71" s="56" t="s">
        <v>96</v>
      </c>
      <c r="AB71" s="46"/>
      <c r="AC71" s="57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</row>
    <row r="72" ht="19.5" customHeight="1">
      <c r="A72" s="34" t="s">
        <v>97</v>
      </c>
      <c r="B72" s="24"/>
      <c r="C72" s="23"/>
      <c r="D72" s="58"/>
      <c r="E72" s="58"/>
      <c r="F72" s="59"/>
      <c r="G72" s="60"/>
      <c r="H72" s="58"/>
      <c r="I72" s="59"/>
      <c r="J72" s="61" t="s">
        <v>45</v>
      </c>
      <c r="K72" s="62" t="s">
        <v>46</v>
      </c>
      <c r="L72" s="63" t="s">
        <v>47</v>
      </c>
      <c r="M72" s="24"/>
      <c r="N72" s="24"/>
      <c r="O72" s="24"/>
      <c r="P72" s="61" t="s">
        <v>48</v>
      </c>
      <c r="Q72" s="76" t="s">
        <v>49</v>
      </c>
      <c r="R72" s="65"/>
      <c r="S72" s="66" t="s">
        <v>50</v>
      </c>
      <c r="T72" s="24"/>
      <c r="U72" s="23"/>
      <c r="V72" s="61" t="s">
        <v>51</v>
      </c>
      <c r="W72" s="68">
        <v>0.662</v>
      </c>
      <c r="X72" s="61" t="s">
        <v>52</v>
      </c>
      <c r="Y72" s="60"/>
      <c r="Z72" s="59"/>
      <c r="AA72" s="60"/>
      <c r="AB72" s="58"/>
      <c r="AC72" s="67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</row>
    <row r="73" ht="19.5" customHeight="1">
      <c r="A73" s="44" t="s">
        <v>99</v>
      </c>
      <c r="B73" s="6"/>
      <c r="C73" s="5"/>
      <c r="D73" s="45" t="s">
        <v>100</v>
      </c>
      <c r="E73" s="46"/>
      <c r="F73" s="47"/>
      <c r="G73" s="48" t="s">
        <v>55</v>
      </c>
      <c r="H73" s="46"/>
      <c r="I73" s="47"/>
      <c r="J73" s="49" t="s">
        <v>54</v>
      </c>
      <c r="K73" s="51">
        <f>132.1*2</f>
        <v>264.2</v>
      </c>
      <c r="L73" s="51">
        <v>1046.0</v>
      </c>
      <c r="M73" s="51">
        <v>1256.0</v>
      </c>
      <c r="N73" s="49">
        <v>1256.0</v>
      </c>
      <c r="O73" s="49" t="s">
        <v>70</v>
      </c>
      <c r="P73" s="49">
        <v>121.0</v>
      </c>
      <c r="Q73" s="49" t="s">
        <v>101</v>
      </c>
      <c r="R73" s="52">
        <v>10.0</v>
      </c>
      <c r="S73" s="49">
        <v>104.0</v>
      </c>
      <c r="T73" s="49">
        <v>176.0</v>
      </c>
      <c r="U73" s="49">
        <v>104.0</v>
      </c>
      <c r="V73" s="77">
        <v>2.0</v>
      </c>
      <c r="W73" s="49" t="s">
        <v>52</v>
      </c>
      <c r="X73" s="49" t="s">
        <v>52</v>
      </c>
      <c r="Y73" s="73" t="s">
        <v>72</v>
      </c>
      <c r="Z73" s="47"/>
      <c r="AA73" s="56"/>
      <c r="AB73" s="46"/>
      <c r="AC73" s="57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</row>
    <row r="74" ht="19.5" customHeight="1">
      <c r="A74" s="34" t="s">
        <v>102</v>
      </c>
      <c r="B74" s="24"/>
      <c r="C74" s="23"/>
      <c r="D74" s="58"/>
      <c r="E74" s="58"/>
      <c r="F74" s="59"/>
      <c r="G74" s="60"/>
      <c r="H74" s="58"/>
      <c r="I74" s="59"/>
      <c r="J74" s="61" t="s">
        <v>103</v>
      </c>
      <c r="K74" s="62" t="s">
        <v>46</v>
      </c>
      <c r="L74" s="63" t="s">
        <v>47</v>
      </c>
      <c r="M74" s="24"/>
      <c r="N74" s="24"/>
      <c r="O74" s="24"/>
      <c r="P74" s="61" t="s">
        <v>48</v>
      </c>
      <c r="Q74" s="64" t="s">
        <v>67</v>
      </c>
      <c r="R74" s="65"/>
      <c r="S74" s="66" t="s">
        <v>50</v>
      </c>
      <c r="T74" s="24"/>
      <c r="U74" s="23"/>
      <c r="V74" s="61" t="s">
        <v>51</v>
      </c>
      <c r="W74" s="61">
        <v>0.683</v>
      </c>
      <c r="X74" s="61" t="s">
        <v>52</v>
      </c>
      <c r="Y74" s="60"/>
      <c r="Z74" s="59"/>
      <c r="AA74" s="60"/>
      <c r="AB74" s="58"/>
      <c r="AC74" s="67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</row>
    <row r="75" ht="27.0" customHeight="1">
      <c r="A75" s="44" t="s">
        <v>104</v>
      </c>
      <c r="B75" s="6"/>
      <c r="C75" s="5"/>
      <c r="D75" s="45" t="s">
        <v>105</v>
      </c>
      <c r="E75" s="46"/>
      <c r="F75" s="47"/>
      <c r="G75" s="48" t="s">
        <v>56</v>
      </c>
      <c r="H75" s="46"/>
      <c r="I75" s="47"/>
      <c r="J75" s="49" t="s">
        <v>38</v>
      </c>
      <c r="K75" s="78">
        <v>1008.0</v>
      </c>
      <c r="L75" s="51">
        <v>20.0</v>
      </c>
      <c r="M75" s="51">
        <v>25.0</v>
      </c>
      <c r="N75" s="49">
        <v>25.0</v>
      </c>
      <c r="O75" s="72" t="s">
        <v>64</v>
      </c>
      <c r="P75" s="49">
        <v>2.5</v>
      </c>
      <c r="Q75" s="49" t="s">
        <v>65</v>
      </c>
      <c r="R75" s="52">
        <v>10.0</v>
      </c>
      <c r="S75" s="53">
        <v>86.0</v>
      </c>
      <c r="T75" s="49">
        <v>158.0</v>
      </c>
      <c r="U75" s="53">
        <v>86.0</v>
      </c>
      <c r="V75" s="54">
        <v>0.018</v>
      </c>
      <c r="W75" s="49">
        <v>28.0</v>
      </c>
      <c r="X75" s="70">
        <v>1.0</v>
      </c>
      <c r="Y75" s="55" t="s">
        <v>42</v>
      </c>
      <c r="Z75" s="47"/>
      <c r="AA75" s="56" t="s">
        <v>66</v>
      </c>
      <c r="AB75" s="46"/>
      <c r="AC75" s="57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</row>
    <row r="76" ht="27.0" customHeight="1">
      <c r="A76" s="34" t="s">
        <v>106</v>
      </c>
      <c r="B76" s="24"/>
      <c r="C76" s="23"/>
      <c r="D76" s="58"/>
      <c r="E76" s="58"/>
      <c r="F76" s="59"/>
      <c r="G76" s="60"/>
      <c r="H76" s="58"/>
      <c r="I76" s="59"/>
      <c r="J76" s="61" t="s">
        <v>60</v>
      </c>
      <c r="K76" s="62" t="s">
        <v>46</v>
      </c>
      <c r="L76" s="63" t="s">
        <v>47</v>
      </c>
      <c r="M76" s="24"/>
      <c r="N76" s="24"/>
      <c r="O76" s="24"/>
      <c r="P76" s="61" t="s">
        <v>48</v>
      </c>
      <c r="Q76" s="64" t="s">
        <v>67</v>
      </c>
      <c r="R76" s="65"/>
      <c r="S76" s="66" t="s">
        <v>50</v>
      </c>
      <c r="T76" s="24"/>
      <c r="U76" s="23"/>
      <c r="V76" s="61" t="s">
        <v>51</v>
      </c>
      <c r="W76" s="61" t="s">
        <v>52</v>
      </c>
      <c r="X76" s="71">
        <v>1.4</v>
      </c>
      <c r="Y76" s="60"/>
      <c r="Z76" s="59"/>
      <c r="AA76" s="60"/>
      <c r="AB76" s="58"/>
      <c r="AC76" s="67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</row>
    <row r="77" ht="19.5" customHeight="1">
      <c r="A77" s="44" t="s">
        <v>107</v>
      </c>
      <c r="B77" s="6"/>
      <c r="C77" s="5"/>
      <c r="D77" s="45" t="s">
        <v>108</v>
      </c>
      <c r="E77" s="46"/>
      <c r="F77" s="47"/>
      <c r="G77" s="48" t="s">
        <v>37</v>
      </c>
      <c r="H77" s="46"/>
      <c r="I77" s="47"/>
      <c r="J77" s="49" t="s">
        <v>38</v>
      </c>
      <c r="K77" s="51">
        <v>616.0</v>
      </c>
      <c r="L77" s="51">
        <v>3.63</v>
      </c>
      <c r="M77" s="51" t="s">
        <v>39</v>
      </c>
      <c r="N77" s="49">
        <v>50.8</v>
      </c>
      <c r="O77" s="49" t="s">
        <v>40</v>
      </c>
      <c r="P77" s="49">
        <v>4.12</v>
      </c>
      <c r="Q77" s="49" t="s">
        <v>41</v>
      </c>
      <c r="R77" s="52">
        <v>21.0</v>
      </c>
      <c r="S77" s="49">
        <v>104.0</v>
      </c>
      <c r="T77" s="49">
        <v>158.0</v>
      </c>
      <c r="U77" s="53">
        <v>497.7</v>
      </c>
      <c r="V77" s="54">
        <v>0.011</v>
      </c>
      <c r="W77" s="49">
        <v>130.2</v>
      </c>
      <c r="X77" s="49">
        <v>0.854</v>
      </c>
      <c r="Y77" s="55" t="s">
        <v>42</v>
      </c>
      <c r="Z77" s="47"/>
      <c r="AA77" s="56" t="s">
        <v>109</v>
      </c>
      <c r="AB77" s="46"/>
      <c r="AC77" s="57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</row>
    <row r="78" ht="19.5" customHeight="1">
      <c r="A78" s="34" t="s">
        <v>110</v>
      </c>
      <c r="B78" s="24"/>
      <c r="C78" s="23"/>
      <c r="D78" s="58"/>
      <c r="E78" s="58"/>
      <c r="F78" s="59"/>
      <c r="G78" s="60"/>
      <c r="H78" s="58"/>
      <c r="I78" s="59"/>
      <c r="J78" s="61" t="s">
        <v>111</v>
      </c>
      <c r="K78" s="62" t="s">
        <v>46</v>
      </c>
      <c r="L78" s="63" t="s">
        <v>47</v>
      </c>
      <c r="M78" s="24"/>
      <c r="N78" s="24"/>
      <c r="O78" s="24"/>
      <c r="P78" s="61" t="s">
        <v>48</v>
      </c>
      <c r="Q78" s="64" t="s">
        <v>49</v>
      </c>
      <c r="R78" s="65"/>
      <c r="S78" s="66" t="s">
        <v>50</v>
      </c>
      <c r="T78" s="24"/>
      <c r="U78" s="23"/>
      <c r="V78" s="61" t="s">
        <v>51</v>
      </c>
      <c r="W78" s="61" t="s">
        <v>52</v>
      </c>
      <c r="X78" s="61">
        <v>1.027</v>
      </c>
      <c r="Y78" s="60"/>
      <c r="Z78" s="59"/>
      <c r="AA78" s="60"/>
      <c r="AB78" s="58"/>
      <c r="AC78" s="67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</row>
    <row r="79" ht="19.5" customHeight="1">
      <c r="A79" s="44" t="s">
        <v>107</v>
      </c>
      <c r="B79" s="6"/>
      <c r="C79" s="5"/>
      <c r="D79" s="45" t="s">
        <v>108</v>
      </c>
      <c r="E79" s="46"/>
      <c r="F79" s="47"/>
      <c r="G79" s="48" t="s">
        <v>53</v>
      </c>
      <c r="H79" s="46"/>
      <c r="I79" s="47"/>
      <c r="J79" s="49" t="s">
        <v>54</v>
      </c>
      <c r="K79" s="51">
        <v>7915.0</v>
      </c>
      <c r="L79" s="51">
        <v>3.63</v>
      </c>
      <c r="M79" s="51" t="s">
        <v>39</v>
      </c>
      <c r="N79" s="49">
        <v>50.8</v>
      </c>
      <c r="O79" s="49" t="s">
        <v>40</v>
      </c>
      <c r="P79" s="49">
        <v>4.12</v>
      </c>
      <c r="Q79" s="49" t="s">
        <v>41</v>
      </c>
      <c r="R79" s="52">
        <v>10.0</v>
      </c>
      <c r="S79" s="49">
        <v>104.0</v>
      </c>
      <c r="T79" s="49">
        <v>158.0</v>
      </c>
      <c r="U79" s="49">
        <v>104.0</v>
      </c>
      <c r="V79" s="49">
        <v>4.7</v>
      </c>
      <c r="W79" s="49" t="s">
        <v>52</v>
      </c>
      <c r="X79" s="49" t="s">
        <v>52</v>
      </c>
      <c r="Y79" s="73" t="s">
        <v>72</v>
      </c>
      <c r="Z79" s="47"/>
      <c r="AA79" s="56" t="s">
        <v>109</v>
      </c>
      <c r="AB79" s="46"/>
      <c r="AC79" s="57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</row>
    <row r="80" ht="19.5" customHeight="1">
      <c r="A80" s="34" t="s">
        <v>110</v>
      </c>
      <c r="B80" s="24"/>
      <c r="C80" s="23"/>
      <c r="D80" s="58"/>
      <c r="E80" s="58"/>
      <c r="F80" s="59"/>
      <c r="G80" s="60"/>
      <c r="H80" s="58"/>
      <c r="I80" s="59"/>
      <c r="J80" s="61" t="s">
        <v>111</v>
      </c>
      <c r="K80" s="62" t="s">
        <v>46</v>
      </c>
      <c r="L80" s="63" t="s">
        <v>47</v>
      </c>
      <c r="M80" s="24"/>
      <c r="N80" s="24"/>
      <c r="O80" s="24"/>
      <c r="P80" s="61" t="s">
        <v>48</v>
      </c>
      <c r="Q80" s="64" t="s">
        <v>49</v>
      </c>
      <c r="R80" s="65"/>
      <c r="S80" s="66" t="s">
        <v>50</v>
      </c>
      <c r="T80" s="24"/>
      <c r="U80" s="23"/>
      <c r="V80" s="61" t="s">
        <v>51</v>
      </c>
      <c r="W80" s="61">
        <v>0.818</v>
      </c>
      <c r="X80" s="61" t="s">
        <v>52</v>
      </c>
      <c r="Y80" s="60"/>
      <c r="Z80" s="59"/>
      <c r="AA80" s="60"/>
      <c r="AB80" s="58"/>
      <c r="AC80" s="67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ht="19.5" customHeight="1">
      <c r="A81" s="44" t="s">
        <v>107</v>
      </c>
      <c r="B81" s="6"/>
      <c r="C81" s="5"/>
      <c r="D81" s="45" t="s">
        <v>108</v>
      </c>
      <c r="E81" s="46"/>
      <c r="F81" s="47"/>
      <c r="G81" s="48" t="s">
        <v>55</v>
      </c>
      <c r="H81" s="46"/>
      <c r="I81" s="47"/>
      <c r="J81" s="49" t="s">
        <v>54</v>
      </c>
      <c r="K81" s="51">
        <v>7915.0</v>
      </c>
      <c r="L81" s="51">
        <v>3.63</v>
      </c>
      <c r="M81" s="51" t="s">
        <v>39</v>
      </c>
      <c r="N81" s="49">
        <v>50.8</v>
      </c>
      <c r="O81" s="49" t="s">
        <v>40</v>
      </c>
      <c r="P81" s="49">
        <v>4.12</v>
      </c>
      <c r="Q81" s="49" t="s">
        <v>41</v>
      </c>
      <c r="R81" s="52">
        <v>10.0</v>
      </c>
      <c r="S81" s="49">
        <v>104.0</v>
      </c>
      <c r="T81" s="49">
        <v>158.0</v>
      </c>
      <c r="U81" s="49">
        <v>104.0</v>
      </c>
      <c r="V81" s="49">
        <v>4.7</v>
      </c>
      <c r="W81" s="49" t="s">
        <v>52</v>
      </c>
      <c r="X81" s="49" t="s">
        <v>52</v>
      </c>
      <c r="Y81" s="73" t="s">
        <v>72</v>
      </c>
      <c r="Z81" s="47"/>
      <c r="AA81" s="56" t="s">
        <v>109</v>
      </c>
      <c r="AB81" s="46"/>
      <c r="AC81" s="57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ht="19.5" customHeight="1">
      <c r="A82" s="34" t="s">
        <v>110</v>
      </c>
      <c r="B82" s="24"/>
      <c r="C82" s="23"/>
      <c r="D82" s="58"/>
      <c r="E82" s="58"/>
      <c r="F82" s="59"/>
      <c r="G82" s="60"/>
      <c r="H82" s="58"/>
      <c r="I82" s="59"/>
      <c r="J82" s="61" t="s">
        <v>111</v>
      </c>
      <c r="K82" s="62" t="s">
        <v>46</v>
      </c>
      <c r="L82" s="63" t="s">
        <v>47</v>
      </c>
      <c r="M82" s="24"/>
      <c r="N82" s="24"/>
      <c r="O82" s="24"/>
      <c r="P82" s="61" t="s">
        <v>48</v>
      </c>
      <c r="Q82" s="64" t="s">
        <v>49</v>
      </c>
      <c r="R82" s="65"/>
      <c r="S82" s="66" t="s">
        <v>50</v>
      </c>
      <c r="T82" s="24"/>
      <c r="U82" s="23"/>
      <c r="V82" s="61" t="s">
        <v>51</v>
      </c>
      <c r="W82" s="61">
        <v>0.818</v>
      </c>
      <c r="X82" s="61" t="s">
        <v>52</v>
      </c>
      <c r="Y82" s="60"/>
      <c r="Z82" s="59"/>
      <c r="AA82" s="60"/>
      <c r="AB82" s="58"/>
      <c r="AC82" s="67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ht="19.5" customHeight="1">
      <c r="A83" s="44" t="s">
        <v>107</v>
      </c>
      <c r="B83" s="6"/>
      <c r="C83" s="5"/>
      <c r="D83" s="45" t="s">
        <v>108</v>
      </c>
      <c r="E83" s="46"/>
      <c r="F83" s="47"/>
      <c r="G83" s="48" t="s">
        <v>56</v>
      </c>
      <c r="H83" s="46"/>
      <c r="I83" s="47"/>
      <c r="J83" s="49" t="s">
        <v>38</v>
      </c>
      <c r="K83" s="51">
        <v>998.0</v>
      </c>
      <c r="L83" s="51">
        <v>3.63</v>
      </c>
      <c r="M83" s="51" t="s">
        <v>39</v>
      </c>
      <c r="N83" s="49">
        <v>50.8</v>
      </c>
      <c r="O83" s="49" t="s">
        <v>40</v>
      </c>
      <c r="P83" s="49">
        <v>4.12</v>
      </c>
      <c r="Q83" s="49" t="s">
        <v>41</v>
      </c>
      <c r="R83" s="52">
        <v>10.0</v>
      </c>
      <c r="S83" s="49">
        <v>104.0</v>
      </c>
      <c r="T83" s="49">
        <v>158.0</v>
      </c>
      <c r="U83" s="53">
        <v>86.0</v>
      </c>
      <c r="V83" s="54">
        <v>0.018</v>
      </c>
      <c r="W83" s="49">
        <v>28.0</v>
      </c>
      <c r="X83" s="70">
        <v>1.0</v>
      </c>
      <c r="Y83" s="55" t="s">
        <v>42</v>
      </c>
      <c r="Z83" s="47"/>
      <c r="AA83" s="56" t="s">
        <v>109</v>
      </c>
      <c r="AB83" s="46"/>
      <c r="AC83" s="57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</row>
    <row r="84" ht="19.5" customHeight="1">
      <c r="A84" s="34" t="s">
        <v>110</v>
      </c>
      <c r="B84" s="24"/>
      <c r="C84" s="23"/>
      <c r="D84" s="58"/>
      <c r="E84" s="58"/>
      <c r="F84" s="59"/>
      <c r="G84" s="60"/>
      <c r="H84" s="58"/>
      <c r="I84" s="59"/>
      <c r="J84" s="61" t="s">
        <v>60</v>
      </c>
      <c r="K84" s="62" t="s">
        <v>46</v>
      </c>
      <c r="L84" s="63" t="s">
        <v>47</v>
      </c>
      <c r="M84" s="24"/>
      <c r="N84" s="24"/>
      <c r="O84" s="24"/>
      <c r="P84" s="61" t="s">
        <v>48</v>
      </c>
      <c r="Q84" s="64" t="s">
        <v>49</v>
      </c>
      <c r="R84" s="65"/>
      <c r="S84" s="66" t="s">
        <v>50</v>
      </c>
      <c r="T84" s="24"/>
      <c r="U84" s="23"/>
      <c r="V84" s="61" t="s">
        <v>51</v>
      </c>
      <c r="W84" s="61" t="s">
        <v>52</v>
      </c>
      <c r="X84" s="71">
        <v>1.4</v>
      </c>
      <c r="Y84" s="60"/>
      <c r="Z84" s="59"/>
      <c r="AA84" s="60"/>
      <c r="AB84" s="58"/>
      <c r="AC84" s="67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ht="19.5" customHeight="1">
      <c r="A85" s="44" t="s">
        <v>107</v>
      </c>
      <c r="B85" s="6"/>
      <c r="C85" s="5"/>
      <c r="D85" s="45" t="s">
        <v>108</v>
      </c>
      <c r="E85" s="46"/>
      <c r="F85" s="47"/>
      <c r="G85" s="48" t="s">
        <v>57</v>
      </c>
      <c r="H85" s="46"/>
      <c r="I85" s="47"/>
      <c r="J85" s="49" t="s">
        <v>54</v>
      </c>
      <c r="K85" s="51">
        <v>7915.0</v>
      </c>
      <c r="L85" s="51">
        <v>3.63</v>
      </c>
      <c r="M85" s="51" t="s">
        <v>39</v>
      </c>
      <c r="N85" s="49">
        <v>50.8</v>
      </c>
      <c r="O85" s="49" t="s">
        <v>40</v>
      </c>
      <c r="P85" s="49">
        <v>4.12</v>
      </c>
      <c r="Q85" s="49" t="s">
        <v>41</v>
      </c>
      <c r="R85" s="52">
        <v>10.0</v>
      </c>
      <c r="S85" s="49">
        <v>104.0</v>
      </c>
      <c r="T85" s="49">
        <v>158.0</v>
      </c>
      <c r="U85" s="49">
        <v>104.0</v>
      </c>
      <c r="V85" s="49">
        <v>4.7</v>
      </c>
      <c r="W85" s="49" t="s">
        <v>52</v>
      </c>
      <c r="X85" s="49" t="s">
        <v>52</v>
      </c>
      <c r="Y85" s="73" t="s">
        <v>72</v>
      </c>
      <c r="Z85" s="47"/>
      <c r="AA85" s="56" t="s">
        <v>109</v>
      </c>
      <c r="AB85" s="46"/>
      <c r="AC85" s="57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ht="19.5" customHeight="1">
      <c r="A86" s="34" t="s">
        <v>110</v>
      </c>
      <c r="B86" s="24"/>
      <c r="C86" s="23"/>
      <c r="D86" s="58"/>
      <c r="E86" s="58"/>
      <c r="F86" s="59"/>
      <c r="G86" s="60"/>
      <c r="H86" s="58"/>
      <c r="I86" s="59"/>
      <c r="J86" s="61" t="s">
        <v>111</v>
      </c>
      <c r="K86" s="62" t="s">
        <v>46</v>
      </c>
      <c r="L86" s="63" t="s">
        <v>47</v>
      </c>
      <c r="M86" s="24"/>
      <c r="N86" s="24"/>
      <c r="O86" s="24"/>
      <c r="P86" s="61" t="s">
        <v>48</v>
      </c>
      <c r="Q86" s="64" t="s">
        <v>49</v>
      </c>
      <c r="R86" s="65"/>
      <c r="S86" s="66" t="s">
        <v>50</v>
      </c>
      <c r="T86" s="24"/>
      <c r="U86" s="23"/>
      <c r="V86" s="61" t="s">
        <v>51</v>
      </c>
      <c r="W86" s="61">
        <v>0.818</v>
      </c>
      <c r="X86" s="61" t="s">
        <v>52</v>
      </c>
      <c r="Y86" s="60"/>
      <c r="Z86" s="59"/>
      <c r="AA86" s="60"/>
      <c r="AB86" s="58"/>
      <c r="AC86" s="67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ht="39.75" customHeight="1">
      <c r="A87" s="44" t="s">
        <v>107</v>
      </c>
      <c r="B87" s="6"/>
      <c r="C87" s="5"/>
      <c r="D87" s="45" t="s">
        <v>108</v>
      </c>
      <c r="E87" s="46"/>
      <c r="F87" s="47"/>
      <c r="G87" s="48" t="s">
        <v>58</v>
      </c>
      <c r="H87" s="46"/>
      <c r="I87" s="47"/>
      <c r="J87" s="49" t="s">
        <v>38</v>
      </c>
      <c r="K87" s="51">
        <v>998.0</v>
      </c>
      <c r="L87" s="51">
        <v>3.63</v>
      </c>
      <c r="M87" s="51" t="s">
        <v>39</v>
      </c>
      <c r="N87" s="49">
        <v>50.8</v>
      </c>
      <c r="O87" s="49" t="s">
        <v>40</v>
      </c>
      <c r="P87" s="49">
        <v>4.12</v>
      </c>
      <c r="Q87" s="49" t="s">
        <v>41</v>
      </c>
      <c r="R87" s="52">
        <v>10.0</v>
      </c>
      <c r="S87" s="49">
        <v>104.0</v>
      </c>
      <c r="T87" s="49">
        <v>158.0</v>
      </c>
      <c r="U87" s="53">
        <v>86.0</v>
      </c>
      <c r="V87" s="54">
        <v>0.018</v>
      </c>
      <c r="W87" s="49">
        <v>28.0</v>
      </c>
      <c r="X87" s="70">
        <v>1.0</v>
      </c>
      <c r="Y87" s="55" t="s">
        <v>42</v>
      </c>
      <c r="Z87" s="47"/>
      <c r="AA87" s="56" t="s">
        <v>112</v>
      </c>
      <c r="AB87" s="46"/>
      <c r="AC87" s="57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</row>
    <row r="88" ht="39.75" customHeight="1">
      <c r="A88" s="34" t="s">
        <v>110</v>
      </c>
      <c r="B88" s="24"/>
      <c r="C88" s="23"/>
      <c r="D88" s="58"/>
      <c r="E88" s="58"/>
      <c r="F88" s="59"/>
      <c r="G88" s="60"/>
      <c r="H88" s="58"/>
      <c r="I88" s="59"/>
      <c r="J88" s="61" t="s">
        <v>60</v>
      </c>
      <c r="K88" s="62" t="s">
        <v>46</v>
      </c>
      <c r="L88" s="63" t="s">
        <v>47</v>
      </c>
      <c r="M88" s="24"/>
      <c r="N88" s="24"/>
      <c r="O88" s="24"/>
      <c r="P88" s="61" t="s">
        <v>48</v>
      </c>
      <c r="Q88" s="64" t="s">
        <v>49</v>
      </c>
      <c r="R88" s="65"/>
      <c r="S88" s="66" t="s">
        <v>50</v>
      </c>
      <c r="T88" s="24"/>
      <c r="U88" s="23"/>
      <c r="V88" s="61" t="s">
        <v>51</v>
      </c>
      <c r="W88" s="61" t="s">
        <v>52</v>
      </c>
      <c r="X88" s="71">
        <v>1.4</v>
      </c>
      <c r="Y88" s="60"/>
      <c r="Z88" s="59"/>
      <c r="AA88" s="60"/>
      <c r="AB88" s="58"/>
      <c r="AC88" s="67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</row>
    <row r="89" ht="19.5" customHeight="1">
      <c r="A89" s="44" t="s">
        <v>113</v>
      </c>
      <c r="B89" s="6"/>
      <c r="C89" s="5"/>
      <c r="D89" s="45" t="s">
        <v>114</v>
      </c>
      <c r="E89" s="46"/>
      <c r="F89" s="47"/>
      <c r="G89" s="48" t="s">
        <v>55</v>
      </c>
      <c r="H89" s="46"/>
      <c r="I89" s="47"/>
      <c r="J89" s="49" t="s">
        <v>54</v>
      </c>
      <c r="K89" s="51">
        <f>52*2</f>
        <v>104</v>
      </c>
      <c r="L89" s="51">
        <v>1051.0</v>
      </c>
      <c r="M89" s="51">
        <v>1239.5</v>
      </c>
      <c r="N89" s="49">
        <v>1239.5</v>
      </c>
      <c r="O89" s="49" t="s">
        <v>115</v>
      </c>
      <c r="P89" s="49">
        <v>111.0</v>
      </c>
      <c r="Q89" s="49" t="s">
        <v>116</v>
      </c>
      <c r="R89" s="52">
        <v>10.0</v>
      </c>
      <c r="S89" s="49">
        <v>104.0</v>
      </c>
      <c r="T89" s="49">
        <v>158.0</v>
      </c>
      <c r="U89" s="49">
        <v>104.0</v>
      </c>
      <c r="V89" s="49">
        <v>4.7</v>
      </c>
      <c r="W89" s="49" t="s">
        <v>52</v>
      </c>
      <c r="X89" s="49" t="s">
        <v>52</v>
      </c>
      <c r="Y89" s="73" t="s">
        <v>72</v>
      </c>
      <c r="Z89" s="47"/>
      <c r="AA89" s="56"/>
      <c r="AB89" s="46"/>
      <c r="AC89" s="57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</row>
    <row r="90" ht="19.5" customHeight="1">
      <c r="A90" s="34" t="s">
        <v>110</v>
      </c>
      <c r="B90" s="24"/>
      <c r="C90" s="23"/>
      <c r="D90" s="58"/>
      <c r="E90" s="58"/>
      <c r="F90" s="59"/>
      <c r="G90" s="60"/>
      <c r="H90" s="58"/>
      <c r="I90" s="59"/>
      <c r="J90" s="61" t="s">
        <v>111</v>
      </c>
      <c r="K90" s="62" t="s">
        <v>46</v>
      </c>
      <c r="L90" s="63" t="s">
        <v>47</v>
      </c>
      <c r="M90" s="24"/>
      <c r="N90" s="24"/>
      <c r="O90" s="24"/>
      <c r="P90" s="61" t="s">
        <v>48</v>
      </c>
      <c r="Q90" s="64" t="s">
        <v>67</v>
      </c>
      <c r="R90" s="65"/>
      <c r="S90" s="66" t="s">
        <v>50</v>
      </c>
      <c r="T90" s="24"/>
      <c r="U90" s="23"/>
      <c r="V90" s="61" t="s">
        <v>51</v>
      </c>
      <c r="W90" s="61">
        <v>0.818</v>
      </c>
      <c r="X90" s="61" t="s">
        <v>52</v>
      </c>
      <c r="Y90" s="60"/>
      <c r="Z90" s="59"/>
      <c r="AA90" s="60"/>
      <c r="AB90" s="58"/>
      <c r="AC90" s="67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</row>
    <row r="91" ht="19.5" customHeight="1">
      <c r="A91" s="44" t="s">
        <v>117</v>
      </c>
      <c r="B91" s="6"/>
      <c r="C91" s="5"/>
      <c r="D91" s="45" t="s">
        <v>118</v>
      </c>
      <c r="E91" s="46"/>
      <c r="F91" s="47"/>
      <c r="G91" s="48" t="s">
        <v>37</v>
      </c>
      <c r="H91" s="46"/>
      <c r="I91" s="47"/>
      <c r="J91" s="79" t="s">
        <v>119</v>
      </c>
      <c r="K91" s="51">
        <v>1036.0</v>
      </c>
      <c r="L91" s="51">
        <v>1015.0</v>
      </c>
      <c r="M91" s="51">
        <v>1116.8</v>
      </c>
      <c r="N91" s="51">
        <v>1116.8</v>
      </c>
      <c r="O91" s="49" t="s">
        <v>40</v>
      </c>
      <c r="P91" s="49">
        <v>95.5</v>
      </c>
      <c r="Q91" s="49" t="s">
        <v>41</v>
      </c>
      <c r="R91" s="52">
        <v>21.0</v>
      </c>
      <c r="S91" s="49">
        <v>284.0</v>
      </c>
      <c r="T91" s="49">
        <v>428.0</v>
      </c>
      <c r="U91" s="49">
        <v>381.0</v>
      </c>
      <c r="V91" s="75">
        <v>0.012</v>
      </c>
      <c r="W91" s="49">
        <v>52.5</v>
      </c>
      <c r="X91" s="53">
        <v>0.632</v>
      </c>
      <c r="Y91" s="55" t="s">
        <v>42</v>
      </c>
      <c r="Z91" s="47"/>
      <c r="AA91" s="56" t="s">
        <v>120</v>
      </c>
      <c r="AB91" s="46"/>
      <c r="AC91" s="57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</row>
    <row r="92" ht="19.5" customHeight="1">
      <c r="A92" s="34" t="s">
        <v>121</v>
      </c>
      <c r="B92" s="24"/>
      <c r="C92" s="23"/>
      <c r="D92" s="58"/>
      <c r="E92" s="58"/>
      <c r="F92" s="59"/>
      <c r="G92" s="60"/>
      <c r="H92" s="58"/>
      <c r="I92" s="59"/>
      <c r="J92" s="61" t="s">
        <v>45</v>
      </c>
      <c r="K92" s="62" t="s">
        <v>46</v>
      </c>
      <c r="L92" s="63" t="s">
        <v>47</v>
      </c>
      <c r="M92" s="24"/>
      <c r="N92" s="24"/>
      <c r="O92" s="24"/>
      <c r="P92" s="61" t="s">
        <v>48</v>
      </c>
      <c r="Q92" s="64" t="s">
        <v>67</v>
      </c>
      <c r="R92" s="65"/>
      <c r="S92" s="66" t="s">
        <v>50</v>
      </c>
      <c r="T92" s="24"/>
      <c r="U92" s="23"/>
      <c r="V92" s="61" t="s">
        <v>51</v>
      </c>
      <c r="W92" s="61" t="s">
        <v>52</v>
      </c>
      <c r="X92" s="68">
        <v>1.51</v>
      </c>
      <c r="Y92" s="60"/>
      <c r="Z92" s="59"/>
      <c r="AA92" s="60"/>
      <c r="AB92" s="58"/>
      <c r="AC92" s="67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</row>
    <row r="93" ht="19.5" customHeight="1">
      <c r="A93" s="44" t="s">
        <v>117</v>
      </c>
      <c r="B93" s="6"/>
      <c r="C93" s="5"/>
      <c r="D93" s="45" t="s">
        <v>118</v>
      </c>
      <c r="E93" s="46"/>
      <c r="F93" s="47"/>
      <c r="G93" s="48" t="s">
        <v>122</v>
      </c>
      <c r="H93" s="46"/>
      <c r="I93" s="47"/>
      <c r="J93" s="79" t="s">
        <v>119</v>
      </c>
      <c r="K93" s="51">
        <v>173899.0</v>
      </c>
      <c r="L93" s="51">
        <v>1015.0</v>
      </c>
      <c r="M93" s="51">
        <v>1116.8</v>
      </c>
      <c r="N93" s="51">
        <v>1116.8</v>
      </c>
      <c r="O93" s="49" t="s">
        <v>40</v>
      </c>
      <c r="P93" s="49">
        <v>95.5</v>
      </c>
      <c r="Q93" s="49" t="s">
        <v>41</v>
      </c>
      <c r="R93" s="52">
        <v>10.0</v>
      </c>
      <c r="S93" s="49">
        <v>284.0</v>
      </c>
      <c r="T93" s="49">
        <v>428.0</v>
      </c>
      <c r="U93" s="49">
        <v>215.0</v>
      </c>
      <c r="V93" s="75">
        <v>0.012</v>
      </c>
      <c r="W93" s="49">
        <v>52.5</v>
      </c>
      <c r="X93" s="53">
        <v>0.69</v>
      </c>
      <c r="Y93" s="55" t="s">
        <v>42</v>
      </c>
      <c r="Z93" s="47"/>
      <c r="AA93" s="56" t="s">
        <v>120</v>
      </c>
      <c r="AB93" s="46"/>
      <c r="AC93" s="57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</row>
    <row r="94" ht="19.5" customHeight="1">
      <c r="A94" s="34" t="s">
        <v>121</v>
      </c>
      <c r="B94" s="24"/>
      <c r="C94" s="23"/>
      <c r="D94" s="58"/>
      <c r="E94" s="58"/>
      <c r="F94" s="59"/>
      <c r="G94" s="60"/>
      <c r="H94" s="58"/>
      <c r="I94" s="59"/>
      <c r="J94" s="61" t="s">
        <v>123</v>
      </c>
      <c r="K94" s="62" t="s">
        <v>46</v>
      </c>
      <c r="L94" s="63" t="s">
        <v>47</v>
      </c>
      <c r="M94" s="24"/>
      <c r="N94" s="24"/>
      <c r="O94" s="24"/>
      <c r="P94" s="61" t="s">
        <v>48</v>
      </c>
      <c r="Q94" s="64" t="s">
        <v>67</v>
      </c>
      <c r="R94" s="65"/>
      <c r="S94" s="66" t="s">
        <v>50</v>
      </c>
      <c r="T94" s="24"/>
      <c r="U94" s="23"/>
      <c r="V94" s="61" t="s">
        <v>51</v>
      </c>
      <c r="W94" s="61" t="s">
        <v>52</v>
      </c>
      <c r="X94" s="68">
        <v>1.16</v>
      </c>
      <c r="Y94" s="60"/>
      <c r="Z94" s="59"/>
      <c r="AA94" s="60"/>
      <c r="AB94" s="58"/>
      <c r="AC94" s="67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</row>
    <row r="95" ht="19.5" customHeight="1">
      <c r="A95" s="44" t="s">
        <v>117</v>
      </c>
      <c r="B95" s="6"/>
      <c r="C95" s="5"/>
      <c r="D95" s="45" t="s">
        <v>118</v>
      </c>
      <c r="E95" s="46"/>
      <c r="F95" s="47"/>
      <c r="G95" s="48" t="s">
        <v>55</v>
      </c>
      <c r="H95" s="46"/>
      <c r="I95" s="47"/>
      <c r="J95" s="79" t="s">
        <v>119</v>
      </c>
      <c r="K95" s="51">
        <v>173899.0</v>
      </c>
      <c r="L95" s="51">
        <v>1015.0</v>
      </c>
      <c r="M95" s="51">
        <v>1116.8</v>
      </c>
      <c r="N95" s="51">
        <v>1116.8</v>
      </c>
      <c r="O95" s="49" t="s">
        <v>40</v>
      </c>
      <c r="P95" s="49">
        <v>95.5</v>
      </c>
      <c r="Q95" s="49" t="s">
        <v>41</v>
      </c>
      <c r="R95" s="52">
        <v>10.0</v>
      </c>
      <c r="S95" s="49">
        <v>284.0</v>
      </c>
      <c r="T95" s="49">
        <v>428.0</v>
      </c>
      <c r="U95" s="49">
        <v>215.0</v>
      </c>
      <c r="V95" s="75">
        <v>0.012</v>
      </c>
      <c r="W95" s="49">
        <v>52.5</v>
      </c>
      <c r="X95" s="53">
        <v>0.69</v>
      </c>
      <c r="Y95" s="55" t="s">
        <v>42</v>
      </c>
      <c r="Z95" s="47"/>
      <c r="AA95" s="56" t="s">
        <v>120</v>
      </c>
      <c r="AB95" s="46"/>
      <c r="AC95" s="57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</row>
    <row r="96" ht="19.5" customHeight="1">
      <c r="A96" s="34" t="s">
        <v>121</v>
      </c>
      <c r="B96" s="24"/>
      <c r="C96" s="23"/>
      <c r="D96" s="58"/>
      <c r="E96" s="58"/>
      <c r="F96" s="59"/>
      <c r="G96" s="60"/>
      <c r="H96" s="58"/>
      <c r="I96" s="59"/>
      <c r="J96" s="61" t="s">
        <v>123</v>
      </c>
      <c r="K96" s="62" t="s">
        <v>46</v>
      </c>
      <c r="L96" s="63" t="s">
        <v>47</v>
      </c>
      <c r="M96" s="24"/>
      <c r="N96" s="24"/>
      <c r="O96" s="24"/>
      <c r="P96" s="61" t="s">
        <v>48</v>
      </c>
      <c r="Q96" s="64" t="s">
        <v>67</v>
      </c>
      <c r="R96" s="65"/>
      <c r="S96" s="66" t="s">
        <v>50</v>
      </c>
      <c r="T96" s="24"/>
      <c r="U96" s="23"/>
      <c r="V96" s="61" t="s">
        <v>51</v>
      </c>
      <c r="W96" s="61" t="s">
        <v>52</v>
      </c>
      <c r="X96" s="68">
        <v>1.16</v>
      </c>
      <c r="Y96" s="60"/>
      <c r="Z96" s="59"/>
      <c r="AA96" s="60"/>
      <c r="AB96" s="58"/>
      <c r="AC96" s="67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</row>
    <row r="97" ht="39.75" customHeight="1">
      <c r="A97" s="44" t="s">
        <v>117</v>
      </c>
      <c r="B97" s="6"/>
      <c r="C97" s="5"/>
      <c r="D97" s="45" t="s">
        <v>118</v>
      </c>
      <c r="E97" s="46"/>
      <c r="F97" s="47"/>
      <c r="G97" s="48" t="s">
        <v>56</v>
      </c>
      <c r="H97" s="46"/>
      <c r="I97" s="47"/>
      <c r="J97" s="79" t="s">
        <v>119</v>
      </c>
      <c r="K97" s="51">
        <v>157190.0</v>
      </c>
      <c r="L97" s="51">
        <v>1015.0</v>
      </c>
      <c r="M97" s="51">
        <v>1116.8</v>
      </c>
      <c r="N97" s="51">
        <v>1116.8</v>
      </c>
      <c r="O97" s="49" t="s">
        <v>40</v>
      </c>
      <c r="P97" s="49">
        <v>95.5</v>
      </c>
      <c r="Q97" s="49" t="s">
        <v>41</v>
      </c>
      <c r="R97" s="52">
        <v>10.0</v>
      </c>
      <c r="S97" s="49">
        <v>284.0</v>
      </c>
      <c r="T97" s="49">
        <v>428.0</v>
      </c>
      <c r="U97" s="49">
        <v>226.0</v>
      </c>
      <c r="V97" s="54">
        <v>0.205</v>
      </c>
      <c r="W97" s="49" t="s">
        <v>52</v>
      </c>
      <c r="X97" s="49" t="s">
        <v>52</v>
      </c>
      <c r="Y97" s="55" t="s">
        <v>42</v>
      </c>
      <c r="Z97" s="47"/>
      <c r="AA97" s="56" t="s">
        <v>124</v>
      </c>
      <c r="AB97" s="46"/>
      <c r="AC97" s="57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</row>
    <row r="98" ht="39.75" customHeight="1">
      <c r="A98" s="34" t="s">
        <v>121</v>
      </c>
      <c r="B98" s="24"/>
      <c r="C98" s="23"/>
      <c r="D98" s="58"/>
      <c r="E98" s="58"/>
      <c r="F98" s="59"/>
      <c r="G98" s="60"/>
      <c r="H98" s="58"/>
      <c r="I98" s="59"/>
      <c r="J98" s="61" t="s">
        <v>123</v>
      </c>
      <c r="K98" s="62" t="s">
        <v>46</v>
      </c>
      <c r="L98" s="63" t="s">
        <v>47</v>
      </c>
      <c r="M98" s="24"/>
      <c r="N98" s="24"/>
      <c r="O98" s="24"/>
      <c r="P98" s="61" t="s">
        <v>48</v>
      </c>
      <c r="Q98" s="64" t="s">
        <v>67</v>
      </c>
      <c r="R98" s="65"/>
      <c r="S98" s="66" t="s">
        <v>50</v>
      </c>
      <c r="T98" s="24"/>
      <c r="U98" s="23"/>
      <c r="V98" s="61" t="s">
        <v>51</v>
      </c>
      <c r="W98" s="68">
        <v>0.628</v>
      </c>
      <c r="X98" s="61" t="s">
        <v>52</v>
      </c>
      <c r="Y98" s="60"/>
      <c r="Z98" s="59"/>
      <c r="AA98" s="60"/>
      <c r="AB98" s="58"/>
      <c r="AC98" s="67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ht="19.5" customHeight="1">
      <c r="A99" s="44" t="s">
        <v>117</v>
      </c>
      <c r="B99" s="6"/>
      <c r="C99" s="5"/>
      <c r="D99" s="45" t="s">
        <v>118</v>
      </c>
      <c r="E99" s="46"/>
      <c r="F99" s="47"/>
      <c r="G99" s="48" t="s">
        <v>57</v>
      </c>
      <c r="H99" s="46"/>
      <c r="I99" s="47"/>
      <c r="J99" s="79" t="s">
        <v>119</v>
      </c>
      <c r="K99" s="51">
        <v>173899.0</v>
      </c>
      <c r="L99" s="51">
        <v>1015.0</v>
      </c>
      <c r="M99" s="51">
        <v>1116.8</v>
      </c>
      <c r="N99" s="51">
        <v>1116.8</v>
      </c>
      <c r="O99" s="49" t="s">
        <v>40</v>
      </c>
      <c r="P99" s="49">
        <v>95.5</v>
      </c>
      <c r="Q99" s="49" t="s">
        <v>41</v>
      </c>
      <c r="R99" s="52">
        <v>10.0</v>
      </c>
      <c r="S99" s="49">
        <v>284.0</v>
      </c>
      <c r="T99" s="49">
        <v>428.0</v>
      </c>
      <c r="U99" s="49">
        <v>215.0</v>
      </c>
      <c r="V99" s="75">
        <v>0.012</v>
      </c>
      <c r="W99" s="49">
        <v>52.5</v>
      </c>
      <c r="X99" s="53">
        <v>0.69</v>
      </c>
      <c r="Y99" s="55" t="s">
        <v>42</v>
      </c>
      <c r="Z99" s="47"/>
      <c r="AA99" s="56" t="s">
        <v>120</v>
      </c>
      <c r="AB99" s="46"/>
      <c r="AC99" s="57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ht="19.5" customHeight="1">
      <c r="A100" s="34" t="s">
        <v>121</v>
      </c>
      <c r="B100" s="24"/>
      <c r="C100" s="23"/>
      <c r="D100" s="58"/>
      <c r="E100" s="58"/>
      <c r="F100" s="59"/>
      <c r="G100" s="60"/>
      <c r="H100" s="58"/>
      <c r="I100" s="59"/>
      <c r="J100" s="61" t="s">
        <v>123</v>
      </c>
      <c r="K100" s="62" t="s">
        <v>46</v>
      </c>
      <c r="L100" s="63" t="s">
        <v>47</v>
      </c>
      <c r="M100" s="24"/>
      <c r="N100" s="24"/>
      <c r="O100" s="24"/>
      <c r="P100" s="61" t="s">
        <v>48</v>
      </c>
      <c r="Q100" s="64" t="s">
        <v>67</v>
      </c>
      <c r="R100" s="65"/>
      <c r="S100" s="66" t="s">
        <v>50</v>
      </c>
      <c r="T100" s="24"/>
      <c r="U100" s="23"/>
      <c r="V100" s="61" t="s">
        <v>51</v>
      </c>
      <c r="W100" s="61" t="s">
        <v>52</v>
      </c>
      <c r="X100" s="68">
        <v>1.16</v>
      </c>
      <c r="Y100" s="60"/>
      <c r="Z100" s="59"/>
      <c r="AA100" s="60"/>
      <c r="AB100" s="58"/>
      <c r="AC100" s="67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ht="19.5" customHeight="1">
      <c r="A101" s="44" t="s">
        <v>117</v>
      </c>
      <c r="B101" s="6"/>
      <c r="C101" s="5"/>
      <c r="D101" s="45" t="s">
        <v>118</v>
      </c>
      <c r="E101" s="46"/>
      <c r="F101" s="47"/>
      <c r="G101" s="48" t="s">
        <v>125</v>
      </c>
      <c r="H101" s="46"/>
      <c r="I101" s="47"/>
      <c r="J101" s="79" t="s">
        <v>119</v>
      </c>
      <c r="K101" s="51">
        <v>179899.0</v>
      </c>
      <c r="L101" s="51">
        <v>1015.0</v>
      </c>
      <c r="M101" s="51">
        <v>1116.8</v>
      </c>
      <c r="N101" s="51">
        <v>1116.8</v>
      </c>
      <c r="O101" s="49" t="s">
        <v>40</v>
      </c>
      <c r="P101" s="49">
        <v>95.5</v>
      </c>
      <c r="Q101" s="49" t="s">
        <v>41</v>
      </c>
      <c r="R101" s="52">
        <v>10.0</v>
      </c>
      <c r="S101" s="49">
        <v>284.0</v>
      </c>
      <c r="T101" s="49">
        <v>428.0</v>
      </c>
      <c r="U101" s="49">
        <v>215.0</v>
      </c>
      <c r="V101" s="75">
        <v>0.012</v>
      </c>
      <c r="W101" s="49">
        <v>52.5</v>
      </c>
      <c r="X101" s="53">
        <v>0.69</v>
      </c>
      <c r="Y101" s="55" t="s">
        <v>42</v>
      </c>
      <c r="Z101" s="47"/>
      <c r="AA101" s="56" t="s">
        <v>120</v>
      </c>
      <c r="AB101" s="46"/>
      <c r="AC101" s="57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</row>
    <row r="102" ht="19.5" customHeight="1">
      <c r="A102" s="34" t="s">
        <v>121</v>
      </c>
      <c r="B102" s="24"/>
      <c r="C102" s="23"/>
      <c r="D102" s="58"/>
      <c r="E102" s="58"/>
      <c r="F102" s="59"/>
      <c r="G102" s="60"/>
      <c r="H102" s="58"/>
      <c r="I102" s="59"/>
      <c r="J102" s="61" t="s">
        <v>123</v>
      </c>
      <c r="K102" s="62" t="s">
        <v>46</v>
      </c>
      <c r="L102" s="63" t="s">
        <v>47</v>
      </c>
      <c r="M102" s="24"/>
      <c r="N102" s="24"/>
      <c r="O102" s="24"/>
      <c r="P102" s="61" t="s">
        <v>48</v>
      </c>
      <c r="Q102" s="64" t="s">
        <v>67</v>
      </c>
      <c r="R102" s="65"/>
      <c r="S102" s="66" t="s">
        <v>50</v>
      </c>
      <c r="T102" s="24"/>
      <c r="U102" s="23"/>
      <c r="V102" s="61" t="s">
        <v>51</v>
      </c>
      <c r="W102" s="61" t="s">
        <v>52</v>
      </c>
      <c r="X102" s="68">
        <v>1.16</v>
      </c>
      <c r="Y102" s="60"/>
      <c r="Z102" s="59"/>
      <c r="AA102" s="60"/>
      <c r="AB102" s="58"/>
      <c r="AC102" s="67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ht="19.5" customHeight="1">
      <c r="A103" s="44" t="s">
        <v>126</v>
      </c>
      <c r="B103" s="6"/>
      <c r="C103" s="5"/>
      <c r="D103" s="45" t="s">
        <v>127</v>
      </c>
      <c r="E103" s="46"/>
      <c r="F103" s="47"/>
      <c r="G103" s="80" t="s">
        <v>128</v>
      </c>
      <c r="H103" s="46"/>
      <c r="I103" s="47"/>
      <c r="J103" s="49" t="s">
        <v>38</v>
      </c>
      <c r="K103" s="51">
        <v>40124.0</v>
      </c>
      <c r="L103" s="51">
        <v>74.0</v>
      </c>
      <c r="M103" s="51">
        <v>120.4</v>
      </c>
      <c r="N103" s="49">
        <v>120.4</v>
      </c>
      <c r="O103" s="72" t="s">
        <v>40</v>
      </c>
      <c r="P103" s="49">
        <v>32.0</v>
      </c>
      <c r="Q103" s="49" t="s">
        <v>41</v>
      </c>
      <c r="R103" s="52">
        <v>10.0</v>
      </c>
      <c r="S103" s="49">
        <v>149.0</v>
      </c>
      <c r="T103" s="49">
        <v>266.0</v>
      </c>
      <c r="U103" s="49">
        <v>186.0</v>
      </c>
      <c r="V103" s="54">
        <v>0.011</v>
      </c>
      <c r="W103" s="53">
        <v>36.8</v>
      </c>
      <c r="X103" s="53">
        <v>0.94</v>
      </c>
      <c r="Y103" s="55" t="s">
        <v>42</v>
      </c>
      <c r="Z103" s="47"/>
      <c r="AA103" s="56" t="s">
        <v>129</v>
      </c>
      <c r="AB103" s="46"/>
      <c r="AC103" s="57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ht="19.5" customHeight="1">
      <c r="A104" s="34" t="s">
        <v>130</v>
      </c>
      <c r="B104" s="24"/>
      <c r="C104" s="23"/>
      <c r="D104" s="58"/>
      <c r="E104" s="58"/>
      <c r="F104" s="59"/>
      <c r="G104" s="60"/>
      <c r="H104" s="58"/>
      <c r="I104" s="59"/>
      <c r="J104" s="81" t="s">
        <v>131</v>
      </c>
      <c r="K104" s="62" t="s">
        <v>46</v>
      </c>
      <c r="L104" s="63" t="s">
        <v>47</v>
      </c>
      <c r="M104" s="24"/>
      <c r="N104" s="24"/>
      <c r="O104" s="24"/>
      <c r="P104" s="61" t="s">
        <v>48</v>
      </c>
      <c r="Q104" s="64" t="s">
        <v>49</v>
      </c>
      <c r="R104" s="65"/>
      <c r="S104" s="66" t="s">
        <v>50</v>
      </c>
      <c r="T104" s="24"/>
      <c r="U104" s="23"/>
      <c r="V104" s="61" t="s">
        <v>51</v>
      </c>
      <c r="W104" s="61" t="s">
        <v>52</v>
      </c>
      <c r="X104" s="61">
        <v>1.16</v>
      </c>
      <c r="Y104" s="60"/>
      <c r="Z104" s="59"/>
      <c r="AA104" s="60"/>
      <c r="AB104" s="58"/>
      <c r="AC104" s="67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ht="19.5" customHeight="1">
      <c r="A105" s="44" t="s">
        <v>132</v>
      </c>
      <c r="B105" s="6"/>
      <c r="C105" s="5"/>
      <c r="D105" s="45" t="s">
        <v>133</v>
      </c>
      <c r="E105" s="46"/>
      <c r="F105" s="47"/>
      <c r="G105" s="80" t="s">
        <v>128</v>
      </c>
      <c r="H105" s="46"/>
      <c r="I105" s="47"/>
      <c r="J105" s="49" t="s">
        <v>38</v>
      </c>
      <c r="K105" s="51">
        <v>40124.0</v>
      </c>
      <c r="L105" s="51">
        <v>74.0</v>
      </c>
      <c r="M105" s="51">
        <v>120.4</v>
      </c>
      <c r="N105" s="49">
        <v>120.4</v>
      </c>
      <c r="O105" s="72" t="s">
        <v>40</v>
      </c>
      <c r="P105" s="49">
        <v>32.0</v>
      </c>
      <c r="Q105" s="49" t="s">
        <v>41</v>
      </c>
      <c r="R105" s="52">
        <v>10.0</v>
      </c>
      <c r="S105" s="49">
        <v>149.0</v>
      </c>
      <c r="T105" s="49">
        <v>266.0</v>
      </c>
      <c r="U105" s="49">
        <v>186.0</v>
      </c>
      <c r="V105" s="54">
        <v>0.011</v>
      </c>
      <c r="W105" s="53">
        <v>36.8</v>
      </c>
      <c r="X105" s="53">
        <v>0.94</v>
      </c>
      <c r="Y105" s="55" t="s">
        <v>42</v>
      </c>
      <c r="Z105" s="47"/>
      <c r="AA105" s="56" t="s">
        <v>134</v>
      </c>
      <c r="AB105" s="46"/>
      <c r="AC105" s="57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</row>
    <row r="106" ht="19.5" customHeight="1">
      <c r="A106" s="34" t="s">
        <v>135</v>
      </c>
      <c r="B106" s="24"/>
      <c r="C106" s="23"/>
      <c r="D106" s="58"/>
      <c r="E106" s="58"/>
      <c r="F106" s="59"/>
      <c r="G106" s="60"/>
      <c r="H106" s="58"/>
      <c r="I106" s="59"/>
      <c r="J106" s="81" t="s">
        <v>131</v>
      </c>
      <c r="K106" s="62" t="s">
        <v>46</v>
      </c>
      <c r="L106" s="63" t="s">
        <v>47</v>
      </c>
      <c r="M106" s="24"/>
      <c r="N106" s="24"/>
      <c r="O106" s="24"/>
      <c r="P106" s="61" t="s">
        <v>48</v>
      </c>
      <c r="Q106" s="64" t="s">
        <v>49</v>
      </c>
      <c r="R106" s="65"/>
      <c r="S106" s="66" t="s">
        <v>50</v>
      </c>
      <c r="T106" s="24"/>
      <c r="U106" s="23"/>
      <c r="V106" s="61" t="s">
        <v>51</v>
      </c>
      <c r="W106" s="61" t="s">
        <v>52</v>
      </c>
      <c r="X106" s="61">
        <v>1.16</v>
      </c>
      <c r="Y106" s="60"/>
      <c r="Z106" s="59"/>
      <c r="AA106" s="60"/>
      <c r="AB106" s="58"/>
      <c r="AC106" s="67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</row>
    <row r="107" ht="19.5" customHeight="1">
      <c r="A107" s="44" t="s">
        <v>136</v>
      </c>
      <c r="B107" s="6"/>
      <c r="C107" s="5"/>
      <c r="D107" s="45" t="s">
        <v>137</v>
      </c>
      <c r="E107" s="46"/>
      <c r="F107" s="47"/>
      <c r="G107" s="48" t="s">
        <v>37</v>
      </c>
      <c r="H107" s="46"/>
      <c r="I107" s="47"/>
      <c r="J107" s="49" t="s">
        <v>38</v>
      </c>
      <c r="K107" s="51">
        <v>49848.0</v>
      </c>
      <c r="L107" s="51">
        <v>435.1</v>
      </c>
      <c r="M107" s="51">
        <v>478.6</v>
      </c>
      <c r="N107" s="49">
        <v>478.6</v>
      </c>
      <c r="O107" s="49" t="s">
        <v>40</v>
      </c>
      <c r="P107" s="49">
        <v>32.0</v>
      </c>
      <c r="Q107" s="49" t="s">
        <v>41</v>
      </c>
      <c r="R107" s="52">
        <v>21.0</v>
      </c>
      <c r="S107" s="49">
        <v>251.6</v>
      </c>
      <c r="T107" s="49">
        <v>356.0</v>
      </c>
      <c r="U107" s="82">
        <v>413.3</v>
      </c>
      <c r="V107" s="54">
        <v>0.012</v>
      </c>
      <c r="W107" s="49">
        <v>62.5</v>
      </c>
      <c r="X107" s="54">
        <v>0.706</v>
      </c>
      <c r="Y107" s="83" t="s">
        <v>138</v>
      </c>
      <c r="Z107" s="47"/>
      <c r="AA107" s="56" t="s">
        <v>139</v>
      </c>
      <c r="AB107" s="46"/>
      <c r="AC107" s="57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</row>
    <row r="108" ht="19.5" customHeight="1">
      <c r="A108" s="34" t="s">
        <v>140</v>
      </c>
      <c r="B108" s="24"/>
      <c r="C108" s="23"/>
      <c r="D108" s="58"/>
      <c r="E108" s="58"/>
      <c r="F108" s="59"/>
      <c r="G108" s="60"/>
      <c r="H108" s="58"/>
      <c r="I108" s="59"/>
      <c r="J108" s="81" t="s">
        <v>131</v>
      </c>
      <c r="K108" s="62" t="s">
        <v>46</v>
      </c>
      <c r="L108" s="63" t="s">
        <v>47</v>
      </c>
      <c r="M108" s="24"/>
      <c r="N108" s="24"/>
      <c r="O108" s="24"/>
      <c r="P108" s="61" t="s">
        <v>48</v>
      </c>
      <c r="Q108" s="64" t="s">
        <v>67</v>
      </c>
      <c r="R108" s="65"/>
      <c r="S108" s="66" t="s">
        <v>50</v>
      </c>
      <c r="T108" s="24"/>
      <c r="U108" s="23"/>
      <c r="V108" s="61" t="s">
        <v>51</v>
      </c>
      <c r="W108" s="61" t="s">
        <v>52</v>
      </c>
      <c r="X108" s="61">
        <v>1.06</v>
      </c>
      <c r="Y108" s="60"/>
      <c r="Z108" s="59"/>
      <c r="AA108" s="60"/>
      <c r="AB108" s="58"/>
      <c r="AC108" s="67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</row>
    <row r="109" ht="19.5" customHeight="1">
      <c r="A109" s="44" t="s">
        <v>136</v>
      </c>
      <c r="B109" s="6"/>
      <c r="C109" s="5"/>
      <c r="D109" s="45" t="s">
        <v>137</v>
      </c>
      <c r="E109" s="46"/>
      <c r="F109" s="47"/>
      <c r="G109" s="48" t="s">
        <v>122</v>
      </c>
      <c r="H109" s="46"/>
      <c r="I109" s="47"/>
      <c r="J109" s="49" t="s">
        <v>38</v>
      </c>
      <c r="K109" s="51">
        <v>34198.0</v>
      </c>
      <c r="L109" s="51">
        <v>435.1</v>
      </c>
      <c r="M109" s="51">
        <v>478.6</v>
      </c>
      <c r="N109" s="49">
        <v>478.6</v>
      </c>
      <c r="O109" s="49" t="s">
        <v>40</v>
      </c>
      <c r="P109" s="49">
        <v>32.0</v>
      </c>
      <c r="Q109" s="49" t="s">
        <v>41</v>
      </c>
      <c r="R109" s="52">
        <v>10.0</v>
      </c>
      <c r="S109" s="49">
        <v>251.6</v>
      </c>
      <c r="T109" s="49">
        <v>356.0</v>
      </c>
      <c r="U109" s="53">
        <v>251.0</v>
      </c>
      <c r="V109" s="75">
        <v>0.012</v>
      </c>
      <c r="W109" s="53">
        <v>36.0</v>
      </c>
      <c r="X109" s="53">
        <v>0.84</v>
      </c>
      <c r="Y109" s="55" t="s">
        <v>42</v>
      </c>
      <c r="Z109" s="47"/>
      <c r="AA109" s="56" t="s">
        <v>139</v>
      </c>
      <c r="AB109" s="46"/>
      <c r="AC109" s="57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</row>
    <row r="110" ht="19.5" customHeight="1">
      <c r="A110" s="34" t="s">
        <v>140</v>
      </c>
      <c r="B110" s="24"/>
      <c r="C110" s="23"/>
      <c r="D110" s="58"/>
      <c r="E110" s="58"/>
      <c r="F110" s="59"/>
      <c r="G110" s="60"/>
      <c r="H110" s="58"/>
      <c r="I110" s="59"/>
      <c r="J110" s="61" t="s">
        <v>141</v>
      </c>
      <c r="K110" s="62" t="s">
        <v>46</v>
      </c>
      <c r="L110" s="63" t="s">
        <v>47</v>
      </c>
      <c r="M110" s="24"/>
      <c r="N110" s="24"/>
      <c r="O110" s="24"/>
      <c r="P110" s="61" t="s">
        <v>48</v>
      </c>
      <c r="Q110" s="64" t="s">
        <v>67</v>
      </c>
      <c r="R110" s="65"/>
      <c r="S110" s="66" t="s">
        <v>50</v>
      </c>
      <c r="T110" s="24"/>
      <c r="U110" s="23"/>
      <c r="V110" s="61" t="s">
        <v>51</v>
      </c>
      <c r="W110" s="61" t="s">
        <v>52</v>
      </c>
      <c r="X110" s="68">
        <v>1.14</v>
      </c>
      <c r="Y110" s="60"/>
      <c r="Z110" s="59"/>
      <c r="AA110" s="60"/>
      <c r="AB110" s="58"/>
      <c r="AC110" s="67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</row>
    <row r="111" ht="19.5" customHeight="1">
      <c r="A111" s="44" t="s">
        <v>136</v>
      </c>
      <c r="B111" s="6"/>
      <c r="C111" s="5"/>
      <c r="D111" s="45" t="s">
        <v>137</v>
      </c>
      <c r="E111" s="46"/>
      <c r="F111" s="47"/>
      <c r="G111" s="48" t="s">
        <v>142</v>
      </c>
      <c r="H111" s="46"/>
      <c r="I111" s="47"/>
      <c r="J111" s="49" t="s">
        <v>38</v>
      </c>
      <c r="K111" s="51">
        <v>34198.0</v>
      </c>
      <c r="L111" s="51">
        <v>435.1</v>
      </c>
      <c r="M111" s="51">
        <v>478.6</v>
      </c>
      <c r="N111" s="49">
        <v>478.6</v>
      </c>
      <c r="O111" s="49" t="s">
        <v>40</v>
      </c>
      <c r="P111" s="49">
        <v>32.0</v>
      </c>
      <c r="Q111" s="49" t="s">
        <v>41</v>
      </c>
      <c r="R111" s="52">
        <v>10.0</v>
      </c>
      <c r="S111" s="49">
        <v>251.6</v>
      </c>
      <c r="T111" s="49">
        <v>356.0</v>
      </c>
      <c r="U111" s="53">
        <v>251.0</v>
      </c>
      <c r="V111" s="75">
        <v>0.012</v>
      </c>
      <c r="W111" s="53">
        <v>36.0</v>
      </c>
      <c r="X111" s="53">
        <v>0.84</v>
      </c>
      <c r="Y111" s="55" t="s">
        <v>42</v>
      </c>
      <c r="Z111" s="47"/>
      <c r="AA111" s="56" t="s">
        <v>139</v>
      </c>
      <c r="AB111" s="46"/>
      <c r="AC111" s="57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</row>
    <row r="112" ht="19.5" customHeight="1">
      <c r="A112" s="34" t="s">
        <v>140</v>
      </c>
      <c r="B112" s="24"/>
      <c r="C112" s="23"/>
      <c r="D112" s="58"/>
      <c r="E112" s="58"/>
      <c r="F112" s="59"/>
      <c r="G112" s="60"/>
      <c r="H112" s="58"/>
      <c r="I112" s="59"/>
      <c r="J112" s="61" t="s">
        <v>141</v>
      </c>
      <c r="K112" s="62" t="s">
        <v>46</v>
      </c>
      <c r="L112" s="63" t="s">
        <v>47</v>
      </c>
      <c r="M112" s="24"/>
      <c r="N112" s="24"/>
      <c r="O112" s="24"/>
      <c r="P112" s="61" t="s">
        <v>48</v>
      </c>
      <c r="Q112" s="64" t="s">
        <v>67</v>
      </c>
      <c r="R112" s="65"/>
      <c r="S112" s="66" t="s">
        <v>50</v>
      </c>
      <c r="T112" s="24"/>
      <c r="U112" s="23"/>
      <c r="V112" s="61" t="s">
        <v>51</v>
      </c>
      <c r="W112" s="61" t="s">
        <v>52</v>
      </c>
      <c r="X112" s="68">
        <v>1.14</v>
      </c>
      <c r="Y112" s="60"/>
      <c r="Z112" s="59"/>
      <c r="AA112" s="60"/>
      <c r="AB112" s="58"/>
      <c r="AC112" s="67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</row>
    <row r="113" ht="19.5" customHeight="1">
      <c r="A113" s="44" t="s">
        <v>136</v>
      </c>
      <c r="B113" s="6"/>
      <c r="C113" s="5"/>
      <c r="D113" s="45" t="s">
        <v>137</v>
      </c>
      <c r="E113" s="46"/>
      <c r="F113" s="47"/>
      <c r="G113" s="48" t="s">
        <v>55</v>
      </c>
      <c r="H113" s="46"/>
      <c r="I113" s="47"/>
      <c r="J113" s="49" t="s">
        <v>54</v>
      </c>
      <c r="K113" s="51">
        <v>152011.0</v>
      </c>
      <c r="L113" s="51">
        <v>435.1</v>
      </c>
      <c r="M113" s="51">
        <v>478.6</v>
      </c>
      <c r="N113" s="49">
        <v>478.6</v>
      </c>
      <c r="O113" s="49" t="s">
        <v>40</v>
      </c>
      <c r="P113" s="49">
        <v>32.0</v>
      </c>
      <c r="Q113" s="49" t="s">
        <v>41</v>
      </c>
      <c r="R113" s="52">
        <v>10.0</v>
      </c>
      <c r="S113" s="49">
        <v>251.6</v>
      </c>
      <c r="T113" s="49">
        <v>356.0</v>
      </c>
      <c r="U113" s="53">
        <v>251.0</v>
      </c>
      <c r="V113" s="75">
        <v>0.125</v>
      </c>
      <c r="W113" s="49" t="s">
        <v>52</v>
      </c>
      <c r="X113" s="49" t="s">
        <v>52</v>
      </c>
      <c r="Y113" s="55" t="s">
        <v>42</v>
      </c>
      <c r="Z113" s="47"/>
      <c r="AA113" s="56" t="s">
        <v>139</v>
      </c>
      <c r="AB113" s="46"/>
      <c r="AC113" s="57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</row>
    <row r="114" ht="19.5" customHeight="1">
      <c r="A114" s="34" t="s">
        <v>140</v>
      </c>
      <c r="B114" s="24"/>
      <c r="C114" s="23"/>
      <c r="D114" s="58"/>
      <c r="E114" s="58"/>
      <c r="F114" s="59"/>
      <c r="G114" s="60"/>
      <c r="H114" s="58"/>
      <c r="I114" s="59"/>
      <c r="J114" s="61" t="s">
        <v>141</v>
      </c>
      <c r="K114" s="62" t="s">
        <v>46</v>
      </c>
      <c r="L114" s="63" t="s">
        <v>47</v>
      </c>
      <c r="M114" s="24"/>
      <c r="N114" s="24"/>
      <c r="O114" s="24"/>
      <c r="P114" s="61" t="s">
        <v>48</v>
      </c>
      <c r="Q114" s="64" t="s">
        <v>67</v>
      </c>
      <c r="R114" s="65"/>
      <c r="S114" s="66" t="s">
        <v>50</v>
      </c>
      <c r="T114" s="24"/>
      <c r="U114" s="23"/>
      <c r="V114" s="61" t="s">
        <v>51</v>
      </c>
      <c r="W114" s="68">
        <v>0.498</v>
      </c>
      <c r="X114" s="61" t="s">
        <v>52</v>
      </c>
      <c r="Y114" s="60"/>
      <c r="Z114" s="59"/>
      <c r="AA114" s="60"/>
      <c r="AB114" s="58"/>
      <c r="AC114" s="67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</row>
    <row r="115" ht="39.75" customHeight="1">
      <c r="A115" s="44" t="s">
        <v>136</v>
      </c>
      <c r="B115" s="6"/>
      <c r="C115" s="5"/>
      <c r="D115" s="45" t="s">
        <v>137</v>
      </c>
      <c r="E115" s="46"/>
      <c r="F115" s="47"/>
      <c r="G115" s="48" t="s">
        <v>56</v>
      </c>
      <c r="H115" s="46"/>
      <c r="I115" s="47"/>
      <c r="J115" s="49" t="s">
        <v>143</v>
      </c>
      <c r="K115" s="51">
        <v>370377.0</v>
      </c>
      <c r="L115" s="51">
        <v>435.1</v>
      </c>
      <c r="M115" s="51">
        <v>478.6</v>
      </c>
      <c r="N115" s="49">
        <v>478.6</v>
      </c>
      <c r="O115" s="49" t="s">
        <v>40</v>
      </c>
      <c r="P115" s="49">
        <v>32.0</v>
      </c>
      <c r="Q115" s="49" t="s">
        <v>41</v>
      </c>
      <c r="R115" s="52">
        <v>10.0</v>
      </c>
      <c r="S115" s="49">
        <v>251.6</v>
      </c>
      <c r="T115" s="49">
        <v>356.0</v>
      </c>
      <c r="U115" s="53">
        <v>268.0</v>
      </c>
      <c r="V115" s="75">
        <v>0.012</v>
      </c>
      <c r="W115" s="53">
        <v>66.8</v>
      </c>
      <c r="X115" s="53">
        <v>0.84</v>
      </c>
      <c r="Y115" s="55" t="s">
        <v>42</v>
      </c>
      <c r="Z115" s="47"/>
      <c r="AA115" s="56" t="s">
        <v>144</v>
      </c>
      <c r="AB115" s="46"/>
      <c r="AC115" s="57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</row>
    <row r="116" ht="39.75" customHeight="1">
      <c r="A116" s="34" t="s">
        <v>140</v>
      </c>
      <c r="B116" s="24"/>
      <c r="C116" s="23"/>
      <c r="D116" s="58"/>
      <c r="E116" s="58"/>
      <c r="F116" s="59"/>
      <c r="G116" s="60"/>
      <c r="H116" s="58"/>
      <c r="I116" s="59"/>
      <c r="J116" s="61" t="s">
        <v>141</v>
      </c>
      <c r="K116" s="62" t="s">
        <v>46</v>
      </c>
      <c r="L116" s="63" t="s">
        <v>47</v>
      </c>
      <c r="M116" s="24"/>
      <c r="N116" s="24"/>
      <c r="O116" s="24"/>
      <c r="P116" s="61" t="s">
        <v>48</v>
      </c>
      <c r="Q116" s="64" t="s">
        <v>67</v>
      </c>
      <c r="R116" s="65"/>
      <c r="S116" s="66" t="s">
        <v>50</v>
      </c>
      <c r="T116" s="24"/>
      <c r="U116" s="23"/>
      <c r="V116" s="61" t="s">
        <v>51</v>
      </c>
      <c r="W116" s="61" t="s">
        <v>52</v>
      </c>
      <c r="X116" s="68">
        <v>1.14</v>
      </c>
      <c r="Y116" s="60"/>
      <c r="Z116" s="59"/>
      <c r="AA116" s="60"/>
      <c r="AB116" s="58"/>
      <c r="AC116" s="67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ht="19.5" customHeight="1">
      <c r="A117" s="44" t="s">
        <v>136</v>
      </c>
      <c r="B117" s="6"/>
      <c r="C117" s="5"/>
      <c r="D117" s="45" t="s">
        <v>137</v>
      </c>
      <c r="E117" s="46"/>
      <c r="F117" s="47"/>
      <c r="G117" s="48" t="s">
        <v>57</v>
      </c>
      <c r="H117" s="46"/>
      <c r="I117" s="47"/>
      <c r="J117" s="49" t="s">
        <v>54</v>
      </c>
      <c r="K117" s="51">
        <v>152011.0</v>
      </c>
      <c r="L117" s="51">
        <v>435.1</v>
      </c>
      <c r="M117" s="51">
        <v>478.6</v>
      </c>
      <c r="N117" s="49">
        <v>478.6</v>
      </c>
      <c r="O117" s="49" t="s">
        <v>40</v>
      </c>
      <c r="P117" s="49">
        <v>32.0</v>
      </c>
      <c r="Q117" s="49" t="s">
        <v>41</v>
      </c>
      <c r="R117" s="52">
        <v>10.0</v>
      </c>
      <c r="S117" s="49">
        <v>251.6</v>
      </c>
      <c r="T117" s="49">
        <v>356.0</v>
      </c>
      <c r="U117" s="53">
        <v>251.0</v>
      </c>
      <c r="V117" s="75">
        <v>0.125</v>
      </c>
      <c r="W117" s="49" t="s">
        <v>52</v>
      </c>
      <c r="X117" s="49" t="s">
        <v>52</v>
      </c>
      <c r="Y117" s="55" t="s">
        <v>42</v>
      </c>
      <c r="Z117" s="47"/>
      <c r="AA117" s="56" t="s">
        <v>139</v>
      </c>
      <c r="AB117" s="46"/>
      <c r="AC117" s="57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ht="19.5" customHeight="1">
      <c r="A118" s="34" t="s">
        <v>140</v>
      </c>
      <c r="B118" s="24"/>
      <c r="C118" s="23"/>
      <c r="D118" s="58"/>
      <c r="E118" s="58"/>
      <c r="F118" s="59"/>
      <c r="G118" s="60"/>
      <c r="H118" s="58"/>
      <c r="I118" s="59"/>
      <c r="J118" s="61" t="s">
        <v>141</v>
      </c>
      <c r="K118" s="62" t="s">
        <v>46</v>
      </c>
      <c r="L118" s="63" t="s">
        <v>47</v>
      </c>
      <c r="M118" s="24"/>
      <c r="N118" s="24"/>
      <c r="O118" s="24"/>
      <c r="P118" s="61" t="s">
        <v>48</v>
      </c>
      <c r="Q118" s="64" t="s">
        <v>67</v>
      </c>
      <c r="R118" s="65"/>
      <c r="S118" s="66" t="s">
        <v>50</v>
      </c>
      <c r="T118" s="24"/>
      <c r="U118" s="23"/>
      <c r="V118" s="61" t="s">
        <v>51</v>
      </c>
      <c r="W118" s="68">
        <v>0.498</v>
      </c>
      <c r="X118" s="61" t="s">
        <v>52</v>
      </c>
      <c r="Y118" s="60"/>
      <c r="Z118" s="59"/>
      <c r="AA118" s="60"/>
      <c r="AB118" s="58"/>
      <c r="AC118" s="67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ht="19.5" customHeight="1">
      <c r="A119" s="44" t="s">
        <v>136</v>
      </c>
      <c r="B119" s="6"/>
      <c r="C119" s="5"/>
      <c r="D119" s="45" t="s">
        <v>137</v>
      </c>
      <c r="E119" s="46"/>
      <c r="F119" s="47"/>
      <c r="G119" s="48" t="s">
        <v>61</v>
      </c>
      <c r="H119" s="46"/>
      <c r="I119" s="47"/>
      <c r="J119" s="49" t="s">
        <v>54</v>
      </c>
      <c r="K119" s="51">
        <v>152011.0</v>
      </c>
      <c r="L119" s="51">
        <v>435.1</v>
      </c>
      <c r="M119" s="51">
        <v>478.6</v>
      </c>
      <c r="N119" s="49">
        <v>478.6</v>
      </c>
      <c r="O119" s="49" t="s">
        <v>40</v>
      </c>
      <c r="P119" s="49">
        <v>32.0</v>
      </c>
      <c r="Q119" s="49" t="s">
        <v>41</v>
      </c>
      <c r="R119" s="52">
        <v>10.0</v>
      </c>
      <c r="S119" s="49">
        <v>251.6</v>
      </c>
      <c r="T119" s="49">
        <v>356.0</v>
      </c>
      <c r="U119" s="53">
        <v>251.0</v>
      </c>
      <c r="V119" s="75">
        <v>0.125</v>
      </c>
      <c r="W119" s="49" t="s">
        <v>52</v>
      </c>
      <c r="X119" s="49" t="s">
        <v>52</v>
      </c>
      <c r="Y119" s="55" t="s">
        <v>42</v>
      </c>
      <c r="Z119" s="47"/>
      <c r="AA119" s="56" t="s">
        <v>139</v>
      </c>
      <c r="AB119" s="46"/>
      <c r="AC119" s="57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</row>
    <row r="120" ht="19.5" customHeight="1">
      <c r="A120" s="34" t="s">
        <v>140</v>
      </c>
      <c r="B120" s="24"/>
      <c r="C120" s="23"/>
      <c r="D120" s="58"/>
      <c r="E120" s="58"/>
      <c r="F120" s="59"/>
      <c r="G120" s="60"/>
      <c r="H120" s="58"/>
      <c r="I120" s="59"/>
      <c r="J120" s="61" t="s">
        <v>141</v>
      </c>
      <c r="K120" s="62" t="s">
        <v>46</v>
      </c>
      <c r="L120" s="63" t="s">
        <v>47</v>
      </c>
      <c r="M120" s="24"/>
      <c r="N120" s="24"/>
      <c r="O120" s="24"/>
      <c r="P120" s="61" t="s">
        <v>48</v>
      </c>
      <c r="Q120" s="64" t="s">
        <v>67</v>
      </c>
      <c r="R120" s="65"/>
      <c r="S120" s="66" t="s">
        <v>50</v>
      </c>
      <c r="T120" s="24"/>
      <c r="U120" s="23"/>
      <c r="V120" s="61" t="s">
        <v>51</v>
      </c>
      <c r="W120" s="68">
        <v>0.498</v>
      </c>
      <c r="X120" s="61" t="s">
        <v>52</v>
      </c>
      <c r="Y120" s="60"/>
      <c r="Z120" s="59"/>
      <c r="AA120" s="60"/>
      <c r="AB120" s="58"/>
      <c r="AC120" s="67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ht="19.5" customHeight="1">
      <c r="A121" s="44" t="s">
        <v>145</v>
      </c>
      <c r="B121" s="6"/>
      <c r="C121" s="5"/>
      <c r="D121" s="45" t="s">
        <v>146</v>
      </c>
      <c r="E121" s="46"/>
      <c r="F121" s="47"/>
      <c r="G121" s="48" t="s">
        <v>128</v>
      </c>
      <c r="H121" s="46"/>
      <c r="I121" s="47"/>
      <c r="J121" s="49" t="s">
        <v>38</v>
      </c>
      <c r="K121" s="51">
        <v>21003.0</v>
      </c>
      <c r="L121" s="51">
        <v>20.0</v>
      </c>
      <c r="M121" s="51">
        <v>100.0</v>
      </c>
      <c r="N121" s="49">
        <v>100.0</v>
      </c>
      <c r="O121" s="72" t="s">
        <v>40</v>
      </c>
      <c r="P121" s="49">
        <v>23.8</v>
      </c>
      <c r="Q121" s="49" t="s">
        <v>41</v>
      </c>
      <c r="R121" s="52">
        <v>10.0</v>
      </c>
      <c r="S121" s="49">
        <v>104.0</v>
      </c>
      <c r="T121" s="49">
        <v>158.0</v>
      </c>
      <c r="U121" s="53">
        <v>222.0</v>
      </c>
      <c r="V121" s="54">
        <v>0.013</v>
      </c>
      <c r="W121" s="49">
        <v>36.0</v>
      </c>
      <c r="X121" s="75">
        <v>0.961</v>
      </c>
      <c r="Y121" s="55" t="s">
        <v>42</v>
      </c>
      <c r="Z121" s="47"/>
      <c r="AA121" s="56" t="s">
        <v>147</v>
      </c>
      <c r="AB121" s="46"/>
      <c r="AC121" s="57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ht="19.5" customHeight="1">
      <c r="A122" s="34" t="s">
        <v>140</v>
      </c>
      <c r="B122" s="24"/>
      <c r="C122" s="23"/>
      <c r="D122" s="58"/>
      <c r="E122" s="58"/>
      <c r="F122" s="59"/>
      <c r="G122" s="60"/>
      <c r="H122" s="58"/>
      <c r="I122" s="59"/>
      <c r="J122" s="81" t="s">
        <v>131</v>
      </c>
      <c r="K122" s="62" t="s">
        <v>46</v>
      </c>
      <c r="L122" s="63" t="s">
        <v>47</v>
      </c>
      <c r="M122" s="24"/>
      <c r="N122" s="24"/>
      <c r="O122" s="24"/>
      <c r="P122" s="61" t="s">
        <v>48</v>
      </c>
      <c r="Q122" s="64" t="s">
        <v>49</v>
      </c>
      <c r="R122" s="65"/>
      <c r="S122" s="66" t="s">
        <v>50</v>
      </c>
      <c r="T122" s="24"/>
      <c r="U122" s="23"/>
      <c r="V122" s="61" t="s">
        <v>51</v>
      </c>
      <c r="W122" s="61" t="s">
        <v>52</v>
      </c>
      <c r="X122" s="68">
        <v>1.14</v>
      </c>
      <c r="Y122" s="60"/>
      <c r="Z122" s="59"/>
      <c r="AA122" s="60"/>
      <c r="AB122" s="58"/>
      <c r="AC122" s="67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</row>
    <row r="123" ht="19.5" customHeight="1">
      <c r="A123" s="44" t="s">
        <v>148</v>
      </c>
      <c r="B123" s="6"/>
      <c r="C123" s="5"/>
      <c r="D123" s="45" t="s">
        <v>149</v>
      </c>
      <c r="E123" s="46"/>
      <c r="F123" s="47"/>
      <c r="G123" s="48" t="s">
        <v>128</v>
      </c>
      <c r="H123" s="46"/>
      <c r="I123" s="47"/>
      <c r="J123" s="49" t="s">
        <v>38</v>
      </c>
      <c r="K123" s="51">
        <v>16755.0</v>
      </c>
      <c r="L123" s="51">
        <v>28.0</v>
      </c>
      <c r="M123" s="51">
        <v>185.0</v>
      </c>
      <c r="N123" s="49">
        <v>185.0</v>
      </c>
      <c r="O123" s="72" t="s">
        <v>40</v>
      </c>
      <c r="P123" s="49">
        <v>57.8</v>
      </c>
      <c r="Q123" s="49" t="s">
        <v>41</v>
      </c>
      <c r="R123" s="52">
        <v>10.0</v>
      </c>
      <c r="S123" s="49">
        <v>50.0</v>
      </c>
      <c r="T123" s="49">
        <v>158.0</v>
      </c>
      <c r="U123" s="49">
        <v>78.0</v>
      </c>
      <c r="V123" s="54">
        <v>0.011</v>
      </c>
      <c r="W123" s="49">
        <v>29.0</v>
      </c>
      <c r="X123" s="53">
        <v>0.925</v>
      </c>
      <c r="Y123" s="55" t="s">
        <v>42</v>
      </c>
      <c r="Z123" s="47"/>
      <c r="AA123" s="56" t="s">
        <v>150</v>
      </c>
      <c r="AB123" s="46"/>
      <c r="AC123" s="57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</row>
    <row r="124" ht="19.5" customHeight="1">
      <c r="A124" s="34" t="s">
        <v>151</v>
      </c>
      <c r="B124" s="24"/>
      <c r="C124" s="23"/>
      <c r="D124" s="58"/>
      <c r="E124" s="58"/>
      <c r="F124" s="59"/>
      <c r="G124" s="60"/>
      <c r="H124" s="58"/>
      <c r="I124" s="59"/>
      <c r="J124" s="81" t="s">
        <v>131</v>
      </c>
      <c r="K124" s="62" t="s">
        <v>46</v>
      </c>
      <c r="L124" s="63" t="s">
        <v>47</v>
      </c>
      <c r="M124" s="24"/>
      <c r="N124" s="24"/>
      <c r="O124" s="24"/>
      <c r="P124" s="61" t="s">
        <v>48</v>
      </c>
      <c r="Q124" s="64" t="s">
        <v>49</v>
      </c>
      <c r="R124" s="65"/>
      <c r="S124" s="66" t="s">
        <v>50</v>
      </c>
      <c r="T124" s="24"/>
      <c r="U124" s="23"/>
      <c r="V124" s="61" t="s">
        <v>51</v>
      </c>
      <c r="W124" s="61" t="s">
        <v>52</v>
      </c>
      <c r="X124" s="61">
        <v>1.29</v>
      </c>
      <c r="Y124" s="60"/>
      <c r="Z124" s="59"/>
      <c r="AA124" s="60"/>
      <c r="AB124" s="58"/>
      <c r="AC124" s="67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</row>
    <row r="125" ht="19.5" customHeight="1">
      <c r="A125" s="44" t="s">
        <v>152</v>
      </c>
      <c r="B125" s="6"/>
      <c r="C125" s="5"/>
      <c r="D125" s="45" t="s">
        <v>153</v>
      </c>
      <c r="E125" s="46"/>
      <c r="F125" s="47"/>
      <c r="G125" s="48" t="s">
        <v>37</v>
      </c>
      <c r="H125" s="46"/>
      <c r="I125" s="47"/>
      <c r="J125" s="49" t="s">
        <v>38</v>
      </c>
      <c r="K125" s="69">
        <v>13245.0</v>
      </c>
      <c r="L125" s="51">
        <v>72.5</v>
      </c>
      <c r="M125" s="51" t="s">
        <v>154</v>
      </c>
      <c r="N125" s="49">
        <v>103.0</v>
      </c>
      <c r="O125" s="49" t="s">
        <v>40</v>
      </c>
      <c r="P125" s="49">
        <v>25.0</v>
      </c>
      <c r="Q125" s="49" t="s">
        <v>41</v>
      </c>
      <c r="R125" s="52">
        <v>21.0</v>
      </c>
      <c r="S125" s="49">
        <v>226.9</v>
      </c>
      <c r="T125" s="49">
        <v>401.0</v>
      </c>
      <c r="U125" s="82">
        <v>369.6</v>
      </c>
      <c r="V125" s="54">
        <v>0.009</v>
      </c>
      <c r="W125" s="49">
        <v>94.9</v>
      </c>
      <c r="X125" s="49">
        <v>0.78</v>
      </c>
      <c r="Y125" s="55" t="s">
        <v>42</v>
      </c>
      <c r="Z125" s="47"/>
      <c r="AA125" s="56" t="s">
        <v>155</v>
      </c>
      <c r="AB125" s="46"/>
      <c r="AC125" s="57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</row>
    <row r="126" ht="19.5" customHeight="1">
      <c r="A126" s="34" t="s">
        <v>156</v>
      </c>
      <c r="B126" s="24"/>
      <c r="C126" s="23"/>
      <c r="D126" s="58"/>
      <c r="E126" s="58"/>
      <c r="F126" s="59"/>
      <c r="G126" s="60"/>
      <c r="H126" s="58"/>
      <c r="I126" s="59"/>
      <c r="J126" s="61" t="s">
        <v>157</v>
      </c>
      <c r="K126" s="62" t="s">
        <v>46</v>
      </c>
      <c r="L126" s="63" t="s">
        <v>47</v>
      </c>
      <c r="M126" s="24"/>
      <c r="N126" s="24"/>
      <c r="O126" s="24"/>
      <c r="P126" s="61" t="s">
        <v>48</v>
      </c>
      <c r="Q126" s="64" t="s">
        <v>49</v>
      </c>
      <c r="R126" s="65"/>
      <c r="S126" s="66" t="s">
        <v>50</v>
      </c>
      <c r="T126" s="24"/>
      <c r="U126" s="23"/>
      <c r="V126" s="61" t="s">
        <v>51</v>
      </c>
      <c r="W126" s="61" t="s">
        <v>52</v>
      </c>
      <c r="X126" s="61">
        <v>1.039</v>
      </c>
      <c r="Y126" s="60"/>
      <c r="Z126" s="59"/>
      <c r="AA126" s="60"/>
      <c r="AB126" s="58"/>
      <c r="AC126" s="67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</row>
    <row r="127" ht="19.5" customHeight="1">
      <c r="A127" s="44" t="s">
        <v>152</v>
      </c>
      <c r="B127" s="6"/>
      <c r="C127" s="5"/>
      <c r="D127" s="45" t="s">
        <v>153</v>
      </c>
      <c r="E127" s="46"/>
      <c r="F127" s="47"/>
      <c r="G127" s="48" t="s">
        <v>122</v>
      </c>
      <c r="H127" s="46"/>
      <c r="I127" s="47"/>
      <c r="J127" s="49" t="s">
        <v>38</v>
      </c>
      <c r="K127" s="69">
        <v>48024.0</v>
      </c>
      <c r="L127" s="51">
        <v>72.5</v>
      </c>
      <c r="M127" s="51" t="s">
        <v>154</v>
      </c>
      <c r="N127" s="49">
        <v>103.0</v>
      </c>
      <c r="O127" s="49" t="s">
        <v>40</v>
      </c>
      <c r="P127" s="49">
        <v>25.0</v>
      </c>
      <c r="Q127" s="49" t="s">
        <v>41</v>
      </c>
      <c r="R127" s="52">
        <v>10.0</v>
      </c>
      <c r="S127" s="49">
        <v>226.9</v>
      </c>
      <c r="T127" s="49">
        <v>401.0</v>
      </c>
      <c r="U127" s="49">
        <v>227.0</v>
      </c>
      <c r="V127" s="49">
        <v>0.011</v>
      </c>
      <c r="W127" s="53">
        <v>57.0</v>
      </c>
      <c r="X127" s="53">
        <v>0.916</v>
      </c>
      <c r="Y127" s="55" t="s">
        <v>42</v>
      </c>
      <c r="Z127" s="47"/>
      <c r="AA127" s="56" t="s">
        <v>155</v>
      </c>
      <c r="AB127" s="46"/>
      <c r="AC127" s="57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</row>
    <row r="128" ht="19.5" customHeight="1">
      <c r="A128" s="34" t="s">
        <v>156</v>
      </c>
      <c r="B128" s="24"/>
      <c r="C128" s="23"/>
      <c r="D128" s="58"/>
      <c r="E128" s="58"/>
      <c r="F128" s="59"/>
      <c r="G128" s="60"/>
      <c r="H128" s="58"/>
      <c r="I128" s="59"/>
      <c r="J128" s="61" t="s">
        <v>157</v>
      </c>
      <c r="K128" s="62" t="s">
        <v>46</v>
      </c>
      <c r="L128" s="63" t="s">
        <v>47</v>
      </c>
      <c r="M128" s="24"/>
      <c r="N128" s="24"/>
      <c r="O128" s="24"/>
      <c r="P128" s="61" t="s">
        <v>48</v>
      </c>
      <c r="Q128" s="64" t="s">
        <v>49</v>
      </c>
      <c r="R128" s="65"/>
      <c r="S128" s="66" t="s">
        <v>50</v>
      </c>
      <c r="T128" s="24"/>
      <c r="U128" s="23"/>
      <c r="V128" s="61" t="s">
        <v>51</v>
      </c>
      <c r="W128" s="61" t="s">
        <v>52</v>
      </c>
      <c r="X128" s="84">
        <v>1.09</v>
      </c>
      <c r="Y128" s="60"/>
      <c r="Z128" s="59"/>
      <c r="AA128" s="60"/>
      <c r="AB128" s="58"/>
      <c r="AC128" s="67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</row>
    <row r="129" ht="19.5" customHeight="1">
      <c r="A129" s="44" t="s">
        <v>152</v>
      </c>
      <c r="B129" s="6"/>
      <c r="C129" s="5"/>
      <c r="D129" s="45" t="s">
        <v>153</v>
      </c>
      <c r="E129" s="46"/>
      <c r="F129" s="47"/>
      <c r="G129" s="48" t="s">
        <v>53</v>
      </c>
      <c r="H129" s="46"/>
      <c r="I129" s="47"/>
      <c r="J129" s="49" t="s">
        <v>38</v>
      </c>
      <c r="K129" s="51">
        <v>11618.0</v>
      </c>
      <c r="L129" s="51">
        <v>72.5</v>
      </c>
      <c r="M129" s="51" t="s">
        <v>154</v>
      </c>
      <c r="N129" s="49">
        <v>103.0</v>
      </c>
      <c r="O129" s="49" t="s">
        <v>40</v>
      </c>
      <c r="P129" s="49">
        <v>25.0</v>
      </c>
      <c r="Q129" s="49" t="s">
        <v>41</v>
      </c>
      <c r="R129" s="52">
        <v>10.0</v>
      </c>
      <c r="S129" s="49">
        <v>226.9</v>
      </c>
      <c r="T129" s="49">
        <v>401.0</v>
      </c>
      <c r="U129" s="49">
        <v>46.0</v>
      </c>
      <c r="V129" s="49">
        <v>0.009</v>
      </c>
      <c r="W129" s="49">
        <v>29.2</v>
      </c>
      <c r="X129" s="53">
        <v>0.93</v>
      </c>
      <c r="Y129" s="55" t="s">
        <v>42</v>
      </c>
      <c r="Z129" s="47"/>
      <c r="AA129" s="56" t="s">
        <v>155</v>
      </c>
      <c r="AB129" s="46"/>
      <c r="AC129" s="57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</row>
    <row r="130" ht="19.5" customHeight="1">
      <c r="A130" s="34" t="s">
        <v>156</v>
      </c>
      <c r="B130" s="24"/>
      <c r="C130" s="23"/>
      <c r="D130" s="58"/>
      <c r="E130" s="58"/>
      <c r="F130" s="59"/>
      <c r="G130" s="60"/>
      <c r="H130" s="58"/>
      <c r="I130" s="59"/>
      <c r="J130" s="61" t="s">
        <v>157</v>
      </c>
      <c r="K130" s="62" t="s">
        <v>46</v>
      </c>
      <c r="L130" s="63" t="s">
        <v>47</v>
      </c>
      <c r="M130" s="24"/>
      <c r="N130" s="24"/>
      <c r="O130" s="24"/>
      <c r="P130" s="61" t="s">
        <v>48</v>
      </c>
      <c r="Q130" s="64" t="s">
        <v>49</v>
      </c>
      <c r="R130" s="65"/>
      <c r="S130" s="66" t="s">
        <v>50</v>
      </c>
      <c r="T130" s="24"/>
      <c r="U130" s="23"/>
      <c r="V130" s="61" t="s">
        <v>51</v>
      </c>
      <c r="W130" s="61" t="s">
        <v>52</v>
      </c>
      <c r="X130" s="68">
        <v>1.24</v>
      </c>
      <c r="Y130" s="60"/>
      <c r="Z130" s="59"/>
      <c r="AA130" s="60"/>
      <c r="AB130" s="58"/>
      <c r="AC130" s="67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</row>
    <row r="131" ht="19.5" customHeight="1">
      <c r="A131" s="44" t="s">
        <v>152</v>
      </c>
      <c r="B131" s="6"/>
      <c r="C131" s="5"/>
      <c r="D131" s="45" t="s">
        <v>153</v>
      </c>
      <c r="E131" s="46"/>
      <c r="F131" s="47"/>
      <c r="G131" s="48" t="s">
        <v>142</v>
      </c>
      <c r="H131" s="46"/>
      <c r="I131" s="47"/>
      <c r="J131" s="49" t="s">
        <v>38</v>
      </c>
      <c r="K131" s="69">
        <v>48024.0</v>
      </c>
      <c r="L131" s="51">
        <v>72.5</v>
      </c>
      <c r="M131" s="51" t="s">
        <v>154</v>
      </c>
      <c r="N131" s="49">
        <v>103.0</v>
      </c>
      <c r="O131" s="49" t="s">
        <v>40</v>
      </c>
      <c r="P131" s="49">
        <v>25.0</v>
      </c>
      <c r="Q131" s="49" t="s">
        <v>41</v>
      </c>
      <c r="R131" s="52">
        <v>10.0</v>
      </c>
      <c r="S131" s="49">
        <v>226.9</v>
      </c>
      <c r="T131" s="49">
        <v>401.0</v>
      </c>
      <c r="U131" s="49">
        <v>227.0</v>
      </c>
      <c r="V131" s="49">
        <v>0.011</v>
      </c>
      <c r="W131" s="53">
        <v>57.0</v>
      </c>
      <c r="X131" s="53">
        <v>0.916</v>
      </c>
      <c r="Y131" s="55" t="s">
        <v>42</v>
      </c>
      <c r="Z131" s="47"/>
      <c r="AA131" s="56" t="s">
        <v>155</v>
      </c>
      <c r="AB131" s="46"/>
      <c r="AC131" s="57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</row>
    <row r="132" ht="19.5" customHeight="1">
      <c r="A132" s="34" t="s">
        <v>156</v>
      </c>
      <c r="B132" s="24"/>
      <c r="C132" s="23"/>
      <c r="D132" s="58"/>
      <c r="E132" s="58"/>
      <c r="F132" s="59"/>
      <c r="G132" s="60"/>
      <c r="H132" s="58"/>
      <c r="I132" s="59"/>
      <c r="J132" s="61" t="s">
        <v>157</v>
      </c>
      <c r="K132" s="62" t="s">
        <v>46</v>
      </c>
      <c r="L132" s="63" t="s">
        <v>47</v>
      </c>
      <c r="M132" s="24"/>
      <c r="N132" s="24"/>
      <c r="O132" s="24"/>
      <c r="P132" s="61" t="s">
        <v>48</v>
      </c>
      <c r="Q132" s="64" t="s">
        <v>49</v>
      </c>
      <c r="R132" s="65"/>
      <c r="S132" s="66" t="s">
        <v>50</v>
      </c>
      <c r="T132" s="24"/>
      <c r="U132" s="23"/>
      <c r="V132" s="61" t="s">
        <v>51</v>
      </c>
      <c r="W132" s="61" t="s">
        <v>52</v>
      </c>
      <c r="X132" s="84">
        <v>1.09</v>
      </c>
      <c r="Y132" s="60"/>
      <c r="Z132" s="59"/>
      <c r="AA132" s="60"/>
      <c r="AB132" s="58"/>
      <c r="AC132" s="67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</row>
    <row r="133" ht="19.5" customHeight="1">
      <c r="A133" s="44" t="s">
        <v>152</v>
      </c>
      <c r="B133" s="6"/>
      <c r="C133" s="5"/>
      <c r="D133" s="45" t="s">
        <v>153</v>
      </c>
      <c r="E133" s="46"/>
      <c r="F133" s="47"/>
      <c r="G133" s="48" t="s">
        <v>128</v>
      </c>
      <c r="H133" s="46"/>
      <c r="I133" s="47"/>
      <c r="J133" s="53" t="s">
        <v>158</v>
      </c>
      <c r="K133" s="51">
        <v>5335.0</v>
      </c>
      <c r="L133" s="51">
        <v>72.5</v>
      </c>
      <c r="M133" s="51" t="s">
        <v>154</v>
      </c>
      <c r="N133" s="49">
        <v>103.0</v>
      </c>
      <c r="O133" s="49" t="s">
        <v>40</v>
      </c>
      <c r="P133" s="49">
        <v>25.0</v>
      </c>
      <c r="Q133" s="49" t="s">
        <v>41</v>
      </c>
      <c r="R133" s="52">
        <v>10.0</v>
      </c>
      <c r="S133" s="49">
        <v>226.9</v>
      </c>
      <c r="T133" s="49">
        <v>401.0</v>
      </c>
      <c r="U133" s="49">
        <v>371.0</v>
      </c>
      <c r="V133" s="49">
        <v>0.015</v>
      </c>
      <c r="W133" s="49">
        <v>18.0</v>
      </c>
      <c r="X133" s="85">
        <v>1.0</v>
      </c>
      <c r="Y133" s="55" t="s">
        <v>42</v>
      </c>
      <c r="Z133" s="47"/>
      <c r="AA133" s="56" t="s">
        <v>155</v>
      </c>
      <c r="AB133" s="46"/>
      <c r="AC133" s="57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</row>
    <row r="134" ht="19.5" customHeight="1">
      <c r="A134" s="34" t="s">
        <v>156</v>
      </c>
      <c r="B134" s="24"/>
      <c r="C134" s="23"/>
      <c r="D134" s="58"/>
      <c r="E134" s="58"/>
      <c r="F134" s="59"/>
      <c r="G134" s="60"/>
      <c r="H134" s="58"/>
      <c r="I134" s="59"/>
      <c r="J134" s="68" t="s">
        <v>159</v>
      </c>
      <c r="K134" s="62" t="s">
        <v>46</v>
      </c>
      <c r="L134" s="63" t="s">
        <v>47</v>
      </c>
      <c r="M134" s="24"/>
      <c r="N134" s="24"/>
      <c r="O134" s="24"/>
      <c r="P134" s="61" t="s">
        <v>48</v>
      </c>
      <c r="Q134" s="64" t="s">
        <v>49</v>
      </c>
      <c r="R134" s="65"/>
      <c r="S134" s="66" t="s">
        <v>50</v>
      </c>
      <c r="T134" s="24"/>
      <c r="U134" s="23"/>
      <c r="V134" s="61" t="s">
        <v>51</v>
      </c>
      <c r="W134" s="61" t="s">
        <v>52</v>
      </c>
      <c r="X134" s="68">
        <v>1.31</v>
      </c>
      <c r="Y134" s="60"/>
      <c r="Z134" s="59"/>
      <c r="AA134" s="60"/>
      <c r="AB134" s="58"/>
      <c r="AC134" s="67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ht="19.5" customHeight="1">
      <c r="A135" s="44" t="s">
        <v>152</v>
      </c>
      <c r="B135" s="6"/>
      <c r="C135" s="5"/>
      <c r="D135" s="45" t="s">
        <v>153</v>
      </c>
      <c r="E135" s="46"/>
      <c r="F135" s="47"/>
      <c r="G135" s="48" t="s">
        <v>55</v>
      </c>
      <c r="H135" s="46"/>
      <c r="I135" s="47"/>
      <c r="J135" s="49" t="s">
        <v>38</v>
      </c>
      <c r="K135" s="51">
        <v>11618.0</v>
      </c>
      <c r="L135" s="51">
        <v>72.5</v>
      </c>
      <c r="M135" s="51" t="s">
        <v>154</v>
      </c>
      <c r="N135" s="49">
        <v>103.0</v>
      </c>
      <c r="O135" s="49" t="s">
        <v>40</v>
      </c>
      <c r="P135" s="49">
        <v>25.0</v>
      </c>
      <c r="Q135" s="49" t="s">
        <v>41</v>
      </c>
      <c r="R135" s="52">
        <v>10.0</v>
      </c>
      <c r="S135" s="49">
        <v>226.9</v>
      </c>
      <c r="T135" s="49">
        <v>401.0</v>
      </c>
      <c r="U135" s="53">
        <v>46.0</v>
      </c>
      <c r="V135" s="49">
        <v>0.009</v>
      </c>
      <c r="W135" s="53">
        <v>29.2</v>
      </c>
      <c r="X135" s="53">
        <v>0.93</v>
      </c>
      <c r="Y135" s="55" t="s">
        <v>42</v>
      </c>
      <c r="Z135" s="47"/>
      <c r="AA135" s="56" t="s">
        <v>155</v>
      </c>
      <c r="AB135" s="46"/>
      <c r="AC135" s="57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ht="19.5" customHeight="1">
      <c r="A136" s="34" t="s">
        <v>156</v>
      </c>
      <c r="B136" s="24"/>
      <c r="C136" s="23"/>
      <c r="D136" s="58"/>
      <c r="E136" s="58"/>
      <c r="F136" s="59"/>
      <c r="G136" s="60"/>
      <c r="H136" s="58"/>
      <c r="I136" s="59"/>
      <c r="J136" s="61" t="s">
        <v>157</v>
      </c>
      <c r="K136" s="62" t="s">
        <v>46</v>
      </c>
      <c r="L136" s="63" t="s">
        <v>47</v>
      </c>
      <c r="M136" s="24"/>
      <c r="N136" s="24"/>
      <c r="O136" s="24"/>
      <c r="P136" s="61" t="s">
        <v>48</v>
      </c>
      <c r="Q136" s="64" t="s">
        <v>49</v>
      </c>
      <c r="R136" s="65"/>
      <c r="S136" s="66" t="s">
        <v>50</v>
      </c>
      <c r="T136" s="24"/>
      <c r="U136" s="23"/>
      <c r="V136" s="61" t="s">
        <v>51</v>
      </c>
      <c r="W136" s="61" t="s">
        <v>52</v>
      </c>
      <c r="X136" s="68">
        <v>1.24</v>
      </c>
      <c r="Y136" s="60"/>
      <c r="Z136" s="59"/>
      <c r="AA136" s="60"/>
      <c r="AB136" s="58"/>
      <c r="AC136" s="67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ht="39.75" customHeight="1">
      <c r="A137" s="44" t="s">
        <v>152</v>
      </c>
      <c r="B137" s="6"/>
      <c r="C137" s="5"/>
      <c r="D137" s="45" t="s">
        <v>153</v>
      </c>
      <c r="E137" s="46"/>
      <c r="F137" s="47"/>
      <c r="G137" s="48" t="s">
        <v>56</v>
      </c>
      <c r="H137" s="46"/>
      <c r="I137" s="47"/>
      <c r="J137" s="49" t="s">
        <v>143</v>
      </c>
      <c r="K137" s="51">
        <v>334442.0</v>
      </c>
      <c r="L137" s="51">
        <v>72.5</v>
      </c>
      <c r="M137" s="51" t="s">
        <v>154</v>
      </c>
      <c r="N137" s="49">
        <v>103.0</v>
      </c>
      <c r="O137" s="49" t="s">
        <v>40</v>
      </c>
      <c r="P137" s="49">
        <v>25.0</v>
      </c>
      <c r="Q137" s="49" t="s">
        <v>41</v>
      </c>
      <c r="R137" s="52">
        <v>10.0</v>
      </c>
      <c r="S137" s="49">
        <v>226.9</v>
      </c>
      <c r="T137" s="49">
        <v>401.0</v>
      </c>
      <c r="U137" s="49">
        <v>231.0</v>
      </c>
      <c r="V137" s="49">
        <v>0.011</v>
      </c>
      <c r="W137" s="53">
        <v>82.3</v>
      </c>
      <c r="X137" s="49">
        <v>0.94</v>
      </c>
      <c r="Y137" s="55" t="s">
        <v>42</v>
      </c>
      <c r="Z137" s="47"/>
      <c r="AA137" s="56" t="s">
        <v>160</v>
      </c>
      <c r="AB137" s="46"/>
      <c r="AC137" s="57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</row>
    <row r="138" ht="39.75" customHeight="1">
      <c r="A138" s="34" t="s">
        <v>156</v>
      </c>
      <c r="B138" s="24"/>
      <c r="C138" s="23"/>
      <c r="D138" s="58"/>
      <c r="E138" s="58"/>
      <c r="F138" s="59"/>
      <c r="G138" s="60"/>
      <c r="H138" s="58"/>
      <c r="I138" s="59"/>
      <c r="J138" s="61" t="s">
        <v>157</v>
      </c>
      <c r="K138" s="62" t="s">
        <v>46</v>
      </c>
      <c r="L138" s="63" t="s">
        <v>47</v>
      </c>
      <c r="M138" s="24"/>
      <c r="N138" s="24"/>
      <c r="O138" s="24"/>
      <c r="P138" s="61" t="s">
        <v>48</v>
      </c>
      <c r="Q138" s="64" t="s">
        <v>49</v>
      </c>
      <c r="R138" s="65"/>
      <c r="S138" s="66" t="s">
        <v>50</v>
      </c>
      <c r="T138" s="24"/>
      <c r="U138" s="23"/>
      <c r="V138" s="61" t="s">
        <v>51</v>
      </c>
      <c r="W138" s="61" t="s">
        <v>52</v>
      </c>
      <c r="X138" s="61">
        <v>1.14</v>
      </c>
      <c r="Y138" s="60"/>
      <c r="Z138" s="59"/>
      <c r="AA138" s="60"/>
      <c r="AB138" s="58"/>
      <c r="AC138" s="67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ht="19.5" customHeight="1">
      <c r="A139" s="44" t="s">
        <v>152</v>
      </c>
      <c r="B139" s="6"/>
      <c r="C139" s="5"/>
      <c r="D139" s="45" t="s">
        <v>153</v>
      </c>
      <c r="E139" s="46"/>
      <c r="F139" s="47"/>
      <c r="G139" s="48" t="s">
        <v>57</v>
      </c>
      <c r="H139" s="46"/>
      <c r="I139" s="47"/>
      <c r="J139" s="53" t="s">
        <v>143</v>
      </c>
      <c r="K139" s="51">
        <v>48023.0</v>
      </c>
      <c r="L139" s="51">
        <v>72.5</v>
      </c>
      <c r="M139" s="51" t="s">
        <v>154</v>
      </c>
      <c r="N139" s="49">
        <v>103.0</v>
      </c>
      <c r="O139" s="49" t="s">
        <v>40</v>
      </c>
      <c r="P139" s="49">
        <v>25.0</v>
      </c>
      <c r="Q139" s="49" t="s">
        <v>41</v>
      </c>
      <c r="R139" s="52">
        <v>10.0</v>
      </c>
      <c r="S139" s="49">
        <v>226.9</v>
      </c>
      <c r="T139" s="49">
        <v>401.0</v>
      </c>
      <c r="U139" s="53">
        <v>227.0</v>
      </c>
      <c r="V139" s="75">
        <v>0.011</v>
      </c>
      <c r="W139" s="49" t="s">
        <v>52</v>
      </c>
      <c r="X139" s="49" t="s">
        <v>52</v>
      </c>
      <c r="Y139" s="55" t="s">
        <v>42</v>
      </c>
      <c r="Z139" s="47"/>
      <c r="AA139" s="56" t="s">
        <v>155</v>
      </c>
      <c r="AB139" s="46"/>
      <c r="AC139" s="57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ht="19.5" customHeight="1">
      <c r="A140" s="34" t="s">
        <v>156</v>
      </c>
      <c r="B140" s="24"/>
      <c r="C140" s="23"/>
      <c r="D140" s="58"/>
      <c r="E140" s="58"/>
      <c r="F140" s="59"/>
      <c r="G140" s="60"/>
      <c r="H140" s="58"/>
      <c r="I140" s="59"/>
      <c r="J140" s="61" t="s">
        <v>157</v>
      </c>
      <c r="K140" s="62" t="s">
        <v>46</v>
      </c>
      <c r="L140" s="63" t="s">
        <v>47</v>
      </c>
      <c r="M140" s="24"/>
      <c r="N140" s="24"/>
      <c r="O140" s="24"/>
      <c r="P140" s="61" t="s">
        <v>48</v>
      </c>
      <c r="Q140" s="64" t="s">
        <v>49</v>
      </c>
      <c r="R140" s="65"/>
      <c r="S140" s="66" t="s">
        <v>50</v>
      </c>
      <c r="T140" s="24"/>
      <c r="U140" s="23"/>
      <c r="V140" s="61" t="s">
        <v>51</v>
      </c>
      <c r="W140" s="68">
        <v>0.461</v>
      </c>
      <c r="X140" s="61" t="s">
        <v>52</v>
      </c>
      <c r="Y140" s="60"/>
      <c r="Z140" s="59"/>
      <c r="AA140" s="60"/>
      <c r="AB140" s="58"/>
      <c r="AC140" s="67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ht="39.75" customHeight="1">
      <c r="A141" s="44" t="s">
        <v>152</v>
      </c>
      <c r="B141" s="6"/>
      <c r="C141" s="5"/>
      <c r="D141" s="45" t="s">
        <v>153</v>
      </c>
      <c r="E141" s="46"/>
      <c r="F141" s="47"/>
      <c r="G141" s="48" t="s">
        <v>161</v>
      </c>
      <c r="H141" s="46"/>
      <c r="I141" s="47"/>
      <c r="J141" s="49" t="s">
        <v>38</v>
      </c>
      <c r="K141" s="51">
        <v>3847.0</v>
      </c>
      <c r="L141" s="51">
        <v>72.5</v>
      </c>
      <c r="M141" s="51" t="s">
        <v>154</v>
      </c>
      <c r="N141" s="49">
        <v>103.0</v>
      </c>
      <c r="O141" s="49" t="s">
        <v>40</v>
      </c>
      <c r="P141" s="49">
        <v>25.0</v>
      </c>
      <c r="Q141" s="49" t="s">
        <v>41</v>
      </c>
      <c r="R141" s="52">
        <v>10.0</v>
      </c>
      <c r="S141" s="49">
        <v>226.9</v>
      </c>
      <c r="T141" s="49">
        <v>401.0</v>
      </c>
      <c r="U141" s="49">
        <v>86.0</v>
      </c>
      <c r="V141" s="75">
        <v>0.018</v>
      </c>
      <c r="W141" s="53">
        <v>28.0</v>
      </c>
      <c r="X141" s="85">
        <v>1.0</v>
      </c>
      <c r="Y141" s="55" t="s">
        <v>42</v>
      </c>
      <c r="Z141" s="47"/>
      <c r="AA141" s="56" t="s">
        <v>160</v>
      </c>
      <c r="AB141" s="46"/>
      <c r="AC141" s="57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</row>
    <row r="142" ht="39.75" customHeight="1">
      <c r="A142" s="34" t="s">
        <v>156</v>
      </c>
      <c r="B142" s="24"/>
      <c r="C142" s="23"/>
      <c r="D142" s="58"/>
      <c r="E142" s="58"/>
      <c r="F142" s="59"/>
      <c r="G142" s="60"/>
      <c r="H142" s="58"/>
      <c r="I142" s="59"/>
      <c r="J142" s="68" t="s">
        <v>60</v>
      </c>
      <c r="K142" s="62" t="s">
        <v>46</v>
      </c>
      <c r="L142" s="63" t="s">
        <v>47</v>
      </c>
      <c r="M142" s="24"/>
      <c r="N142" s="24"/>
      <c r="O142" s="24"/>
      <c r="P142" s="61" t="s">
        <v>48</v>
      </c>
      <c r="Q142" s="64" t="s">
        <v>49</v>
      </c>
      <c r="R142" s="65"/>
      <c r="S142" s="66" t="s">
        <v>50</v>
      </c>
      <c r="T142" s="24"/>
      <c r="U142" s="23"/>
      <c r="V142" s="61" t="s">
        <v>51</v>
      </c>
      <c r="W142" s="61" t="s">
        <v>52</v>
      </c>
      <c r="X142" s="84">
        <v>1.4</v>
      </c>
      <c r="Y142" s="60"/>
      <c r="Z142" s="59"/>
      <c r="AA142" s="60"/>
      <c r="AB142" s="58"/>
      <c r="AC142" s="67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</row>
    <row r="143" ht="19.5" customHeight="1">
      <c r="A143" s="44" t="s">
        <v>152</v>
      </c>
      <c r="B143" s="6"/>
      <c r="C143" s="5"/>
      <c r="D143" s="45" t="s">
        <v>153</v>
      </c>
      <c r="E143" s="46"/>
      <c r="F143" s="47"/>
      <c r="G143" s="48" t="s">
        <v>61</v>
      </c>
      <c r="H143" s="46"/>
      <c r="I143" s="47"/>
      <c r="J143" s="53" t="s">
        <v>143</v>
      </c>
      <c r="K143" s="51">
        <v>48023.0</v>
      </c>
      <c r="L143" s="51">
        <v>72.5</v>
      </c>
      <c r="M143" s="51" t="s">
        <v>154</v>
      </c>
      <c r="N143" s="49">
        <v>103.0</v>
      </c>
      <c r="O143" s="49" t="s">
        <v>40</v>
      </c>
      <c r="P143" s="49">
        <v>25.0</v>
      </c>
      <c r="Q143" s="49" t="s">
        <v>41</v>
      </c>
      <c r="R143" s="52">
        <v>10.0</v>
      </c>
      <c r="S143" s="49">
        <v>226.9</v>
      </c>
      <c r="T143" s="49">
        <v>401.0</v>
      </c>
      <c r="U143" s="53">
        <v>227.0</v>
      </c>
      <c r="V143" s="75">
        <v>0.011</v>
      </c>
      <c r="W143" s="49" t="s">
        <v>52</v>
      </c>
      <c r="X143" s="49" t="s">
        <v>52</v>
      </c>
      <c r="Y143" s="55" t="s">
        <v>42</v>
      </c>
      <c r="Z143" s="47"/>
      <c r="AA143" s="56" t="s">
        <v>155</v>
      </c>
      <c r="AB143" s="46"/>
      <c r="AC143" s="57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</row>
    <row r="144" ht="19.5" customHeight="1">
      <c r="A144" s="34" t="s">
        <v>156</v>
      </c>
      <c r="B144" s="24"/>
      <c r="C144" s="23"/>
      <c r="D144" s="58"/>
      <c r="E144" s="58"/>
      <c r="F144" s="59"/>
      <c r="G144" s="60"/>
      <c r="H144" s="58"/>
      <c r="I144" s="59"/>
      <c r="J144" s="61" t="s">
        <v>157</v>
      </c>
      <c r="K144" s="62" t="s">
        <v>46</v>
      </c>
      <c r="L144" s="63" t="s">
        <v>47</v>
      </c>
      <c r="M144" s="24"/>
      <c r="N144" s="24"/>
      <c r="O144" s="24"/>
      <c r="P144" s="61" t="s">
        <v>48</v>
      </c>
      <c r="Q144" s="64" t="s">
        <v>49</v>
      </c>
      <c r="R144" s="65"/>
      <c r="S144" s="66" t="s">
        <v>50</v>
      </c>
      <c r="T144" s="24"/>
      <c r="U144" s="23"/>
      <c r="V144" s="61" t="s">
        <v>51</v>
      </c>
      <c r="W144" s="68">
        <v>0.461</v>
      </c>
      <c r="X144" s="61" t="s">
        <v>52</v>
      </c>
      <c r="Y144" s="60"/>
      <c r="Z144" s="59"/>
      <c r="AA144" s="60"/>
      <c r="AB144" s="58"/>
      <c r="AC144" s="67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</row>
    <row r="145" ht="19.5" customHeight="1">
      <c r="A145" s="44" t="s">
        <v>162</v>
      </c>
      <c r="B145" s="6"/>
      <c r="C145" s="5"/>
      <c r="D145" s="45" t="s">
        <v>163</v>
      </c>
      <c r="E145" s="46"/>
      <c r="F145" s="47"/>
      <c r="G145" s="48" t="s">
        <v>56</v>
      </c>
      <c r="H145" s="46"/>
      <c r="I145" s="47"/>
      <c r="J145" s="49" t="s">
        <v>38</v>
      </c>
      <c r="K145" s="51">
        <v>11618.0</v>
      </c>
      <c r="L145" s="51">
        <v>72.5</v>
      </c>
      <c r="M145" s="51" t="s">
        <v>154</v>
      </c>
      <c r="N145" s="49">
        <v>103.0</v>
      </c>
      <c r="O145" s="49" t="s">
        <v>40</v>
      </c>
      <c r="P145" s="49">
        <v>25.0</v>
      </c>
      <c r="Q145" s="49" t="s">
        <v>41</v>
      </c>
      <c r="R145" s="52">
        <v>10.0</v>
      </c>
      <c r="S145" s="49">
        <v>45.5</v>
      </c>
      <c r="T145" s="49">
        <v>176.0</v>
      </c>
      <c r="U145" s="53">
        <v>87.0</v>
      </c>
      <c r="V145" s="49">
        <v>0.01</v>
      </c>
      <c r="W145" s="49">
        <v>29.2</v>
      </c>
      <c r="X145" s="53">
        <v>0.94</v>
      </c>
      <c r="Y145" s="55" t="s">
        <v>42</v>
      </c>
      <c r="Z145" s="47"/>
      <c r="AA145" s="56"/>
      <c r="AB145" s="46"/>
      <c r="AC145" s="57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</row>
    <row r="146" ht="19.5" customHeight="1">
      <c r="A146" s="34" t="s">
        <v>164</v>
      </c>
      <c r="B146" s="24"/>
      <c r="C146" s="23"/>
      <c r="D146" s="58"/>
      <c r="E146" s="58"/>
      <c r="F146" s="59"/>
      <c r="G146" s="60"/>
      <c r="H146" s="58"/>
      <c r="I146" s="59"/>
      <c r="J146" s="61" t="s">
        <v>157</v>
      </c>
      <c r="K146" s="62" t="s">
        <v>46</v>
      </c>
      <c r="L146" s="63" t="s">
        <v>47</v>
      </c>
      <c r="M146" s="24"/>
      <c r="N146" s="24"/>
      <c r="O146" s="24"/>
      <c r="P146" s="61" t="s">
        <v>48</v>
      </c>
      <c r="Q146" s="64" t="s">
        <v>49</v>
      </c>
      <c r="R146" s="65"/>
      <c r="S146" s="66" t="s">
        <v>50</v>
      </c>
      <c r="T146" s="24"/>
      <c r="U146" s="23"/>
      <c r="V146" s="61" t="s">
        <v>51</v>
      </c>
      <c r="W146" s="86" t="s">
        <v>52</v>
      </c>
      <c r="X146" s="68">
        <v>1.22</v>
      </c>
      <c r="Y146" s="60"/>
      <c r="Z146" s="59"/>
      <c r="AA146" s="60"/>
      <c r="AB146" s="58"/>
      <c r="AC146" s="67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</row>
    <row r="147" ht="19.5" customHeight="1">
      <c r="A147" s="44" t="s">
        <v>165</v>
      </c>
      <c r="B147" s="6"/>
      <c r="C147" s="5"/>
      <c r="D147" s="45" t="s">
        <v>166</v>
      </c>
      <c r="E147" s="46"/>
      <c r="F147" s="47"/>
      <c r="G147" s="48" t="s">
        <v>167</v>
      </c>
      <c r="H147" s="46"/>
      <c r="I147" s="47"/>
      <c r="J147" s="49" t="s">
        <v>38</v>
      </c>
      <c r="K147" s="51">
        <v>11618.0</v>
      </c>
      <c r="L147" s="51">
        <v>391.6</v>
      </c>
      <c r="M147" s="49">
        <v>556.0</v>
      </c>
      <c r="N147" s="49">
        <v>455.0</v>
      </c>
      <c r="O147" s="49" t="s">
        <v>40</v>
      </c>
      <c r="P147" s="49">
        <v>29.3</v>
      </c>
      <c r="Q147" s="49" t="s">
        <v>41</v>
      </c>
      <c r="R147" s="52">
        <v>10.0</v>
      </c>
      <c r="S147" s="53">
        <v>86.0</v>
      </c>
      <c r="T147" s="49">
        <v>266.0</v>
      </c>
      <c r="U147" s="53">
        <v>135.0</v>
      </c>
      <c r="V147" s="54">
        <v>0.011</v>
      </c>
      <c r="W147" s="53">
        <v>29.2</v>
      </c>
      <c r="X147" s="53">
        <v>0.806</v>
      </c>
      <c r="Y147" s="55" t="s">
        <v>42</v>
      </c>
      <c r="Z147" s="47"/>
      <c r="AA147" s="87" t="s">
        <v>168</v>
      </c>
      <c r="AB147" s="46"/>
      <c r="AC147" s="57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</row>
    <row r="148" ht="19.5" customHeight="1">
      <c r="A148" s="34" t="s">
        <v>169</v>
      </c>
      <c r="B148" s="24"/>
      <c r="C148" s="23"/>
      <c r="D148" s="58"/>
      <c r="E148" s="58"/>
      <c r="F148" s="59"/>
      <c r="G148" s="60"/>
      <c r="H148" s="58"/>
      <c r="I148" s="59"/>
      <c r="J148" s="61" t="s">
        <v>170</v>
      </c>
      <c r="K148" s="62" t="s">
        <v>46</v>
      </c>
      <c r="L148" s="63" t="s">
        <v>47</v>
      </c>
      <c r="M148" s="24"/>
      <c r="N148" s="24"/>
      <c r="O148" s="24"/>
      <c r="P148" s="61" t="s">
        <v>48</v>
      </c>
      <c r="Q148" s="64" t="s">
        <v>67</v>
      </c>
      <c r="R148" s="65"/>
      <c r="S148" s="66" t="s">
        <v>50</v>
      </c>
      <c r="T148" s="24"/>
      <c r="U148" s="23"/>
      <c r="V148" s="61" t="s">
        <v>51</v>
      </c>
      <c r="W148" s="61" t="s">
        <v>52</v>
      </c>
      <c r="X148" s="68">
        <v>1.21</v>
      </c>
      <c r="Y148" s="60"/>
      <c r="Z148" s="59"/>
      <c r="AA148" s="60"/>
      <c r="AB148" s="58"/>
      <c r="AC148" s="67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</row>
    <row r="149" ht="39.75" customHeight="1">
      <c r="A149" s="44" t="s">
        <v>165</v>
      </c>
      <c r="B149" s="6"/>
      <c r="C149" s="5"/>
      <c r="D149" s="45" t="s">
        <v>166</v>
      </c>
      <c r="E149" s="46"/>
      <c r="F149" s="47"/>
      <c r="G149" s="48" t="s">
        <v>56</v>
      </c>
      <c r="H149" s="46"/>
      <c r="I149" s="47"/>
      <c r="J149" s="53" t="s">
        <v>38</v>
      </c>
      <c r="K149" s="69">
        <v>176961.0</v>
      </c>
      <c r="L149" s="51">
        <v>391.6</v>
      </c>
      <c r="M149" s="49">
        <v>556.0</v>
      </c>
      <c r="N149" s="49">
        <v>455.0</v>
      </c>
      <c r="O149" s="49" t="s">
        <v>40</v>
      </c>
      <c r="P149" s="49">
        <v>29.3</v>
      </c>
      <c r="Q149" s="49" t="s">
        <v>41</v>
      </c>
      <c r="R149" s="52">
        <v>10.0</v>
      </c>
      <c r="S149" s="53">
        <v>86.0</v>
      </c>
      <c r="T149" s="49">
        <v>266.0</v>
      </c>
      <c r="U149" s="53">
        <v>86.0</v>
      </c>
      <c r="V149" s="75">
        <v>0.0097</v>
      </c>
      <c r="W149" s="53">
        <v>28.4</v>
      </c>
      <c r="X149" s="53">
        <v>0.75</v>
      </c>
      <c r="Y149" s="55" t="s">
        <v>42</v>
      </c>
      <c r="Z149" s="47"/>
      <c r="AA149" s="87" t="s">
        <v>171</v>
      </c>
      <c r="AB149" s="46"/>
      <c r="AC149" s="57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</row>
    <row r="150" ht="39.75" customHeight="1">
      <c r="A150" s="34" t="s">
        <v>169</v>
      </c>
      <c r="B150" s="24"/>
      <c r="C150" s="23"/>
      <c r="D150" s="58"/>
      <c r="E150" s="58"/>
      <c r="F150" s="59"/>
      <c r="G150" s="60"/>
      <c r="H150" s="58"/>
      <c r="I150" s="59"/>
      <c r="J150" s="61" t="s">
        <v>170</v>
      </c>
      <c r="K150" s="62" t="s">
        <v>46</v>
      </c>
      <c r="L150" s="63" t="s">
        <v>47</v>
      </c>
      <c r="M150" s="24"/>
      <c r="N150" s="24"/>
      <c r="O150" s="24"/>
      <c r="P150" s="61" t="s">
        <v>48</v>
      </c>
      <c r="Q150" s="64" t="s">
        <v>67</v>
      </c>
      <c r="R150" s="65"/>
      <c r="S150" s="66" t="s">
        <v>50</v>
      </c>
      <c r="T150" s="24"/>
      <c r="U150" s="23"/>
      <c r="V150" s="61" t="s">
        <v>51</v>
      </c>
      <c r="W150" s="61" t="s">
        <v>52</v>
      </c>
      <c r="X150" s="68">
        <v>1.23</v>
      </c>
      <c r="Y150" s="60"/>
      <c r="Z150" s="59"/>
      <c r="AA150" s="60"/>
      <c r="AB150" s="58"/>
      <c r="AC150" s="67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</row>
    <row r="151" ht="19.5" customHeight="1">
      <c r="A151" s="44" t="s">
        <v>165</v>
      </c>
      <c r="B151" s="6"/>
      <c r="C151" s="5"/>
      <c r="D151" s="45" t="s">
        <v>166</v>
      </c>
      <c r="E151" s="46"/>
      <c r="F151" s="47"/>
      <c r="G151" s="48" t="s">
        <v>57</v>
      </c>
      <c r="H151" s="46"/>
      <c r="I151" s="47"/>
      <c r="J151" s="49" t="s">
        <v>38</v>
      </c>
      <c r="K151" s="51">
        <v>11618.0</v>
      </c>
      <c r="L151" s="51">
        <v>391.6</v>
      </c>
      <c r="M151" s="49">
        <v>556.0</v>
      </c>
      <c r="N151" s="49">
        <v>455.0</v>
      </c>
      <c r="O151" s="49" t="s">
        <v>40</v>
      </c>
      <c r="P151" s="49">
        <v>29.3</v>
      </c>
      <c r="Q151" s="49" t="s">
        <v>41</v>
      </c>
      <c r="R151" s="52">
        <v>10.0</v>
      </c>
      <c r="S151" s="53">
        <v>86.0</v>
      </c>
      <c r="T151" s="49">
        <v>266.0</v>
      </c>
      <c r="U151" s="53">
        <v>135.0</v>
      </c>
      <c r="V151" s="54">
        <v>0.011</v>
      </c>
      <c r="W151" s="53">
        <v>29.2</v>
      </c>
      <c r="X151" s="53">
        <v>0.806</v>
      </c>
      <c r="Y151" s="55" t="s">
        <v>42</v>
      </c>
      <c r="Z151" s="47"/>
      <c r="AA151" s="87" t="s">
        <v>168</v>
      </c>
      <c r="AB151" s="46"/>
      <c r="AC151" s="57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</row>
    <row r="152" ht="19.5" customHeight="1">
      <c r="A152" s="34" t="s">
        <v>169</v>
      </c>
      <c r="B152" s="24"/>
      <c r="C152" s="23"/>
      <c r="D152" s="58"/>
      <c r="E152" s="58"/>
      <c r="F152" s="59"/>
      <c r="G152" s="60"/>
      <c r="H152" s="58"/>
      <c r="I152" s="59"/>
      <c r="J152" s="61" t="s">
        <v>170</v>
      </c>
      <c r="K152" s="62" t="s">
        <v>46</v>
      </c>
      <c r="L152" s="63" t="s">
        <v>47</v>
      </c>
      <c r="M152" s="24"/>
      <c r="N152" s="24"/>
      <c r="O152" s="24"/>
      <c r="P152" s="61" t="s">
        <v>48</v>
      </c>
      <c r="Q152" s="64" t="s">
        <v>67</v>
      </c>
      <c r="R152" s="65"/>
      <c r="S152" s="66" t="s">
        <v>50</v>
      </c>
      <c r="T152" s="24"/>
      <c r="U152" s="23"/>
      <c r="V152" s="61" t="s">
        <v>51</v>
      </c>
      <c r="W152" s="61" t="s">
        <v>52</v>
      </c>
      <c r="X152" s="68">
        <v>1.21</v>
      </c>
      <c r="Y152" s="60"/>
      <c r="Z152" s="59"/>
      <c r="AA152" s="60"/>
      <c r="AB152" s="58"/>
      <c r="AC152" s="67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ht="19.5" customHeight="1">
      <c r="A153" s="44" t="s">
        <v>172</v>
      </c>
      <c r="B153" s="6"/>
      <c r="C153" s="5"/>
      <c r="D153" s="45" t="s">
        <v>173</v>
      </c>
      <c r="E153" s="46"/>
      <c r="F153" s="47"/>
      <c r="G153" s="48" t="s">
        <v>37</v>
      </c>
      <c r="H153" s="46"/>
      <c r="I153" s="47"/>
      <c r="J153" s="49" t="s">
        <v>38</v>
      </c>
      <c r="K153" s="51">
        <v>12827.0</v>
      </c>
      <c r="L153" s="51">
        <v>1.02</v>
      </c>
      <c r="M153" s="51" t="s">
        <v>39</v>
      </c>
      <c r="N153" s="49">
        <v>50.8</v>
      </c>
      <c r="O153" s="49" t="s">
        <v>40</v>
      </c>
      <c r="P153" s="49">
        <v>4.12</v>
      </c>
      <c r="Q153" s="49" t="s">
        <v>41</v>
      </c>
      <c r="R153" s="52">
        <v>21.0</v>
      </c>
      <c r="S153" s="49">
        <v>203.7</v>
      </c>
      <c r="T153" s="49">
        <v>392.0</v>
      </c>
      <c r="U153" s="53">
        <v>464.8</v>
      </c>
      <c r="V153" s="54">
        <v>0.008</v>
      </c>
      <c r="W153" s="49">
        <v>131.3</v>
      </c>
      <c r="X153" s="49">
        <v>0.85</v>
      </c>
      <c r="Y153" s="55" t="s">
        <v>42</v>
      </c>
      <c r="Z153" s="47"/>
      <c r="AA153" s="56" t="s">
        <v>174</v>
      </c>
      <c r="AB153" s="46"/>
      <c r="AC153" s="57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ht="19.5" customHeight="1">
      <c r="A154" s="34" t="s">
        <v>175</v>
      </c>
      <c r="B154" s="24"/>
      <c r="C154" s="23"/>
      <c r="D154" s="58"/>
      <c r="E154" s="58"/>
      <c r="F154" s="59"/>
      <c r="G154" s="60"/>
      <c r="H154" s="58"/>
      <c r="I154" s="59"/>
      <c r="J154" s="61" t="s">
        <v>176</v>
      </c>
      <c r="K154" s="62" t="s">
        <v>46</v>
      </c>
      <c r="L154" s="63" t="s">
        <v>47</v>
      </c>
      <c r="M154" s="24"/>
      <c r="N154" s="24"/>
      <c r="O154" s="24"/>
      <c r="P154" s="61" t="s">
        <v>48</v>
      </c>
      <c r="Q154" s="64" t="s">
        <v>49</v>
      </c>
      <c r="R154" s="65"/>
      <c r="S154" s="66" t="s">
        <v>50</v>
      </c>
      <c r="T154" s="24"/>
      <c r="U154" s="23"/>
      <c r="V154" s="61" t="s">
        <v>51</v>
      </c>
      <c r="W154" s="61" t="s">
        <v>52</v>
      </c>
      <c r="X154" s="61">
        <v>1.03</v>
      </c>
      <c r="Y154" s="60"/>
      <c r="Z154" s="59"/>
      <c r="AA154" s="60"/>
      <c r="AB154" s="58"/>
      <c r="AC154" s="67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ht="19.5" customHeight="1">
      <c r="A155" s="44" t="s">
        <v>172</v>
      </c>
      <c r="B155" s="6"/>
      <c r="C155" s="5"/>
      <c r="D155" s="45" t="s">
        <v>173</v>
      </c>
      <c r="E155" s="46"/>
      <c r="F155" s="47"/>
      <c r="G155" s="48" t="s">
        <v>122</v>
      </c>
      <c r="H155" s="46"/>
      <c r="I155" s="47"/>
      <c r="J155" s="49" t="s">
        <v>38</v>
      </c>
      <c r="K155" s="51">
        <v>210544.0</v>
      </c>
      <c r="L155" s="51">
        <v>1.02</v>
      </c>
      <c r="M155" s="51" t="s">
        <v>39</v>
      </c>
      <c r="N155" s="49">
        <v>50.8</v>
      </c>
      <c r="O155" s="49" t="s">
        <v>40</v>
      </c>
      <c r="P155" s="49">
        <v>4.12</v>
      </c>
      <c r="Q155" s="49" t="s">
        <v>41</v>
      </c>
      <c r="R155" s="52">
        <v>10.0</v>
      </c>
      <c r="S155" s="49">
        <v>203.7</v>
      </c>
      <c r="T155" s="49">
        <v>392.0</v>
      </c>
      <c r="U155" s="53">
        <v>312.0</v>
      </c>
      <c r="V155" s="54">
        <v>0.008</v>
      </c>
      <c r="W155" s="49">
        <v>95.8</v>
      </c>
      <c r="X155" s="49">
        <v>0.87</v>
      </c>
      <c r="Y155" s="55" t="s">
        <v>42</v>
      </c>
      <c r="Z155" s="47"/>
      <c r="AA155" s="56" t="s">
        <v>174</v>
      </c>
      <c r="AB155" s="46"/>
      <c r="AC155" s="57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</row>
    <row r="156" ht="19.5" customHeight="1">
      <c r="A156" s="34" t="s">
        <v>175</v>
      </c>
      <c r="B156" s="24"/>
      <c r="C156" s="23"/>
      <c r="D156" s="58"/>
      <c r="E156" s="58"/>
      <c r="F156" s="59"/>
      <c r="G156" s="60"/>
      <c r="H156" s="58"/>
      <c r="I156" s="59"/>
      <c r="J156" s="61" t="s">
        <v>176</v>
      </c>
      <c r="K156" s="62" t="s">
        <v>46</v>
      </c>
      <c r="L156" s="63" t="s">
        <v>47</v>
      </c>
      <c r="M156" s="24"/>
      <c r="N156" s="24"/>
      <c r="O156" s="24"/>
      <c r="P156" s="61" t="s">
        <v>48</v>
      </c>
      <c r="Q156" s="64" t="s">
        <v>49</v>
      </c>
      <c r="R156" s="65"/>
      <c r="S156" s="66" t="s">
        <v>50</v>
      </c>
      <c r="T156" s="24"/>
      <c r="U156" s="23"/>
      <c r="V156" s="61" t="s">
        <v>51</v>
      </c>
      <c r="W156" s="61" t="s">
        <v>52</v>
      </c>
      <c r="X156" s="61">
        <v>1.07</v>
      </c>
      <c r="Y156" s="60"/>
      <c r="Z156" s="59"/>
      <c r="AA156" s="60"/>
      <c r="AB156" s="58"/>
      <c r="AC156" s="67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ht="19.5" customHeight="1">
      <c r="A157" s="44" t="s">
        <v>172</v>
      </c>
      <c r="B157" s="6"/>
      <c r="C157" s="5"/>
      <c r="D157" s="45" t="s">
        <v>173</v>
      </c>
      <c r="E157" s="46"/>
      <c r="F157" s="47"/>
      <c r="G157" s="80" t="s">
        <v>128</v>
      </c>
      <c r="H157" s="46"/>
      <c r="I157" s="47"/>
      <c r="J157" s="49" t="s">
        <v>158</v>
      </c>
      <c r="K157" s="51">
        <v>6644.0</v>
      </c>
      <c r="L157" s="51">
        <v>1.02</v>
      </c>
      <c r="M157" s="51" t="s">
        <v>39</v>
      </c>
      <c r="N157" s="49">
        <v>50.8</v>
      </c>
      <c r="O157" s="49" t="s">
        <v>40</v>
      </c>
      <c r="P157" s="49">
        <v>4.12</v>
      </c>
      <c r="Q157" s="49" t="s">
        <v>41</v>
      </c>
      <c r="R157" s="52">
        <v>10.0</v>
      </c>
      <c r="S157" s="49">
        <v>203.7</v>
      </c>
      <c r="T157" s="49">
        <v>392.0</v>
      </c>
      <c r="U157" s="53">
        <v>375.0</v>
      </c>
      <c r="V157" s="54">
        <v>0.014</v>
      </c>
      <c r="W157" s="49">
        <v>18.0</v>
      </c>
      <c r="X157" s="49">
        <v>0.956</v>
      </c>
      <c r="Y157" s="55" t="s">
        <v>42</v>
      </c>
      <c r="Z157" s="47"/>
      <c r="AA157" s="56" t="s">
        <v>174</v>
      </c>
      <c r="AB157" s="46"/>
      <c r="AC157" s="57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ht="19.5" customHeight="1">
      <c r="A158" s="34" t="s">
        <v>175</v>
      </c>
      <c r="B158" s="24"/>
      <c r="C158" s="23"/>
      <c r="D158" s="58"/>
      <c r="E158" s="58"/>
      <c r="F158" s="59"/>
      <c r="G158" s="60"/>
      <c r="H158" s="58"/>
      <c r="I158" s="59"/>
      <c r="J158" s="61" t="s">
        <v>159</v>
      </c>
      <c r="K158" s="62" t="s">
        <v>46</v>
      </c>
      <c r="L158" s="63" t="s">
        <v>47</v>
      </c>
      <c r="M158" s="24"/>
      <c r="N158" s="24"/>
      <c r="O158" s="24"/>
      <c r="P158" s="61" t="s">
        <v>48</v>
      </c>
      <c r="Q158" s="64" t="s">
        <v>49</v>
      </c>
      <c r="R158" s="65"/>
      <c r="S158" s="66" t="s">
        <v>50</v>
      </c>
      <c r="T158" s="24"/>
      <c r="U158" s="23"/>
      <c r="V158" s="61" t="s">
        <v>51</v>
      </c>
      <c r="W158" s="61" t="s">
        <v>52</v>
      </c>
      <c r="X158" s="61">
        <v>1.377</v>
      </c>
      <c r="Y158" s="60"/>
      <c r="Z158" s="59"/>
      <c r="AA158" s="60"/>
      <c r="AB158" s="58"/>
      <c r="AC158" s="67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ht="19.5" customHeight="1">
      <c r="A159" s="44" t="s">
        <v>172</v>
      </c>
      <c r="B159" s="6"/>
      <c r="C159" s="5"/>
      <c r="D159" s="45" t="s">
        <v>173</v>
      </c>
      <c r="E159" s="46"/>
      <c r="F159" s="47"/>
      <c r="G159" s="80" t="s">
        <v>128</v>
      </c>
      <c r="H159" s="46"/>
      <c r="I159" s="47"/>
      <c r="J159" s="49" t="s">
        <v>54</v>
      </c>
      <c r="K159" s="51">
        <v>41289.0</v>
      </c>
      <c r="L159" s="51">
        <v>1.02</v>
      </c>
      <c r="M159" s="51" t="s">
        <v>39</v>
      </c>
      <c r="N159" s="49">
        <v>50.8</v>
      </c>
      <c r="O159" s="49" t="s">
        <v>40</v>
      </c>
      <c r="P159" s="49">
        <v>4.12</v>
      </c>
      <c r="Q159" s="49" t="s">
        <v>41</v>
      </c>
      <c r="R159" s="52">
        <v>10.0</v>
      </c>
      <c r="S159" s="49">
        <v>203.7</v>
      </c>
      <c r="T159" s="49">
        <v>392.0</v>
      </c>
      <c r="U159" s="53">
        <v>88.0</v>
      </c>
      <c r="V159" s="77">
        <v>0.7</v>
      </c>
      <c r="W159" s="49" t="s">
        <v>52</v>
      </c>
      <c r="X159" s="49" t="s">
        <v>52</v>
      </c>
      <c r="Y159" s="55" t="s">
        <v>42</v>
      </c>
      <c r="Z159" s="47"/>
      <c r="AA159" s="56" t="s">
        <v>174</v>
      </c>
      <c r="AB159" s="46"/>
      <c r="AC159" s="57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</row>
    <row r="160" ht="19.5" customHeight="1">
      <c r="A160" s="34" t="s">
        <v>175</v>
      </c>
      <c r="B160" s="24"/>
      <c r="C160" s="23"/>
      <c r="D160" s="58"/>
      <c r="E160" s="58"/>
      <c r="F160" s="59"/>
      <c r="G160" s="60"/>
      <c r="H160" s="58"/>
      <c r="I160" s="59"/>
      <c r="J160" s="61" t="s">
        <v>177</v>
      </c>
      <c r="K160" s="62" t="s">
        <v>46</v>
      </c>
      <c r="L160" s="63" t="s">
        <v>47</v>
      </c>
      <c r="M160" s="24"/>
      <c r="N160" s="24"/>
      <c r="O160" s="24"/>
      <c r="P160" s="61" t="s">
        <v>48</v>
      </c>
      <c r="Q160" s="64" t="s">
        <v>49</v>
      </c>
      <c r="R160" s="65"/>
      <c r="S160" s="66" t="s">
        <v>50</v>
      </c>
      <c r="T160" s="24"/>
      <c r="U160" s="23"/>
      <c r="V160" s="61" t="s">
        <v>51</v>
      </c>
      <c r="W160" s="61">
        <v>0.993</v>
      </c>
      <c r="X160" s="61" t="s">
        <v>52</v>
      </c>
      <c r="Y160" s="60"/>
      <c r="Z160" s="59"/>
      <c r="AA160" s="60"/>
      <c r="AB160" s="58"/>
      <c r="AC160" s="67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</row>
    <row r="161" ht="39.75" customHeight="1">
      <c r="A161" s="44" t="s">
        <v>172</v>
      </c>
      <c r="B161" s="6"/>
      <c r="C161" s="5"/>
      <c r="D161" s="45" t="s">
        <v>173</v>
      </c>
      <c r="E161" s="46"/>
      <c r="F161" s="47"/>
      <c r="G161" s="48" t="s">
        <v>56</v>
      </c>
      <c r="H161" s="46"/>
      <c r="I161" s="47"/>
      <c r="J161" s="49" t="s">
        <v>38</v>
      </c>
      <c r="K161" s="69">
        <v>308648.0</v>
      </c>
      <c r="L161" s="51">
        <v>1.02</v>
      </c>
      <c r="M161" s="51" t="s">
        <v>39</v>
      </c>
      <c r="N161" s="49">
        <v>50.8</v>
      </c>
      <c r="O161" s="49" t="s">
        <v>40</v>
      </c>
      <c r="P161" s="49">
        <v>4.12</v>
      </c>
      <c r="Q161" s="49" t="s">
        <v>41</v>
      </c>
      <c r="R161" s="52">
        <v>10.0</v>
      </c>
      <c r="S161" s="49">
        <v>203.7</v>
      </c>
      <c r="T161" s="49">
        <v>392.0</v>
      </c>
      <c r="U161" s="53">
        <v>305.0</v>
      </c>
      <c r="V161" s="54">
        <v>0.008</v>
      </c>
      <c r="W161" s="49">
        <v>95.8</v>
      </c>
      <c r="X161" s="49">
        <v>0.87</v>
      </c>
      <c r="Y161" s="55" t="s">
        <v>42</v>
      </c>
      <c r="Z161" s="47"/>
      <c r="AA161" s="56" t="s">
        <v>178</v>
      </c>
      <c r="AB161" s="46"/>
      <c r="AC161" s="57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</row>
    <row r="162" ht="39.75" customHeight="1">
      <c r="A162" s="34" t="s">
        <v>175</v>
      </c>
      <c r="B162" s="24"/>
      <c r="C162" s="23"/>
      <c r="D162" s="58"/>
      <c r="E162" s="58"/>
      <c r="F162" s="59"/>
      <c r="G162" s="60"/>
      <c r="H162" s="58"/>
      <c r="I162" s="59"/>
      <c r="J162" s="61" t="s">
        <v>176</v>
      </c>
      <c r="K162" s="62" t="s">
        <v>46</v>
      </c>
      <c r="L162" s="63" t="s">
        <v>47</v>
      </c>
      <c r="M162" s="24"/>
      <c r="N162" s="24"/>
      <c r="O162" s="24"/>
      <c r="P162" s="61" t="s">
        <v>48</v>
      </c>
      <c r="Q162" s="64" t="s">
        <v>49</v>
      </c>
      <c r="R162" s="65"/>
      <c r="S162" s="66" t="s">
        <v>50</v>
      </c>
      <c r="T162" s="24"/>
      <c r="U162" s="23"/>
      <c r="V162" s="61" t="s">
        <v>51</v>
      </c>
      <c r="W162" s="61" t="s">
        <v>52</v>
      </c>
      <c r="X162" s="61">
        <v>1.07</v>
      </c>
      <c r="Y162" s="60"/>
      <c r="Z162" s="59"/>
      <c r="AA162" s="60"/>
      <c r="AB162" s="58"/>
      <c r="AC162" s="67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</row>
    <row r="163" ht="39.75" customHeight="1">
      <c r="A163" s="44" t="s">
        <v>172</v>
      </c>
      <c r="B163" s="6"/>
      <c r="C163" s="5"/>
      <c r="D163" s="45" t="s">
        <v>173</v>
      </c>
      <c r="E163" s="46"/>
      <c r="F163" s="47"/>
      <c r="G163" s="48" t="s">
        <v>161</v>
      </c>
      <c r="H163" s="46"/>
      <c r="I163" s="47"/>
      <c r="J163" s="49" t="s">
        <v>38</v>
      </c>
      <c r="K163" s="51">
        <v>7866.0</v>
      </c>
      <c r="L163" s="51">
        <v>1.02</v>
      </c>
      <c r="M163" s="51" t="s">
        <v>39</v>
      </c>
      <c r="N163" s="49">
        <v>50.8</v>
      </c>
      <c r="O163" s="49" t="s">
        <v>40</v>
      </c>
      <c r="P163" s="49">
        <v>4.12</v>
      </c>
      <c r="Q163" s="49" t="s">
        <v>41</v>
      </c>
      <c r="R163" s="52">
        <v>10.0</v>
      </c>
      <c r="S163" s="49">
        <v>203.7</v>
      </c>
      <c r="T163" s="49">
        <v>392.0</v>
      </c>
      <c r="U163" s="53">
        <v>86.0</v>
      </c>
      <c r="V163" s="54">
        <v>0.008</v>
      </c>
      <c r="W163" s="49">
        <v>95.8</v>
      </c>
      <c r="X163" s="49">
        <v>0.87</v>
      </c>
      <c r="Y163" s="55" t="s">
        <v>42</v>
      </c>
      <c r="Z163" s="47"/>
      <c r="AA163" s="56" t="s">
        <v>178</v>
      </c>
      <c r="AB163" s="46"/>
      <c r="AC163" s="57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</row>
    <row r="164" ht="39.75" customHeight="1">
      <c r="A164" s="34" t="s">
        <v>175</v>
      </c>
      <c r="B164" s="24"/>
      <c r="C164" s="23"/>
      <c r="D164" s="58"/>
      <c r="E164" s="58"/>
      <c r="F164" s="59"/>
      <c r="G164" s="60"/>
      <c r="H164" s="58"/>
      <c r="I164" s="59"/>
      <c r="J164" s="61" t="s">
        <v>176</v>
      </c>
      <c r="K164" s="62" t="s">
        <v>46</v>
      </c>
      <c r="L164" s="63" t="s">
        <v>47</v>
      </c>
      <c r="M164" s="24"/>
      <c r="N164" s="24"/>
      <c r="O164" s="24"/>
      <c r="P164" s="61" t="s">
        <v>48</v>
      </c>
      <c r="Q164" s="64" t="s">
        <v>49</v>
      </c>
      <c r="R164" s="65"/>
      <c r="S164" s="66" t="s">
        <v>50</v>
      </c>
      <c r="T164" s="24"/>
      <c r="U164" s="23"/>
      <c r="V164" s="61" t="s">
        <v>51</v>
      </c>
      <c r="W164" s="61" t="s">
        <v>52</v>
      </c>
      <c r="X164" s="61">
        <v>1.07</v>
      </c>
      <c r="Y164" s="60"/>
      <c r="Z164" s="59"/>
      <c r="AA164" s="60"/>
      <c r="AB164" s="58"/>
      <c r="AC164" s="67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</row>
    <row r="165" ht="19.5" customHeight="1">
      <c r="A165" s="44" t="s">
        <v>179</v>
      </c>
      <c r="B165" s="6"/>
      <c r="C165" s="5"/>
      <c r="D165" s="45" t="s">
        <v>180</v>
      </c>
      <c r="E165" s="46"/>
      <c r="F165" s="47"/>
      <c r="G165" s="48" t="s">
        <v>37</v>
      </c>
      <c r="H165" s="46"/>
      <c r="I165" s="47"/>
      <c r="J165" s="49" t="s">
        <v>38</v>
      </c>
      <c r="K165" s="51">
        <v>17078.0</v>
      </c>
      <c r="L165" s="51">
        <v>1.02</v>
      </c>
      <c r="M165" s="51" t="s">
        <v>39</v>
      </c>
      <c r="N165" s="49">
        <v>50.8</v>
      </c>
      <c r="O165" s="49" t="s">
        <v>40</v>
      </c>
      <c r="P165" s="49">
        <v>4.12</v>
      </c>
      <c r="Q165" s="49" t="s">
        <v>41</v>
      </c>
      <c r="R165" s="52">
        <v>21.0</v>
      </c>
      <c r="S165" s="49">
        <v>149.9</v>
      </c>
      <c r="T165" s="49">
        <v>275.0</v>
      </c>
      <c r="U165" s="49">
        <v>330.0</v>
      </c>
      <c r="V165" s="54">
        <v>0.008</v>
      </c>
      <c r="W165" s="49">
        <v>100.0</v>
      </c>
      <c r="X165" s="49">
        <v>0.85</v>
      </c>
      <c r="Y165" s="73" t="s">
        <v>138</v>
      </c>
      <c r="Z165" s="47"/>
      <c r="AA165" s="56" t="s">
        <v>181</v>
      </c>
      <c r="AB165" s="46"/>
      <c r="AC165" s="57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</row>
    <row r="166" ht="19.5" customHeight="1">
      <c r="A166" s="34" t="s">
        <v>182</v>
      </c>
      <c r="B166" s="24"/>
      <c r="C166" s="23"/>
      <c r="D166" s="58"/>
      <c r="E166" s="58"/>
      <c r="F166" s="59"/>
      <c r="G166" s="60"/>
      <c r="H166" s="58"/>
      <c r="I166" s="59"/>
      <c r="J166" s="61" t="s">
        <v>183</v>
      </c>
      <c r="K166" s="62" t="s">
        <v>46</v>
      </c>
      <c r="L166" s="63" t="s">
        <v>47</v>
      </c>
      <c r="M166" s="24"/>
      <c r="N166" s="24"/>
      <c r="O166" s="24"/>
      <c r="P166" s="61" t="s">
        <v>48</v>
      </c>
      <c r="Q166" s="64" t="s">
        <v>49</v>
      </c>
      <c r="R166" s="65"/>
      <c r="S166" s="66" t="s">
        <v>50</v>
      </c>
      <c r="T166" s="24"/>
      <c r="U166" s="23"/>
      <c r="V166" s="61" t="s">
        <v>51</v>
      </c>
      <c r="W166" s="61" t="s">
        <v>52</v>
      </c>
      <c r="X166" s="61">
        <v>1.037</v>
      </c>
      <c r="Y166" s="60"/>
      <c r="Z166" s="59"/>
      <c r="AA166" s="60"/>
      <c r="AB166" s="58"/>
      <c r="AC166" s="67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</row>
    <row r="167" ht="19.5" customHeight="1">
      <c r="A167" s="44" t="s">
        <v>179</v>
      </c>
      <c r="B167" s="6"/>
      <c r="C167" s="5"/>
      <c r="D167" s="45" t="s">
        <v>180</v>
      </c>
      <c r="E167" s="46"/>
      <c r="F167" s="47"/>
      <c r="G167" s="48" t="s">
        <v>122</v>
      </c>
      <c r="H167" s="46"/>
      <c r="I167" s="47"/>
      <c r="J167" s="49" t="s">
        <v>38</v>
      </c>
      <c r="K167" s="51">
        <v>104814.0</v>
      </c>
      <c r="L167" s="51">
        <v>1.02</v>
      </c>
      <c r="M167" s="51" t="s">
        <v>39</v>
      </c>
      <c r="N167" s="49">
        <v>50.8</v>
      </c>
      <c r="O167" s="49" t="s">
        <v>40</v>
      </c>
      <c r="P167" s="49">
        <v>4.12</v>
      </c>
      <c r="Q167" s="49" t="s">
        <v>41</v>
      </c>
      <c r="R167" s="52">
        <v>10.0</v>
      </c>
      <c r="S167" s="49">
        <v>149.9</v>
      </c>
      <c r="T167" s="49">
        <v>275.0</v>
      </c>
      <c r="U167" s="49">
        <v>252.0</v>
      </c>
      <c r="V167" s="54">
        <v>0.008</v>
      </c>
      <c r="W167" s="49">
        <v>84.1</v>
      </c>
      <c r="X167" s="49">
        <v>0.88</v>
      </c>
      <c r="Y167" s="73" t="s">
        <v>184</v>
      </c>
      <c r="Z167" s="47"/>
      <c r="AA167" s="56" t="s">
        <v>181</v>
      </c>
      <c r="AB167" s="46"/>
      <c r="AC167" s="57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</row>
    <row r="168" ht="19.5" customHeight="1">
      <c r="A168" s="34" t="s">
        <v>182</v>
      </c>
      <c r="B168" s="24"/>
      <c r="C168" s="23"/>
      <c r="D168" s="58"/>
      <c r="E168" s="58"/>
      <c r="F168" s="59"/>
      <c r="G168" s="60"/>
      <c r="H168" s="58"/>
      <c r="I168" s="59"/>
      <c r="J168" s="61" t="s">
        <v>183</v>
      </c>
      <c r="K168" s="62" t="s">
        <v>46</v>
      </c>
      <c r="L168" s="63" t="s">
        <v>47</v>
      </c>
      <c r="M168" s="24"/>
      <c r="N168" s="24"/>
      <c r="O168" s="24"/>
      <c r="P168" s="61" t="s">
        <v>48</v>
      </c>
      <c r="Q168" s="64" t="s">
        <v>49</v>
      </c>
      <c r="R168" s="65"/>
      <c r="S168" s="66" t="s">
        <v>50</v>
      </c>
      <c r="T168" s="24"/>
      <c r="U168" s="23"/>
      <c r="V168" s="61" t="s">
        <v>51</v>
      </c>
      <c r="W168" s="61" t="s">
        <v>52</v>
      </c>
      <c r="X168" s="61">
        <v>1.09</v>
      </c>
      <c r="Y168" s="60"/>
      <c r="Z168" s="59"/>
      <c r="AA168" s="60"/>
      <c r="AB168" s="58"/>
      <c r="AC168" s="67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</row>
    <row r="169" ht="19.5" customHeight="1">
      <c r="A169" s="44" t="s">
        <v>179</v>
      </c>
      <c r="B169" s="6"/>
      <c r="C169" s="5"/>
      <c r="D169" s="45" t="s">
        <v>180</v>
      </c>
      <c r="E169" s="46"/>
      <c r="F169" s="47"/>
      <c r="G169" s="48" t="s">
        <v>128</v>
      </c>
      <c r="H169" s="46"/>
      <c r="I169" s="47"/>
      <c r="J169" s="49" t="s">
        <v>158</v>
      </c>
      <c r="K169" s="69">
        <v>2552.1</v>
      </c>
      <c r="L169" s="51">
        <v>1.02</v>
      </c>
      <c r="M169" s="51" t="s">
        <v>39</v>
      </c>
      <c r="N169" s="49">
        <v>50.8</v>
      </c>
      <c r="O169" s="49" t="s">
        <v>40</v>
      </c>
      <c r="P169" s="49">
        <v>4.12</v>
      </c>
      <c r="Q169" s="49" t="s">
        <v>41</v>
      </c>
      <c r="R169" s="52">
        <v>10.0</v>
      </c>
      <c r="S169" s="49">
        <v>149.9</v>
      </c>
      <c r="T169" s="49">
        <v>275.0</v>
      </c>
      <c r="U169" s="49">
        <v>338.0</v>
      </c>
      <c r="V169" s="54">
        <v>0.014</v>
      </c>
      <c r="W169" s="49">
        <v>18.0</v>
      </c>
      <c r="X169" s="85">
        <v>1.0</v>
      </c>
      <c r="Y169" s="55" t="s">
        <v>42</v>
      </c>
      <c r="Z169" s="47"/>
      <c r="AA169" s="56" t="s">
        <v>181</v>
      </c>
      <c r="AB169" s="46"/>
      <c r="AC169" s="57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</row>
    <row r="170" ht="19.5" customHeight="1">
      <c r="A170" s="34" t="s">
        <v>182</v>
      </c>
      <c r="B170" s="24"/>
      <c r="C170" s="23"/>
      <c r="D170" s="58"/>
      <c r="E170" s="58"/>
      <c r="F170" s="59"/>
      <c r="G170" s="60"/>
      <c r="H170" s="58"/>
      <c r="I170" s="59"/>
      <c r="J170" s="61" t="s">
        <v>185</v>
      </c>
      <c r="K170" s="62" t="s">
        <v>46</v>
      </c>
      <c r="L170" s="63" t="s">
        <v>47</v>
      </c>
      <c r="M170" s="24"/>
      <c r="N170" s="24"/>
      <c r="O170" s="24"/>
      <c r="P170" s="61" t="s">
        <v>48</v>
      </c>
      <c r="Q170" s="64" t="s">
        <v>49</v>
      </c>
      <c r="R170" s="65"/>
      <c r="S170" s="66" t="s">
        <v>50</v>
      </c>
      <c r="T170" s="24"/>
      <c r="U170" s="23"/>
      <c r="V170" s="61" t="s">
        <v>51</v>
      </c>
      <c r="W170" s="61" t="s">
        <v>52</v>
      </c>
      <c r="X170" s="68">
        <v>1.316</v>
      </c>
      <c r="Y170" s="60"/>
      <c r="Z170" s="59"/>
      <c r="AA170" s="60"/>
      <c r="AB170" s="58"/>
      <c r="AC170" s="67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ht="19.5" customHeight="1">
      <c r="A171" s="44" t="s">
        <v>179</v>
      </c>
      <c r="B171" s="6"/>
      <c r="C171" s="5"/>
      <c r="D171" s="45" t="s">
        <v>180</v>
      </c>
      <c r="E171" s="46"/>
      <c r="F171" s="47"/>
      <c r="G171" s="48" t="s">
        <v>128</v>
      </c>
      <c r="H171" s="46"/>
      <c r="I171" s="47"/>
      <c r="J171" s="49" t="s">
        <v>54</v>
      </c>
      <c r="K171" s="69">
        <v>41349.0</v>
      </c>
      <c r="L171" s="51">
        <v>1.02</v>
      </c>
      <c r="M171" s="51" t="s">
        <v>39</v>
      </c>
      <c r="N171" s="49">
        <v>50.8</v>
      </c>
      <c r="O171" s="49" t="s">
        <v>40</v>
      </c>
      <c r="P171" s="49">
        <v>4.12</v>
      </c>
      <c r="Q171" s="49" t="s">
        <v>41</v>
      </c>
      <c r="R171" s="52">
        <v>10.0</v>
      </c>
      <c r="S171" s="49">
        <v>149.9</v>
      </c>
      <c r="T171" s="49">
        <v>275.0</v>
      </c>
      <c r="U171" s="49">
        <v>252.0</v>
      </c>
      <c r="V171" s="77">
        <v>0.7</v>
      </c>
      <c r="W171" s="49" t="s">
        <v>52</v>
      </c>
      <c r="X171" s="49" t="s">
        <v>52</v>
      </c>
      <c r="Y171" s="55" t="s">
        <v>42</v>
      </c>
      <c r="Z171" s="47"/>
      <c r="AA171" s="56" t="s">
        <v>181</v>
      </c>
      <c r="AB171" s="46"/>
      <c r="AC171" s="57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  <row r="172" ht="19.5" customHeight="1">
      <c r="A172" s="34" t="s">
        <v>182</v>
      </c>
      <c r="B172" s="24"/>
      <c r="C172" s="23"/>
      <c r="D172" s="58"/>
      <c r="E172" s="58"/>
      <c r="F172" s="59"/>
      <c r="G172" s="60"/>
      <c r="H172" s="58"/>
      <c r="I172" s="59"/>
      <c r="J172" s="61" t="s">
        <v>177</v>
      </c>
      <c r="K172" s="62" t="s">
        <v>46</v>
      </c>
      <c r="L172" s="63" t="s">
        <v>47</v>
      </c>
      <c r="M172" s="24"/>
      <c r="N172" s="24"/>
      <c r="O172" s="24"/>
      <c r="P172" s="61" t="s">
        <v>48</v>
      </c>
      <c r="Q172" s="64" t="s">
        <v>49</v>
      </c>
      <c r="R172" s="65"/>
      <c r="S172" s="66" t="s">
        <v>50</v>
      </c>
      <c r="T172" s="24"/>
      <c r="U172" s="23"/>
      <c r="V172" s="61" t="s">
        <v>51</v>
      </c>
      <c r="W172" s="68">
        <v>0.996</v>
      </c>
      <c r="X172" s="61" t="s">
        <v>52</v>
      </c>
      <c r="Y172" s="60"/>
      <c r="Z172" s="59"/>
      <c r="AA172" s="60"/>
      <c r="AB172" s="58"/>
      <c r="AC172" s="67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</row>
    <row r="173" ht="39.75" customHeight="1">
      <c r="A173" s="44" t="s">
        <v>179</v>
      </c>
      <c r="B173" s="6"/>
      <c r="C173" s="5"/>
      <c r="D173" s="45" t="s">
        <v>180</v>
      </c>
      <c r="E173" s="46"/>
      <c r="F173" s="47"/>
      <c r="G173" s="48" t="s">
        <v>161</v>
      </c>
      <c r="H173" s="46"/>
      <c r="I173" s="47"/>
      <c r="J173" s="49" t="s">
        <v>38</v>
      </c>
      <c r="K173" s="51">
        <v>10516.0</v>
      </c>
      <c r="L173" s="51">
        <v>1.02</v>
      </c>
      <c r="M173" s="51" t="s">
        <v>39</v>
      </c>
      <c r="N173" s="49">
        <v>50.8</v>
      </c>
      <c r="O173" s="49" t="s">
        <v>40</v>
      </c>
      <c r="P173" s="49">
        <v>4.12</v>
      </c>
      <c r="Q173" s="49" t="s">
        <v>41</v>
      </c>
      <c r="R173" s="52">
        <v>10.0</v>
      </c>
      <c r="S173" s="49">
        <v>149.9</v>
      </c>
      <c r="T173" s="49">
        <v>275.0</v>
      </c>
      <c r="U173" s="53">
        <v>86.0</v>
      </c>
      <c r="V173" s="75">
        <v>0.018</v>
      </c>
      <c r="W173" s="53">
        <v>28.0</v>
      </c>
      <c r="X173" s="85">
        <v>1.0</v>
      </c>
      <c r="Y173" s="55" t="s">
        <v>42</v>
      </c>
      <c r="Z173" s="47"/>
      <c r="AA173" s="88" t="s">
        <v>186</v>
      </c>
      <c r="AB173" s="46"/>
      <c r="AC173" s="57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</row>
    <row r="174" ht="39.75" customHeight="1">
      <c r="A174" s="34" t="s">
        <v>182</v>
      </c>
      <c r="B174" s="24"/>
      <c r="C174" s="23"/>
      <c r="D174" s="58"/>
      <c r="E174" s="58"/>
      <c r="F174" s="59"/>
      <c r="G174" s="60"/>
      <c r="H174" s="58"/>
      <c r="I174" s="59"/>
      <c r="J174" s="68" t="s">
        <v>60</v>
      </c>
      <c r="K174" s="62" t="s">
        <v>46</v>
      </c>
      <c r="L174" s="63" t="s">
        <v>47</v>
      </c>
      <c r="M174" s="24"/>
      <c r="N174" s="24"/>
      <c r="O174" s="24"/>
      <c r="P174" s="61" t="s">
        <v>48</v>
      </c>
      <c r="Q174" s="64" t="s">
        <v>49</v>
      </c>
      <c r="R174" s="65"/>
      <c r="S174" s="66" t="s">
        <v>50</v>
      </c>
      <c r="T174" s="24"/>
      <c r="U174" s="23"/>
      <c r="V174" s="61" t="s">
        <v>51</v>
      </c>
      <c r="W174" s="61" t="s">
        <v>52</v>
      </c>
      <c r="X174" s="84">
        <v>1.4</v>
      </c>
      <c r="Y174" s="60"/>
      <c r="Z174" s="59"/>
      <c r="AA174" s="60"/>
      <c r="AB174" s="58"/>
      <c r="AC174" s="67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ht="19.5" customHeight="1">
      <c r="A175" s="44" t="s">
        <v>187</v>
      </c>
      <c r="B175" s="6"/>
      <c r="C175" s="5"/>
      <c r="D175" s="45" t="s">
        <v>188</v>
      </c>
      <c r="E175" s="46"/>
      <c r="F175" s="47"/>
      <c r="G175" s="48" t="s">
        <v>56</v>
      </c>
      <c r="H175" s="46"/>
      <c r="I175" s="47"/>
      <c r="J175" s="49" t="s">
        <v>54</v>
      </c>
      <c r="K175" s="51">
        <v>61.0</v>
      </c>
      <c r="L175" s="51">
        <v>50.0</v>
      </c>
      <c r="M175" s="51">
        <v>65.0</v>
      </c>
      <c r="N175" s="49">
        <v>65.0</v>
      </c>
      <c r="O175" s="49" t="s">
        <v>189</v>
      </c>
      <c r="P175" s="49">
        <v>5.48</v>
      </c>
      <c r="Q175" s="49" t="s">
        <v>180</v>
      </c>
      <c r="R175" s="52">
        <v>10.0</v>
      </c>
      <c r="S175" s="49">
        <v>215.0</v>
      </c>
      <c r="T175" s="49">
        <v>275.0</v>
      </c>
      <c r="U175" s="49">
        <v>215.0</v>
      </c>
      <c r="V175" s="49">
        <v>0.2</v>
      </c>
      <c r="W175" s="49" t="s">
        <v>52</v>
      </c>
      <c r="X175" s="49" t="s">
        <v>52</v>
      </c>
      <c r="Y175" s="73" t="s">
        <v>138</v>
      </c>
      <c r="Z175" s="47"/>
      <c r="AA175" s="56" t="s">
        <v>190</v>
      </c>
      <c r="AB175" s="46"/>
      <c r="AC175" s="57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ht="19.5" customHeight="1">
      <c r="A176" s="34" t="s">
        <v>191</v>
      </c>
      <c r="B176" s="24"/>
      <c r="C176" s="23"/>
      <c r="D176" s="58"/>
      <c r="E176" s="58"/>
      <c r="F176" s="59"/>
      <c r="G176" s="60"/>
      <c r="H176" s="58"/>
      <c r="I176" s="59"/>
      <c r="J176" s="61" t="s">
        <v>192</v>
      </c>
      <c r="K176" s="62" t="s">
        <v>46</v>
      </c>
      <c r="L176" s="63" t="s">
        <v>47</v>
      </c>
      <c r="M176" s="24"/>
      <c r="N176" s="24"/>
      <c r="O176" s="24"/>
      <c r="P176" s="61" t="s">
        <v>48</v>
      </c>
      <c r="Q176" s="64" t="s">
        <v>67</v>
      </c>
      <c r="R176" s="65"/>
      <c r="S176" s="66" t="s">
        <v>193</v>
      </c>
      <c r="T176" s="24"/>
      <c r="U176" s="23"/>
      <c r="V176" s="61" t="s">
        <v>51</v>
      </c>
      <c r="W176" s="61">
        <v>0.611</v>
      </c>
      <c r="X176" s="61" t="s">
        <v>52</v>
      </c>
      <c r="Y176" s="60"/>
      <c r="Z176" s="59"/>
      <c r="AA176" s="60"/>
      <c r="AB176" s="58"/>
      <c r="AC176" s="67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  <row r="177" ht="19.5" customHeight="1">
      <c r="A177" s="44" t="s">
        <v>194</v>
      </c>
      <c r="B177" s="6"/>
      <c r="C177" s="5"/>
      <c r="D177" s="45" t="s">
        <v>195</v>
      </c>
      <c r="E177" s="46"/>
      <c r="F177" s="47"/>
      <c r="G177" s="48" t="s">
        <v>128</v>
      </c>
      <c r="H177" s="46"/>
      <c r="I177" s="47"/>
      <c r="J177" s="49" t="s">
        <v>54</v>
      </c>
      <c r="K177" s="51">
        <v>33201.0</v>
      </c>
      <c r="L177" s="51">
        <v>50.0</v>
      </c>
      <c r="M177" s="51">
        <v>65.0</v>
      </c>
      <c r="N177" s="49">
        <v>65.0</v>
      </c>
      <c r="O177" s="49" t="s">
        <v>189</v>
      </c>
      <c r="P177" s="49">
        <v>5.48</v>
      </c>
      <c r="Q177" s="49" t="s">
        <v>180</v>
      </c>
      <c r="R177" s="52">
        <v>10.0</v>
      </c>
      <c r="S177" s="49">
        <v>215.0</v>
      </c>
      <c r="T177" s="49">
        <v>275.0</v>
      </c>
      <c r="U177" s="49">
        <v>215.0</v>
      </c>
      <c r="V177" s="49">
        <v>0.7</v>
      </c>
      <c r="W177" s="49" t="s">
        <v>52</v>
      </c>
      <c r="X177" s="49" t="s">
        <v>52</v>
      </c>
      <c r="Y177" s="73" t="s">
        <v>72</v>
      </c>
      <c r="Z177" s="47"/>
      <c r="AA177" s="87" t="s">
        <v>196</v>
      </c>
      <c r="AB177" s="46"/>
      <c r="AC177" s="57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</row>
    <row r="178" ht="19.5" customHeight="1">
      <c r="A178" s="34" t="s">
        <v>191</v>
      </c>
      <c r="B178" s="24"/>
      <c r="C178" s="23"/>
      <c r="D178" s="58"/>
      <c r="E178" s="58"/>
      <c r="F178" s="59"/>
      <c r="G178" s="60"/>
      <c r="H178" s="58"/>
      <c r="I178" s="59"/>
      <c r="J178" s="61" t="s">
        <v>177</v>
      </c>
      <c r="K178" s="62" t="s">
        <v>46</v>
      </c>
      <c r="L178" s="63" t="s">
        <v>47</v>
      </c>
      <c r="M178" s="24"/>
      <c r="N178" s="24"/>
      <c r="O178" s="24"/>
      <c r="P178" s="61" t="s">
        <v>48</v>
      </c>
      <c r="Q178" s="64" t="s">
        <v>67</v>
      </c>
      <c r="R178" s="65"/>
      <c r="S178" s="66" t="s">
        <v>50</v>
      </c>
      <c r="T178" s="24"/>
      <c r="U178" s="23"/>
      <c r="V178" s="61" t="s">
        <v>51</v>
      </c>
      <c r="W178" s="61">
        <v>0.993</v>
      </c>
      <c r="X178" s="61" t="s">
        <v>52</v>
      </c>
      <c r="Y178" s="60"/>
      <c r="Z178" s="59"/>
      <c r="AA178" s="60"/>
      <c r="AB178" s="58"/>
      <c r="AC178" s="67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</row>
    <row r="179" ht="19.5" customHeight="1">
      <c r="A179" s="44" t="s">
        <v>194</v>
      </c>
      <c r="B179" s="6"/>
      <c r="C179" s="5"/>
      <c r="D179" s="45" t="s">
        <v>195</v>
      </c>
      <c r="E179" s="46"/>
      <c r="F179" s="47"/>
      <c r="G179" s="48" t="s">
        <v>56</v>
      </c>
      <c r="H179" s="46"/>
      <c r="I179" s="47"/>
      <c r="J179" s="49" t="s">
        <v>54</v>
      </c>
      <c r="K179" s="51">
        <v>208936.0</v>
      </c>
      <c r="L179" s="51">
        <v>50.0</v>
      </c>
      <c r="M179" s="51">
        <v>65.0</v>
      </c>
      <c r="N179" s="49">
        <v>65.0</v>
      </c>
      <c r="O179" s="49" t="s">
        <v>189</v>
      </c>
      <c r="P179" s="49">
        <v>5.48</v>
      </c>
      <c r="Q179" s="49" t="s">
        <v>180</v>
      </c>
      <c r="R179" s="52">
        <v>10.0</v>
      </c>
      <c r="S179" s="49">
        <v>215.0</v>
      </c>
      <c r="T179" s="49">
        <v>275.0</v>
      </c>
      <c r="U179" s="49">
        <v>215.0</v>
      </c>
      <c r="V179" s="49">
        <v>0.2</v>
      </c>
      <c r="W179" s="49" t="s">
        <v>52</v>
      </c>
      <c r="X179" s="49" t="s">
        <v>52</v>
      </c>
      <c r="Y179" s="73" t="s">
        <v>138</v>
      </c>
      <c r="Z179" s="47"/>
      <c r="AA179" s="56" t="s">
        <v>196</v>
      </c>
      <c r="AB179" s="46"/>
      <c r="AC179" s="57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</row>
    <row r="180" ht="19.5" customHeight="1">
      <c r="A180" s="34" t="s">
        <v>191</v>
      </c>
      <c r="B180" s="24"/>
      <c r="C180" s="23"/>
      <c r="D180" s="58"/>
      <c r="E180" s="58"/>
      <c r="F180" s="59"/>
      <c r="G180" s="60"/>
      <c r="H180" s="58"/>
      <c r="I180" s="59"/>
      <c r="J180" s="61" t="s">
        <v>192</v>
      </c>
      <c r="K180" s="62" t="s">
        <v>46</v>
      </c>
      <c r="L180" s="63" t="s">
        <v>47</v>
      </c>
      <c r="M180" s="24"/>
      <c r="N180" s="24"/>
      <c r="O180" s="24"/>
      <c r="P180" s="61" t="s">
        <v>48</v>
      </c>
      <c r="Q180" s="64" t="s">
        <v>67</v>
      </c>
      <c r="R180" s="65"/>
      <c r="S180" s="66" t="s">
        <v>197</v>
      </c>
      <c r="T180" s="24"/>
      <c r="U180" s="23"/>
      <c r="V180" s="61" t="s">
        <v>51</v>
      </c>
      <c r="W180" s="61">
        <v>0.611</v>
      </c>
      <c r="X180" s="61" t="s">
        <v>52</v>
      </c>
      <c r="Y180" s="60"/>
      <c r="Z180" s="59"/>
      <c r="AA180" s="60"/>
      <c r="AB180" s="58"/>
      <c r="AC180" s="67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</row>
    <row r="181" ht="19.5" customHeight="1">
      <c r="A181" s="44" t="s">
        <v>198</v>
      </c>
      <c r="B181" s="6"/>
      <c r="C181" s="5"/>
      <c r="D181" s="45" t="s">
        <v>199</v>
      </c>
      <c r="E181" s="46"/>
      <c r="F181" s="47"/>
      <c r="G181" s="48" t="s">
        <v>200</v>
      </c>
      <c r="H181" s="46"/>
      <c r="I181" s="47"/>
      <c r="J181" s="49" t="s">
        <v>54</v>
      </c>
      <c r="K181" s="51"/>
      <c r="L181" s="51">
        <v>1044.0</v>
      </c>
      <c r="M181" s="51">
        <v>1350.0</v>
      </c>
      <c r="N181" s="49">
        <v>1350.0</v>
      </c>
      <c r="O181" s="49" t="s">
        <v>189</v>
      </c>
      <c r="P181" s="49">
        <v>134.0</v>
      </c>
      <c r="Q181" s="49" t="s">
        <v>180</v>
      </c>
      <c r="R181" s="52">
        <v>10.0</v>
      </c>
      <c r="S181" s="49">
        <v>359.6</v>
      </c>
      <c r="T181" s="49">
        <v>428.0</v>
      </c>
      <c r="U181" s="49"/>
      <c r="V181" s="49">
        <v>0.2</v>
      </c>
      <c r="W181" s="49" t="s">
        <v>52</v>
      </c>
      <c r="X181" s="49" t="s">
        <v>52</v>
      </c>
      <c r="Y181" s="73" t="s">
        <v>72</v>
      </c>
      <c r="Z181" s="47"/>
      <c r="AA181" s="87" t="s">
        <v>201</v>
      </c>
      <c r="AB181" s="46"/>
      <c r="AC181" s="57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</row>
    <row r="182" ht="19.5" customHeight="1">
      <c r="A182" s="34" t="s">
        <v>202</v>
      </c>
      <c r="B182" s="24"/>
      <c r="C182" s="23"/>
      <c r="D182" s="58"/>
      <c r="E182" s="58"/>
      <c r="F182" s="59"/>
      <c r="G182" s="60"/>
      <c r="H182" s="58"/>
      <c r="I182" s="59"/>
      <c r="J182" s="61" t="s">
        <v>192</v>
      </c>
      <c r="K182" s="62" t="s">
        <v>46</v>
      </c>
      <c r="L182" s="63" t="s">
        <v>47</v>
      </c>
      <c r="M182" s="24"/>
      <c r="N182" s="24"/>
      <c r="O182" s="24"/>
      <c r="P182" s="61" t="s">
        <v>48</v>
      </c>
      <c r="Q182" s="64" t="s">
        <v>67</v>
      </c>
      <c r="R182" s="65"/>
      <c r="S182" s="66" t="s">
        <v>50</v>
      </c>
      <c r="T182" s="24"/>
      <c r="U182" s="23"/>
      <c r="V182" s="61" t="s">
        <v>51</v>
      </c>
      <c r="W182" s="61">
        <v>0.605</v>
      </c>
      <c r="X182" s="61" t="s">
        <v>52</v>
      </c>
      <c r="Y182" s="60"/>
      <c r="Z182" s="59"/>
      <c r="AA182" s="60"/>
      <c r="AB182" s="58"/>
      <c r="AC182" s="67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</row>
    <row r="183" ht="19.5" customHeight="1">
      <c r="A183" s="44" t="s">
        <v>203</v>
      </c>
      <c r="B183" s="6"/>
      <c r="C183" s="5"/>
      <c r="D183" s="45" t="s">
        <v>204</v>
      </c>
      <c r="E183" s="46"/>
      <c r="F183" s="47"/>
      <c r="G183" s="48" t="s">
        <v>128</v>
      </c>
      <c r="H183" s="46"/>
      <c r="I183" s="47"/>
      <c r="J183" s="49" t="s">
        <v>54</v>
      </c>
      <c r="K183" s="51">
        <v>175265.0</v>
      </c>
      <c r="L183" s="51">
        <v>174.0</v>
      </c>
      <c r="M183" s="51" t="s">
        <v>205</v>
      </c>
      <c r="N183" s="49">
        <v>203.1</v>
      </c>
      <c r="O183" s="72" t="s">
        <v>40</v>
      </c>
      <c r="P183" s="49">
        <v>4.1</v>
      </c>
      <c r="Q183" s="49" t="s">
        <v>41</v>
      </c>
      <c r="R183" s="52">
        <v>10.0</v>
      </c>
      <c r="S183" s="89">
        <v>375.4</v>
      </c>
      <c r="T183" s="49">
        <v>482.0</v>
      </c>
      <c r="U183" s="53">
        <v>227.3</v>
      </c>
      <c r="V183" s="49">
        <v>0.2</v>
      </c>
      <c r="W183" s="49" t="s">
        <v>52</v>
      </c>
      <c r="X183" s="49" t="s">
        <v>52</v>
      </c>
      <c r="Y183" s="55" t="s">
        <v>42</v>
      </c>
      <c r="Z183" s="47"/>
      <c r="AA183" s="56" t="s">
        <v>206</v>
      </c>
      <c r="AB183" s="46"/>
      <c r="AC183" s="57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</row>
    <row r="184" ht="19.5" customHeight="1">
      <c r="A184" s="34" t="s">
        <v>202</v>
      </c>
      <c r="B184" s="24"/>
      <c r="C184" s="23"/>
      <c r="D184" s="58"/>
      <c r="E184" s="58"/>
      <c r="F184" s="59"/>
      <c r="G184" s="60"/>
      <c r="H184" s="58"/>
      <c r="I184" s="59"/>
      <c r="J184" s="61" t="s">
        <v>192</v>
      </c>
      <c r="K184" s="62" t="s">
        <v>46</v>
      </c>
      <c r="L184" s="63" t="s">
        <v>47</v>
      </c>
      <c r="M184" s="24"/>
      <c r="N184" s="24"/>
      <c r="O184" s="24"/>
      <c r="P184" s="61" t="s">
        <v>48</v>
      </c>
      <c r="Q184" s="64" t="s">
        <v>67</v>
      </c>
      <c r="R184" s="65"/>
      <c r="S184" s="66" t="s">
        <v>50</v>
      </c>
      <c r="T184" s="24"/>
      <c r="U184" s="23"/>
      <c r="V184" s="61" t="s">
        <v>51</v>
      </c>
      <c r="W184" s="61">
        <v>0.605</v>
      </c>
      <c r="X184" s="61" t="s">
        <v>52</v>
      </c>
      <c r="Y184" s="60"/>
      <c r="Z184" s="59"/>
      <c r="AA184" s="60"/>
      <c r="AB184" s="58"/>
      <c r="AC184" s="67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</row>
    <row r="185" ht="19.5" customHeight="1">
      <c r="A185" s="44" t="s">
        <v>207</v>
      </c>
      <c r="B185" s="6"/>
      <c r="C185" s="5"/>
      <c r="D185" s="45" t="s">
        <v>208</v>
      </c>
      <c r="E185" s="46"/>
      <c r="F185" s="47"/>
      <c r="G185" s="48" t="s">
        <v>200</v>
      </c>
      <c r="H185" s="46"/>
      <c r="I185" s="47"/>
      <c r="J185" s="49" t="s">
        <v>54</v>
      </c>
      <c r="K185" s="51"/>
      <c r="L185" s="51">
        <v>1044.0</v>
      </c>
      <c r="M185" s="51">
        <v>1350.0</v>
      </c>
      <c r="N185" s="49">
        <v>1350.0</v>
      </c>
      <c r="O185" s="49" t="s">
        <v>189</v>
      </c>
      <c r="P185" s="49">
        <v>134.0</v>
      </c>
      <c r="Q185" s="49" t="s">
        <v>180</v>
      </c>
      <c r="R185" s="52">
        <v>10.0</v>
      </c>
      <c r="S185" s="49">
        <v>359.6</v>
      </c>
      <c r="T185" s="49">
        <v>428.0</v>
      </c>
      <c r="U185" s="49"/>
      <c r="V185" s="49">
        <v>0.2</v>
      </c>
      <c r="W185" s="49" t="s">
        <v>52</v>
      </c>
      <c r="X185" s="49" t="s">
        <v>52</v>
      </c>
      <c r="Y185" s="73" t="s">
        <v>72</v>
      </c>
      <c r="Z185" s="47"/>
      <c r="AA185" s="87" t="s">
        <v>209</v>
      </c>
      <c r="AB185" s="46"/>
      <c r="AC185" s="57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</row>
    <row r="186" ht="19.5" customHeight="1">
      <c r="A186" s="34" t="s">
        <v>202</v>
      </c>
      <c r="B186" s="24"/>
      <c r="C186" s="23"/>
      <c r="D186" s="58"/>
      <c r="E186" s="58"/>
      <c r="F186" s="59"/>
      <c r="G186" s="60"/>
      <c r="H186" s="58"/>
      <c r="I186" s="59"/>
      <c r="J186" s="61" t="s">
        <v>192</v>
      </c>
      <c r="K186" s="62" t="s">
        <v>46</v>
      </c>
      <c r="L186" s="63" t="s">
        <v>47</v>
      </c>
      <c r="M186" s="24"/>
      <c r="N186" s="24"/>
      <c r="O186" s="24"/>
      <c r="P186" s="61" t="s">
        <v>48</v>
      </c>
      <c r="Q186" s="64" t="s">
        <v>67</v>
      </c>
      <c r="R186" s="65"/>
      <c r="S186" s="66" t="s">
        <v>50</v>
      </c>
      <c r="T186" s="24"/>
      <c r="U186" s="23"/>
      <c r="V186" s="61" t="s">
        <v>51</v>
      </c>
      <c r="W186" s="61">
        <v>0.605</v>
      </c>
      <c r="X186" s="61" t="s">
        <v>52</v>
      </c>
      <c r="Y186" s="60"/>
      <c r="Z186" s="59"/>
      <c r="AA186" s="60"/>
      <c r="AB186" s="58"/>
      <c r="AC186" s="67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</row>
    <row r="187" ht="19.5" customHeight="1">
      <c r="A187" s="44" t="s">
        <v>210</v>
      </c>
      <c r="B187" s="6"/>
      <c r="C187" s="5"/>
      <c r="D187" s="45" t="s">
        <v>211</v>
      </c>
      <c r="E187" s="46"/>
      <c r="F187" s="47"/>
      <c r="G187" s="48" t="s">
        <v>128</v>
      </c>
      <c r="H187" s="46"/>
      <c r="I187" s="47"/>
      <c r="J187" s="49" t="s">
        <v>54</v>
      </c>
      <c r="K187" s="51">
        <v>175265.0</v>
      </c>
      <c r="L187" s="51">
        <v>174.0</v>
      </c>
      <c r="M187" s="51" t="s">
        <v>205</v>
      </c>
      <c r="N187" s="49">
        <v>203.1</v>
      </c>
      <c r="O187" s="72" t="s">
        <v>40</v>
      </c>
      <c r="P187" s="49">
        <v>4.1</v>
      </c>
      <c r="Q187" s="49" t="s">
        <v>41</v>
      </c>
      <c r="R187" s="52">
        <v>10.0</v>
      </c>
      <c r="S187" s="89">
        <v>375.4</v>
      </c>
      <c r="T187" s="49">
        <v>482.0</v>
      </c>
      <c r="U187" s="53">
        <v>227.3</v>
      </c>
      <c r="V187" s="49">
        <v>0.2</v>
      </c>
      <c r="W187" s="49" t="s">
        <v>52</v>
      </c>
      <c r="X187" s="49" t="s">
        <v>52</v>
      </c>
      <c r="Y187" s="55" t="s">
        <v>42</v>
      </c>
      <c r="Z187" s="47"/>
      <c r="AA187" s="56" t="s">
        <v>212</v>
      </c>
      <c r="AB187" s="46"/>
      <c r="AC187" s="57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</row>
    <row r="188" ht="19.5" customHeight="1">
      <c r="A188" s="34" t="s">
        <v>202</v>
      </c>
      <c r="B188" s="24"/>
      <c r="C188" s="23"/>
      <c r="D188" s="58"/>
      <c r="E188" s="58"/>
      <c r="F188" s="59"/>
      <c r="G188" s="60"/>
      <c r="H188" s="58"/>
      <c r="I188" s="59"/>
      <c r="J188" s="61" t="s">
        <v>192</v>
      </c>
      <c r="K188" s="62" t="s">
        <v>46</v>
      </c>
      <c r="L188" s="63" t="s">
        <v>47</v>
      </c>
      <c r="M188" s="24"/>
      <c r="N188" s="24"/>
      <c r="O188" s="24"/>
      <c r="P188" s="61" t="s">
        <v>48</v>
      </c>
      <c r="Q188" s="64" t="s">
        <v>67</v>
      </c>
      <c r="R188" s="65"/>
      <c r="S188" s="66" t="s">
        <v>50</v>
      </c>
      <c r="T188" s="24"/>
      <c r="U188" s="23"/>
      <c r="V188" s="61" t="s">
        <v>51</v>
      </c>
      <c r="W188" s="61">
        <v>0.605</v>
      </c>
      <c r="X188" s="61" t="s">
        <v>52</v>
      </c>
      <c r="Y188" s="60"/>
      <c r="Z188" s="59"/>
      <c r="AA188" s="60"/>
      <c r="AB188" s="58"/>
      <c r="AC188" s="67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</row>
    <row r="189" ht="25.5" customHeight="1">
      <c r="A189" s="44" t="s">
        <v>213</v>
      </c>
      <c r="B189" s="6"/>
      <c r="C189" s="5"/>
      <c r="D189" s="45" t="s">
        <v>214</v>
      </c>
      <c r="E189" s="46"/>
      <c r="F189" s="47"/>
      <c r="G189" s="48" t="s">
        <v>37</v>
      </c>
      <c r="H189" s="46"/>
      <c r="I189" s="47"/>
      <c r="J189" s="49" t="s">
        <v>38</v>
      </c>
      <c r="K189" s="51">
        <v>204.0</v>
      </c>
      <c r="L189" s="51">
        <v>11.4</v>
      </c>
      <c r="M189" s="51">
        <v>85.3</v>
      </c>
      <c r="N189" s="49">
        <v>85.3</v>
      </c>
      <c r="O189" s="49" t="s">
        <v>40</v>
      </c>
      <c r="P189" s="49">
        <v>17.9</v>
      </c>
      <c r="Q189" s="49" t="s">
        <v>41</v>
      </c>
      <c r="R189" s="52">
        <v>21.0</v>
      </c>
      <c r="S189" s="49">
        <v>104.0</v>
      </c>
      <c r="T189" s="49">
        <v>750.0</v>
      </c>
      <c r="U189" s="49">
        <v>358.0</v>
      </c>
      <c r="V189" s="54">
        <v>0.001</v>
      </c>
      <c r="W189" s="49">
        <v>100.2</v>
      </c>
      <c r="X189" s="70">
        <v>1.15</v>
      </c>
      <c r="Y189" s="73" t="s">
        <v>138</v>
      </c>
      <c r="Z189" s="47"/>
      <c r="AA189" s="56" t="s">
        <v>215</v>
      </c>
      <c r="AB189" s="46"/>
      <c r="AC189" s="57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</row>
    <row r="190" ht="25.5" customHeight="1">
      <c r="A190" s="34" t="s">
        <v>216</v>
      </c>
      <c r="B190" s="24"/>
      <c r="C190" s="23"/>
      <c r="D190" s="58"/>
      <c r="E190" s="58"/>
      <c r="F190" s="59"/>
      <c r="G190" s="60"/>
      <c r="H190" s="58"/>
      <c r="I190" s="59"/>
      <c r="J190" s="61" t="s">
        <v>192</v>
      </c>
      <c r="K190" s="62" t="s">
        <v>46</v>
      </c>
      <c r="L190" s="63" t="s">
        <v>47</v>
      </c>
      <c r="M190" s="24"/>
      <c r="N190" s="24"/>
      <c r="O190" s="24"/>
      <c r="P190" s="61" t="s">
        <v>48</v>
      </c>
      <c r="Q190" s="64" t="s">
        <v>49</v>
      </c>
      <c r="R190" s="65"/>
      <c r="S190" s="66" t="s">
        <v>217</v>
      </c>
      <c r="T190" s="24"/>
      <c r="U190" s="23"/>
      <c r="V190" s="61" t="s">
        <v>51</v>
      </c>
      <c r="W190" s="61" t="s">
        <v>52</v>
      </c>
      <c r="X190" s="71">
        <v>1.11</v>
      </c>
      <c r="Y190" s="60"/>
      <c r="Z190" s="59"/>
      <c r="AA190" s="60"/>
      <c r="AB190" s="58"/>
      <c r="AC190" s="67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</row>
    <row r="191" ht="25.5" customHeight="1">
      <c r="A191" s="44" t="s">
        <v>213</v>
      </c>
      <c r="B191" s="6"/>
      <c r="C191" s="5"/>
      <c r="D191" s="45" t="s">
        <v>214</v>
      </c>
      <c r="E191" s="46"/>
      <c r="F191" s="47"/>
      <c r="G191" s="48" t="s">
        <v>58</v>
      </c>
      <c r="H191" s="46"/>
      <c r="I191" s="47"/>
      <c r="J191" s="49" t="s">
        <v>38</v>
      </c>
      <c r="K191" s="51">
        <v>2277.0</v>
      </c>
      <c r="L191" s="51">
        <v>11.4</v>
      </c>
      <c r="M191" s="51">
        <v>85.3</v>
      </c>
      <c r="N191" s="49">
        <v>85.3</v>
      </c>
      <c r="O191" s="49" t="s">
        <v>40</v>
      </c>
      <c r="P191" s="49">
        <v>17.9</v>
      </c>
      <c r="Q191" s="49" t="s">
        <v>41</v>
      </c>
      <c r="R191" s="52">
        <v>10.0</v>
      </c>
      <c r="S191" s="49">
        <v>104.0</v>
      </c>
      <c r="T191" s="49">
        <v>750.0</v>
      </c>
      <c r="U191" s="49">
        <v>518.0</v>
      </c>
      <c r="V191" s="54">
        <v>0.001</v>
      </c>
      <c r="W191" s="49">
        <v>28.0</v>
      </c>
      <c r="X191" s="70">
        <v>1.0</v>
      </c>
      <c r="Y191" s="73" t="s">
        <v>138</v>
      </c>
      <c r="Z191" s="47"/>
      <c r="AA191" s="56" t="s">
        <v>215</v>
      </c>
      <c r="AB191" s="46"/>
      <c r="AC191" s="57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</row>
    <row r="192" ht="25.5" customHeight="1">
      <c r="A192" s="34" t="s">
        <v>216</v>
      </c>
      <c r="B192" s="24"/>
      <c r="C192" s="23"/>
      <c r="D192" s="58"/>
      <c r="E192" s="58"/>
      <c r="F192" s="59"/>
      <c r="G192" s="60"/>
      <c r="H192" s="58"/>
      <c r="I192" s="59"/>
      <c r="J192" s="61" t="s">
        <v>218</v>
      </c>
      <c r="K192" s="62" t="s">
        <v>46</v>
      </c>
      <c r="L192" s="63" t="s">
        <v>47</v>
      </c>
      <c r="M192" s="24"/>
      <c r="N192" s="24"/>
      <c r="O192" s="24"/>
      <c r="P192" s="61" t="s">
        <v>48</v>
      </c>
      <c r="Q192" s="64" t="s">
        <v>49</v>
      </c>
      <c r="R192" s="65"/>
      <c r="S192" s="66" t="s">
        <v>219</v>
      </c>
      <c r="T192" s="24"/>
      <c r="U192" s="23"/>
      <c r="V192" s="61" t="s">
        <v>51</v>
      </c>
      <c r="W192" s="61" t="s">
        <v>52</v>
      </c>
      <c r="X192" s="71">
        <v>1.4</v>
      </c>
      <c r="Y192" s="60"/>
      <c r="Z192" s="59"/>
      <c r="AA192" s="60"/>
      <c r="AB192" s="58"/>
      <c r="AC192" s="67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</row>
    <row r="193" ht="27.0" customHeight="1">
      <c r="A193" s="90" t="s">
        <v>220</v>
      </c>
      <c r="B193" s="6"/>
      <c r="C193" s="5"/>
      <c r="D193" s="91" t="s">
        <v>221</v>
      </c>
      <c r="E193" s="46"/>
      <c r="F193" s="47"/>
      <c r="G193" s="92" t="s">
        <v>56</v>
      </c>
      <c r="H193" s="46"/>
      <c r="I193" s="47"/>
      <c r="J193" s="93" t="s">
        <v>38</v>
      </c>
      <c r="K193" s="94">
        <v>3174.0</v>
      </c>
      <c r="L193" s="94">
        <v>20.0</v>
      </c>
      <c r="M193" s="94">
        <v>25.0</v>
      </c>
      <c r="N193" s="93">
        <v>25.0</v>
      </c>
      <c r="O193" s="95" t="s">
        <v>64</v>
      </c>
      <c r="P193" s="93">
        <v>2.5</v>
      </c>
      <c r="Q193" s="93" t="s">
        <v>65</v>
      </c>
      <c r="R193" s="96">
        <v>10.0</v>
      </c>
      <c r="S193" s="93">
        <v>104.0</v>
      </c>
      <c r="T193" s="93">
        <v>158.0</v>
      </c>
      <c r="U193" s="93">
        <v>104.0</v>
      </c>
      <c r="V193" s="97">
        <v>0.008</v>
      </c>
      <c r="W193" s="93">
        <v>28.0</v>
      </c>
      <c r="X193" s="98">
        <v>1.0</v>
      </c>
      <c r="Y193" s="99" t="s">
        <v>138</v>
      </c>
      <c r="Z193" s="47"/>
      <c r="AA193" s="87" t="s">
        <v>66</v>
      </c>
      <c r="AB193" s="46"/>
      <c r="AC193" s="57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</row>
    <row r="194" ht="27.0" customHeight="1">
      <c r="A194" s="100" t="s">
        <v>222</v>
      </c>
      <c r="B194" s="24"/>
      <c r="C194" s="23"/>
      <c r="D194" s="58"/>
      <c r="E194" s="58"/>
      <c r="F194" s="59"/>
      <c r="G194" s="60"/>
      <c r="H194" s="58"/>
      <c r="I194" s="59"/>
      <c r="J194" s="101" t="s">
        <v>60</v>
      </c>
      <c r="K194" s="102" t="s">
        <v>46</v>
      </c>
      <c r="L194" s="103" t="s">
        <v>47</v>
      </c>
      <c r="M194" s="24"/>
      <c r="N194" s="24"/>
      <c r="O194" s="24"/>
      <c r="P194" s="101" t="s">
        <v>48</v>
      </c>
      <c r="Q194" s="104" t="s">
        <v>67</v>
      </c>
      <c r="R194" s="65"/>
      <c r="S194" s="105" t="s">
        <v>50</v>
      </c>
      <c r="T194" s="24"/>
      <c r="U194" s="23"/>
      <c r="V194" s="101" t="s">
        <v>51</v>
      </c>
      <c r="W194" s="101" t="s">
        <v>52</v>
      </c>
      <c r="X194" s="106">
        <v>1.4</v>
      </c>
      <c r="Y194" s="60"/>
      <c r="Z194" s="59"/>
      <c r="AA194" s="60"/>
      <c r="AB194" s="58"/>
      <c r="AC194" s="67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</row>
    <row r="195" ht="19.5" customHeight="1">
      <c r="A195" s="44" t="s">
        <v>223</v>
      </c>
      <c r="B195" s="6"/>
      <c r="C195" s="5"/>
      <c r="D195" s="74" t="s">
        <v>224</v>
      </c>
      <c r="E195" s="46"/>
      <c r="F195" s="47"/>
      <c r="G195" s="48" t="s">
        <v>37</v>
      </c>
      <c r="H195" s="46"/>
      <c r="I195" s="47"/>
      <c r="J195" s="49" t="s">
        <v>38</v>
      </c>
      <c r="K195" s="51">
        <v>10682.0</v>
      </c>
      <c r="L195" s="51">
        <v>0.29</v>
      </c>
      <c r="M195" s="51" t="s">
        <v>39</v>
      </c>
      <c r="N195" s="49">
        <v>50.8</v>
      </c>
      <c r="O195" s="49" t="s">
        <v>40</v>
      </c>
      <c r="P195" s="49">
        <v>4.12</v>
      </c>
      <c r="Q195" s="49" t="s">
        <v>41</v>
      </c>
      <c r="R195" s="52">
        <v>21.0</v>
      </c>
      <c r="S195" s="49">
        <v>149.0</v>
      </c>
      <c r="T195" s="49">
        <v>338.0</v>
      </c>
      <c r="U195" s="49">
        <v>259.5</v>
      </c>
      <c r="V195" s="54">
        <v>0.008</v>
      </c>
      <c r="W195" s="49">
        <v>84.1</v>
      </c>
      <c r="X195" s="49">
        <v>0.866</v>
      </c>
      <c r="Y195" s="73" t="s">
        <v>72</v>
      </c>
      <c r="Z195" s="47"/>
      <c r="AA195" s="56" t="s">
        <v>225</v>
      </c>
      <c r="AB195" s="46"/>
      <c r="AC195" s="57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</row>
    <row r="196" ht="19.5" customHeight="1">
      <c r="A196" s="34" t="s">
        <v>226</v>
      </c>
      <c r="B196" s="24"/>
      <c r="C196" s="23"/>
      <c r="D196" s="60"/>
      <c r="E196" s="58"/>
      <c r="F196" s="59"/>
      <c r="G196" s="60"/>
      <c r="H196" s="58"/>
      <c r="I196" s="59"/>
      <c r="J196" s="61" t="s">
        <v>41</v>
      </c>
      <c r="K196" s="62" t="s">
        <v>46</v>
      </c>
      <c r="L196" s="63" t="s">
        <v>47</v>
      </c>
      <c r="M196" s="24"/>
      <c r="N196" s="24"/>
      <c r="O196" s="24"/>
      <c r="P196" s="61" t="s">
        <v>48</v>
      </c>
      <c r="Q196" s="64" t="s">
        <v>49</v>
      </c>
      <c r="R196" s="65"/>
      <c r="S196" s="66" t="s">
        <v>50</v>
      </c>
      <c r="T196" s="24"/>
      <c r="U196" s="23"/>
      <c r="V196" s="61" t="s">
        <v>51</v>
      </c>
      <c r="W196" s="61" t="s">
        <v>52</v>
      </c>
      <c r="X196" s="61">
        <v>1.052</v>
      </c>
      <c r="Y196" s="60"/>
      <c r="Z196" s="59"/>
      <c r="AA196" s="60"/>
      <c r="AB196" s="58"/>
      <c r="AC196" s="67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</row>
    <row r="197" ht="19.5" customHeight="1">
      <c r="A197" s="44" t="s">
        <v>227</v>
      </c>
      <c r="B197" s="6"/>
      <c r="C197" s="5"/>
      <c r="D197" s="74" t="s">
        <v>228</v>
      </c>
      <c r="E197" s="46"/>
      <c r="F197" s="47"/>
      <c r="G197" s="48" t="s">
        <v>37</v>
      </c>
      <c r="H197" s="46"/>
      <c r="I197" s="47"/>
      <c r="J197" s="49" t="s">
        <v>38</v>
      </c>
      <c r="K197" s="51">
        <v>10682.0</v>
      </c>
      <c r="L197" s="51">
        <v>0.29</v>
      </c>
      <c r="M197" s="51" t="s">
        <v>39</v>
      </c>
      <c r="N197" s="49">
        <v>50.8</v>
      </c>
      <c r="O197" s="49" t="s">
        <v>40</v>
      </c>
      <c r="P197" s="49">
        <v>4.12</v>
      </c>
      <c r="Q197" s="49" t="s">
        <v>41</v>
      </c>
      <c r="R197" s="52">
        <v>21.0</v>
      </c>
      <c r="S197" s="49">
        <v>104.0</v>
      </c>
      <c r="T197" s="49">
        <v>338.0</v>
      </c>
      <c r="U197" s="49">
        <v>259.5</v>
      </c>
      <c r="V197" s="54">
        <v>0.008</v>
      </c>
      <c r="W197" s="49">
        <v>84.1</v>
      </c>
      <c r="X197" s="49">
        <v>0.866</v>
      </c>
      <c r="Y197" s="55" t="s">
        <v>42</v>
      </c>
      <c r="Z197" s="47"/>
      <c r="AA197" s="56" t="s">
        <v>229</v>
      </c>
      <c r="AB197" s="46"/>
      <c r="AC197" s="57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</row>
    <row r="198" ht="19.5" customHeight="1">
      <c r="A198" s="34" t="s">
        <v>230</v>
      </c>
      <c r="B198" s="24"/>
      <c r="C198" s="23"/>
      <c r="D198" s="60"/>
      <c r="E198" s="58"/>
      <c r="F198" s="59"/>
      <c r="G198" s="60"/>
      <c r="H198" s="58"/>
      <c r="I198" s="59"/>
      <c r="J198" s="61" t="s">
        <v>41</v>
      </c>
      <c r="K198" s="62" t="s">
        <v>46</v>
      </c>
      <c r="L198" s="63" t="s">
        <v>47</v>
      </c>
      <c r="M198" s="24"/>
      <c r="N198" s="24"/>
      <c r="O198" s="24"/>
      <c r="P198" s="61" t="s">
        <v>48</v>
      </c>
      <c r="Q198" s="64" t="s">
        <v>49</v>
      </c>
      <c r="R198" s="65"/>
      <c r="S198" s="66" t="s">
        <v>50</v>
      </c>
      <c r="T198" s="24"/>
      <c r="U198" s="23"/>
      <c r="V198" s="61" t="s">
        <v>51</v>
      </c>
      <c r="W198" s="61" t="s">
        <v>52</v>
      </c>
      <c r="X198" s="68">
        <v>1.052</v>
      </c>
      <c r="Y198" s="60"/>
      <c r="Z198" s="59"/>
      <c r="AA198" s="60"/>
      <c r="AB198" s="58"/>
      <c r="AC198" s="67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</row>
    <row r="199" ht="19.5" customHeight="1">
      <c r="A199" s="44" t="s">
        <v>231</v>
      </c>
      <c r="B199" s="6"/>
      <c r="C199" s="5"/>
      <c r="D199" s="74" t="s">
        <v>232</v>
      </c>
      <c r="E199" s="46"/>
      <c r="F199" s="47"/>
      <c r="G199" s="48" t="s">
        <v>37</v>
      </c>
      <c r="H199" s="46"/>
      <c r="I199" s="47"/>
      <c r="J199" s="49" t="s">
        <v>38</v>
      </c>
      <c r="K199" s="51">
        <v>53754.0</v>
      </c>
      <c r="L199" s="107" t="s">
        <v>233</v>
      </c>
      <c r="M199" s="51" t="s">
        <v>39</v>
      </c>
      <c r="N199" s="49">
        <v>50.8</v>
      </c>
      <c r="O199" s="49" t="s">
        <v>40</v>
      </c>
      <c r="P199" s="49">
        <v>4.12</v>
      </c>
      <c r="Q199" s="49" t="s">
        <v>41</v>
      </c>
      <c r="R199" s="52">
        <v>21.0</v>
      </c>
      <c r="S199" s="49">
        <v>104.0</v>
      </c>
      <c r="T199" s="49" t="s">
        <v>234</v>
      </c>
      <c r="U199" s="49">
        <v>482.0</v>
      </c>
      <c r="V199" s="54">
        <v>0.008</v>
      </c>
      <c r="W199" s="49">
        <v>138.5</v>
      </c>
      <c r="X199" s="49">
        <v>0.837</v>
      </c>
      <c r="Y199" s="73" t="s">
        <v>72</v>
      </c>
      <c r="Z199" s="47"/>
      <c r="AA199" s="56" t="s">
        <v>235</v>
      </c>
      <c r="AB199" s="46"/>
      <c r="AC199" s="57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</row>
    <row r="200" ht="19.5" customHeight="1">
      <c r="A200" s="34" t="s">
        <v>236</v>
      </c>
      <c r="B200" s="24"/>
      <c r="C200" s="23"/>
      <c r="D200" s="60"/>
      <c r="E200" s="58"/>
      <c r="F200" s="59"/>
      <c r="G200" s="60"/>
      <c r="H200" s="58"/>
      <c r="I200" s="59"/>
      <c r="J200" s="61" t="s">
        <v>41</v>
      </c>
      <c r="K200" s="62" t="s">
        <v>46</v>
      </c>
      <c r="L200" s="63" t="s">
        <v>47</v>
      </c>
      <c r="M200" s="24"/>
      <c r="N200" s="24"/>
      <c r="O200" s="24"/>
      <c r="P200" s="61" t="s">
        <v>48</v>
      </c>
      <c r="Q200" s="64" t="s">
        <v>49</v>
      </c>
      <c r="R200" s="65"/>
      <c r="S200" s="66" t="s">
        <v>50</v>
      </c>
      <c r="T200" s="24"/>
      <c r="U200" s="23"/>
      <c r="V200" s="61" t="s">
        <v>51</v>
      </c>
      <c r="W200" s="61" t="s">
        <v>52</v>
      </c>
      <c r="X200" s="61">
        <v>1.025</v>
      </c>
      <c r="Y200" s="60"/>
      <c r="Z200" s="59"/>
      <c r="AA200" s="60"/>
      <c r="AB200" s="58"/>
      <c r="AC200" s="67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</row>
    <row r="201" ht="19.5" customHeight="1">
      <c r="A201" s="44"/>
      <c r="B201" s="6"/>
      <c r="C201" s="5"/>
      <c r="D201" s="45"/>
      <c r="E201" s="46"/>
      <c r="F201" s="47"/>
      <c r="G201" s="80"/>
      <c r="H201" s="46"/>
      <c r="I201" s="47"/>
      <c r="J201" s="49"/>
      <c r="K201" s="51"/>
      <c r="L201" s="51"/>
      <c r="M201" s="51"/>
      <c r="N201" s="49"/>
      <c r="O201" s="49"/>
      <c r="P201" s="49"/>
      <c r="Q201" s="49"/>
      <c r="R201" s="52"/>
      <c r="S201" s="49"/>
      <c r="T201" s="49"/>
      <c r="U201" s="49"/>
      <c r="V201" s="49"/>
      <c r="W201" s="49"/>
      <c r="X201" s="49"/>
      <c r="Y201" s="73"/>
      <c r="Z201" s="47"/>
      <c r="AA201" s="80"/>
      <c r="AB201" s="46"/>
      <c r="AC201" s="57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</row>
    <row r="202" ht="19.5" customHeight="1">
      <c r="A202" s="34"/>
      <c r="B202" s="24"/>
      <c r="C202" s="23"/>
      <c r="D202" s="58"/>
      <c r="E202" s="58"/>
      <c r="F202" s="59"/>
      <c r="G202" s="60"/>
      <c r="H202" s="58"/>
      <c r="I202" s="59"/>
      <c r="J202" s="61"/>
      <c r="K202" s="62" t="s">
        <v>46</v>
      </c>
      <c r="L202" s="63" t="s">
        <v>47</v>
      </c>
      <c r="M202" s="24"/>
      <c r="N202" s="24"/>
      <c r="O202" s="24"/>
      <c r="P202" s="61" t="s">
        <v>48</v>
      </c>
      <c r="Q202" s="64"/>
      <c r="R202" s="65"/>
      <c r="S202" s="66" t="s">
        <v>50</v>
      </c>
      <c r="T202" s="24"/>
      <c r="U202" s="23"/>
      <c r="V202" s="61" t="s">
        <v>51</v>
      </c>
      <c r="W202" s="61"/>
      <c r="X202" s="61"/>
      <c r="Y202" s="60"/>
      <c r="Z202" s="59"/>
      <c r="AA202" s="60"/>
      <c r="AB202" s="58"/>
      <c r="AC202" s="67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</row>
    <row r="203" ht="19.5" customHeight="1">
      <c r="A203" s="44"/>
      <c r="B203" s="6"/>
      <c r="C203" s="5"/>
      <c r="D203" s="45"/>
      <c r="E203" s="46"/>
      <c r="F203" s="47"/>
      <c r="G203" s="80"/>
      <c r="H203" s="46"/>
      <c r="I203" s="47"/>
      <c r="J203" s="49"/>
      <c r="K203" s="51"/>
      <c r="L203" s="51"/>
      <c r="M203" s="51"/>
      <c r="N203" s="49"/>
      <c r="O203" s="49"/>
      <c r="P203" s="49"/>
      <c r="Q203" s="49"/>
      <c r="R203" s="52"/>
      <c r="S203" s="49"/>
      <c r="T203" s="49"/>
      <c r="U203" s="49"/>
      <c r="V203" s="49"/>
      <c r="W203" s="49"/>
      <c r="X203" s="49"/>
      <c r="Y203" s="73"/>
      <c r="Z203" s="47"/>
      <c r="AA203" s="80"/>
      <c r="AB203" s="46"/>
      <c r="AC203" s="57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</row>
    <row r="204" ht="19.5" customHeight="1">
      <c r="A204" s="34"/>
      <c r="B204" s="24"/>
      <c r="C204" s="23"/>
      <c r="D204" s="58"/>
      <c r="E204" s="58"/>
      <c r="F204" s="59"/>
      <c r="G204" s="60"/>
      <c r="H204" s="58"/>
      <c r="I204" s="59"/>
      <c r="J204" s="61"/>
      <c r="K204" s="62" t="s">
        <v>46</v>
      </c>
      <c r="L204" s="63" t="s">
        <v>47</v>
      </c>
      <c r="M204" s="24"/>
      <c r="N204" s="24"/>
      <c r="O204" s="24"/>
      <c r="P204" s="61" t="s">
        <v>48</v>
      </c>
      <c r="Q204" s="64"/>
      <c r="R204" s="65"/>
      <c r="S204" s="66" t="s">
        <v>50</v>
      </c>
      <c r="T204" s="24"/>
      <c r="U204" s="23"/>
      <c r="V204" s="61" t="s">
        <v>51</v>
      </c>
      <c r="W204" s="61"/>
      <c r="X204" s="61"/>
      <c r="Y204" s="60"/>
      <c r="Z204" s="59"/>
      <c r="AA204" s="60"/>
      <c r="AB204" s="58"/>
      <c r="AC204" s="67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</row>
    <row r="205" ht="19.5" customHeight="1">
      <c r="A205" s="44"/>
      <c r="B205" s="6"/>
      <c r="C205" s="5"/>
      <c r="D205" s="45"/>
      <c r="E205" s="46"/>
      <c r="F205" s="47"/>
      <c r="G205" s="80"/>
      <c r="H205" s="46"/>
      <c r="I205" s="47"/>
      <c r="J205" s="49"/>
      <c r="K205" s="51"/>
      <c r="L205" s="51"/>
      <c r="M205" s="51"/>
      <c r="N205" s="49"/>
      <c r="O205" s="49"/>
      <c r="P205" s="49"/>
      <c r="Q205" s="49"/>
      <c r="R205" s="52"/>
      <c r="S205" s="49"/>
      <c r="T205" s="49"/>
      <c r="U205" s="49"/>
      <c r="V205" s="49"/>
      <c r="W205" s="49"/>
      <c r="X205" s="49"/>
      <c r="Y205" s="73"/>
      <c r="Z205" s="47"/>
      <c r="AA205" s="80"/>
      <c r="AB205" s="46"/>
      <c r="AC205" s="57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</row>
    <row r="206" ht="19.5" customHeight="1">
      <c r="A206" s="34"/>
      <c r="B206" s="24"/>
      <c r="C206" s="23"/>
      <c r="D206" s="58"/>
      <c r="E206" s="58"/>
      <c r="F206" s="59"/>
      <c r="G206" s="60"/>
      <c r="H206" s="58"/>
      <c r="I206" s="59"/>
      <c r="J206" s="61"/>
      <c r="K206" s="62" t="s">
        <v>46</v>
      </c>
      <c r="L206" s="63" t="s">
        <v>47</v>
      </c>
      <c r="M206" s="24"/>
      <c r="N206" s="24"/>
      <c r="O206" s="24"/>
      <c r="P206" s="61" t="s">
        <v>48</v>
      </c>
      <c r="Q206" s="64"/>
      <c r="R206" s="65"/>
      <c r="S206" s="66" t="s">
        <v>50</v>
      </c>
      <c r="T206" s="24"/>
      <c r="U206" s="23"/>
      <c r="V206" s="61" t="s">
        <v>51</v>
      </c>
      <c r="W206" s="61"/>
      <c r="X206" s="61"/>
      <c r="Y206" s="60"/>
      <c r="Z206" s="59"/>
      <c r="AA206" s="60"/>
      <c r="AB206" s="58"/>
      <c r="AC206" s="67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</row>
    <row r="207" ht="19.5" customHeight="1">
      <c r="A207" s="44"/>
      <c r="B207" s="6"/>
      <c r="C207" s="5"/>
      <c r="D207" s="45"/>
      <c r="E207" s="46"/>
      <c r="F207" s="47"/>
      <c r="G207" s="80"/>
      <c r="H207" s="46"/>
      <c r="I207" s="47"/>
      <c r="J207" s="49"/>
      <c r="K207" s="51"/>
      <c r="L207" s="51"/>
      <c r="M207" s="51"/>
      <c r="N207" s="49"/>
      <c r="O207" s="49"/>
      <c r="P207" s="49"/>
      <c r="Q207" s="49"/>
      <c r="R207" s="52"/>
      <c r="S207" s="49"/>
      <c r="T207" s="49"/>
      <c r="U207" s="49"/>
      <c r="V207" s="49"/>
      <c r="W207" s="49"/>
      <c r="X207" s="49"/>
      <c r="Y207" s="73"/>
      <c r="Z207" s="47"/>
      <c r="AA207" s="80"/>
      <c r="AB207" s="46"/>
      <c r="AC207" s="57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</row>
    <row r="208" ht="19.5" customHeight="1">
      <c r="A208" s="34"/>
      <c r="B208" s="24"/>
      <c r="C208" s="23"/>
      <c r="D208" s="58"/>
      <c r="E208" s="58"/>
      <c r="F208" s="59"/>
      <c r="G208" s="60"/>
      <c r="H208" s="58"/>
      <c r="I208" s="59"/>
      <c r="J208" s="61"/>
      <c r="K208" s="62" t="s">
        <v>46</v>
      </c>
      <c r="L208" s="63" t="s">
        <v>47</v>
      </c>
      <c r="M208" s="24"/>
      <c r="N208" s="24"/>
      <c r="O208" s="24"/>
      <c r="P208" s="61" t="s">
        <v>48</v>
      </c>
      <c r="Q208" s="64"/>
      <c r="R208" s="65"/>
      <c r="S208" s="66" t="s">
        <v>50</v>
      </c>
      <c r="T208" s="24"/>
      <c r="U208" s="23"/>
      <c r="V208" s="61" t="s">
        <v>51</v>
      </c>
      <c r="W208" s="61"/>
      <c r="X208" s="61"/>
      <c r="Y208" s="60"/>
      <c r="Z208" s="59"/>
      <c r="AA208" s="60"/>
      <c r="AB208" s="58"/>
      <c r="AC208" s="67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</row>
    <row r="209" ht="19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</row>
    <row r="210" ht="19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</row>
    <row r="211" ht="19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</row>
    <row r="212" ht="19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</row>
    <row r="213" ht="19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</row>
    <row r="214" ht="19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</row>
    <row r="215" ht="19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</row>
    <row r="216" ht="19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</row>
    <row r="217" ht="19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</row>
    <row r="218" ht="19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</row>
    <row r="219" ht="19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</row>
    <row r="220" ht="19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</row>
    <row r="221" ht="19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</row>
    <row r="222" ht="19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</row>
    <row r="223" ht="19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</row>
    <row r="224" ht="19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</row>
    <row r="225" ht="19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</row>
    <row r="226" ht="19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</row>
    <row r="227" ht="19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</row>
    <row r="228" ht="19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</row>
    <row r="229" ht="19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</row>
    <row r="230" ht="19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</row>
    <row r="231" ht="19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</row>
    <row r="232" ht="19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</row>
    <row r="233" ht="19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</row>
    <row r="234" ht="19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</row>
    <row r="235" ht="19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</row>
    <row r="236" ht="19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</row>
    <row r="237" ht="19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</row>
    <row r="238" ht="19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</row>
    <row r="239" ht="19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</row>
    <row r="240" ht="19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</row>
    <row r="241" ht="19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</row>
    <row r="242" ht="19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</row>
    <row r="243" ht="19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</row>
    <row r="244" ht="19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</row>
    <row r="245" ht="19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</row>
    <row r="246" ht="19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</row>
    <row r="247" ht="19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</row>
    <row r="248" ht="19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</row>
    <row r="249" ht="19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</row>
    <row r="250" ht="19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</row>
    <row r="251" ht="19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</row>
    <row r="252" ht="19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</row>
    <row r="253" ht="19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</row>
    <row r="254" ht="19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</row>
    <row r="255" ht="19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</row>
    <row r="256" ht="19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</row>
    <row r="257" ht="19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</row>
    <row r="258" ht="19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</row>
    <row r="259" ht="19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</row>
    <row r="260" ht="19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</row>
    <row r="261" ht="19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</row>
    <row r="262" ht="19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</row>
    <row r="263" ht="19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</row>
    <row r="264" ht="19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</row>
    <row r="265" ht="19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</row>
    <row r="266" ht="19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</row>
    <row r="267" ht="19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</row>
    <row r="268" ht="19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</row>
    <row r="269" ht="19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</row>
    <row r="270" ht="19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</row>
    <row r="271" ht="19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</row>
    <row r="272" ht="19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</row>
    <row r="273" ht="19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</row>
    <row r="274" ht="19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</row>
    <row r="275" ht="19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</row>
    <row r="276" ht="19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</row>
    <row r="277" ht="19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</row>
    <row r="278" ht="19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</row>
    <row r="279" ht="19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</row>
    <row r="280" ht="19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</row>
    <row r="281" ht="19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</row>
    <row r="282" ht="19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</row>
    <row r="283" ht="19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</row>
    <row r="284" ht="19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</row>
    <row r="285" ht="19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</row>
    <row r="286" ht="19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</row>
    <row r="287" ht="19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</row>
    <row r="288" ht="19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</row>
    <row r="289" ht="19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</row>
    <row r="290" ht="19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</row>
    <row r="291" ht="19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</row>
    <row r="292" ht="19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</row>
    <row r="293" ht="19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</row>
    <row r="294" ht="19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</row>
    <row r="295" ht="19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</row>
    <row r="296" ht="19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</row>
    <row r="297" ht="19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</row>
    <row r="298" ht="19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</row>
    <row r="299" ht="19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</row>
    <row r="300" ht="19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</row>
    <row r="301" ht="19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</row>
    <row r="302" ht="19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</row>
    <row r="303" ht="19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</row>
    <row r="304" ht="19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</row>
    <row r="305" ht="19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</row>
    <row r="306" ht="19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</row>
    <row r="307" ht="19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</row>
    <row r="308" ht="19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</row>
    <row r="309" ht="19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</row>
    <row r="310" ht="19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</row>
    <row r="311" ht="19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</row>
    <row r="312" ht="19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</row>
    <row r="313" ht="19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</row>
    <row r="314" ht="19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</row>
    <row r="315" ht="19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</row>
    <row r="316" ht="19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</row>
    <row r="317" ht="19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</row>
    <row r="318" ht="19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</row>
    <row r="319" ht="19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</row>
    <row r="320" ht="19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</row>
    <row r="321" ht="19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</row>
    <row r="322" ht="19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</row>
    <row r="323" ht="19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</row>
    <row r="324" ht="19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</row>
    <row r="325" ht="19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</row>
    <row r="326" ht="19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</row>
    <row r="327" ht="19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</row>
    <row r="328" ht="19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</row>
    <row r="329" ht="19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</row>
    <row r="330" ht="19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</row>
    <row r="331" ht="19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</row>
    <row r="332" ht="19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</row>
    <row r="333" ht="19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</row>
    <row r="334" ht="19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</row>
    <row r="335" ht="19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</row>
    <row r="336" ht="19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</row>
    <row r="337" ht="19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</row>
    <row r="338" ht="19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</row>
    <row r="339" ht="19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</row>
    <row r="340" ht="19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</row>
    <row r="341" ht="19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</row>
    <row r="342" ht="19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</row>
    <row r="343" ht="19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</row>
    <row r="344" ht="19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</row>
    <row r="345" ht="19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</row>
    <row r="346" ht="19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</row>
    <row r="347" ht="19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</row>
    <row r="348" ht="19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</row>
    <row r="349" ht="19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</row>
    <row r="350" ht="19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</row>
    <row r="351" ht="19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</row>
    <row r="352" ht="19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</row>
    <row r="353" ht="19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</row>
    <row r="354" ht="19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</row>
    <row r="355" ht="19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</row>
    <row r="356" ht="19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</row>
    <row r="357" ht="19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</row>
    <row r="358" ht="19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</row>
    <row r="359" ht="19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</row>
    <row r="360" ht="19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</row>
    <row r="361" ht="19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</row>
    <row r="362" ht="19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</row>
    <row r="363" ht="19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</row>
    <row r="364" ht="19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</row>
    <row r="365" ht="19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</row>
    <row r="366" ht="19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</row>
    <row r="367" ht="19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</row>
    <row r="368" ht="19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</row>
    <row r="369" ht="19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</row>
    <row r="370" ht="19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</row>
    <row r="371" ht="19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</row>
    <row r="372" ht="19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</row>
    <row r="373" ht="19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</row>
    <row r="374" ht="19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</row>
    <row r="375" ht="19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</row>
    <row r="376" ht="19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</row>
    <row r="377" ht="19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</row>
    <row r="378" ht="19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</row>
    <row r="379" ht="19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</row>
    <row r="380" ht="19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</row>
    <row r="381" ht="19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</row>
    <row r="382" ht="19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</row>
    <row r="383" ht="19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</row>
    <row r="384" ht="19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</row>
    <row r="385" ht="19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</row>
    <row r="386" ht="19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</row>
    <row r="387" ht="19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</row>
    <row r="388" ht="19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</row>
    <row r="389" ht="19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</row>
    <row r="390" ht="19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</row>
    <row r="391" ht="19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</row>
    <row r="392" ht="19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</row>
    <row r="393" ht="19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</row>
    <row r="394" ht="19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</row>
    <row r="395" ht="19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</row>
    <row r="396" ht="19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</row>
    <row r="397" ht="19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</row>
    <row r="398" ht="19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</row>
    <row r="399" ht="19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</row>
    <row r="400" ht="19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</row>
    <row r="401" ht="19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</row>
    <row r="402" ht="19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</row>
    <row r="403" ht="19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</row>
    <row r="404" ht="19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</row>
    <row r="405" ht="19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</row>
    <row r="406" ht="19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</row>
    <row r="407" ht="19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</row>
    <row r="408" ht="19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</row>
    <row r="409" ht="19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</row>
    <row r="410" ht="19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</row>
    <row r="411" ht="19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</row>
    <row r="412" ht="19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</row>
    <row r="413" ht="19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</row>
    <row r="414" ht="19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</row>
    <row r="415" ht="19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</row>
    <row r="416" ht="19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</row>
    <row r="417" ht="19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</row>
    <row r="418" ht="19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</row>
    <row r="419" ht="19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</row>
    <row r="420" ht="19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</row>
    <row r="421" ht="19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</row>
    <row r="422" ht="19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</row>
    <row r="423" ht="19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</row>
    <row r="424" ht="19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</row>
    <row r="425" ht="19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</row>
    <row r="426" ht="19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</row>
    <row r="427" ht="19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</row>
    <row r="428" ht="19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</row>
    <row r="429" ht="19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</row>
    <row r="430" ht="19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</row>
    <row r="431" ht="19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</row>
    <row r="432" ht="19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</row>
    <row r="433" ht="19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</row>
    <row r="434" ht="19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</row>
    <row r="435" ht="19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</row>
    <row r="436" ht="19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</row>
    <row r="437" ht="19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</row>
    <row r="438" ht="19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</row>
    <row r="439" ht="19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</row>
    <row r="440" ht="19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</row>
    <row r="441" ht="19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</row>
    <row r="442" ht="19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</row>
    <row r="443" ht="19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</row>
    <row r="444" ht="19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</row>
    <row r="445" ht="19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</row>
    <row r="446" ht="19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</row>
    <row r="447" ht="19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</row>
    <row r="448" ht="19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</row>
    <row r="449" ht="19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</row>
    <row r="450" ht="19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</row>
    <row r="451" ht="19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</row>
    <row r="452" ht="19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</row>
    <row r="453" ht="19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</row>
    <row r="454" ht="19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</row>
    <row r="455" ht="19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</row>
    <row r="456" ht="19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</row>
    <row r="457" ht="19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</row>
    <row r="458" ht="19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</row>
    <row r="459" ht="19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</row>
    <row r="460" ht="19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</row>
    <row r="461" ht="19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</row>
    <row r="462" ht="19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</row>
    <row r="463" ht="19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</row>
    <row r="464" ht="19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</row>
    <row r="465" ht="19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</row>
    <row r="466" ht="19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</row>
    <row r="467" ht="19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</row>
    <row r="468" ht="19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</row>
    <row r="469" ht="19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</row>
    <row r="470" ht="19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</row>
    <row r="471" ht="19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</row>
    <row r="472" ht="19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</row>
    <row r="473" ht="19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</row>
    <row r="474" ht="19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</row>
    <row r="475" ht="19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</row>
    <row r="476" ht="19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</row>
    <row r="477" ht="19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</row>
    <row r="478" ht="19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</row>
    <row r="479" ht="19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</row>
    <row r="480" ht="19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</row>
    <row r="481" ht="19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</row>
    <row r="482" ht="19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</row>
    <row r="483" ht="19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</row>
    <row r="484" ht="19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</row>
    <row r="485" ht="19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</row>
    <row r="486" ht="19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</row>
    <row r="487" ht="19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</row>
    <row r="488" ht="19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</row>
    <row r="489" ht="19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</row>
    <row r="490" ht="19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</row>
    <row r="491" ht="19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</row>
    <row r="492" ht="19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</row>
    <row r="493" ht="19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</row>
    <row r="494" ht="19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</row>
    <row r="495" ht="19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</row>
    <row r="496" ht="19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</row>
    <row r="497" ht="19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</row>
    <row r="498" ht="19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</row>
    <row r="499" ht="19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</row>
    <row r="500" ht="19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</row>
    <row r="501" ht="19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</row>
    <row r="502" ht="19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</row>
    <row r="503" ht="19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</row>
    <row r="504" ht="19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</row>
    <row r="505" ht="19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</row>
    <row r="506" ht="19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</row>
    <row r="507" ht="19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</row>
    <row r="508" ht="19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</row>
    <row r="509" ht="19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</row>
    <row r="510" ht="19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</row>
    <row r="511" ht="19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</row>
    <row r="512" ht="19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</row>
    <row r="513" ht="19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</row>
    <row r="514" ht="19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</row>
    <row r="515" ht="19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</row>
    <row r="516" ht="19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</row>
    <row r="517" ht="19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</row>
    <row r="518" ht="19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</row>
    <row r="519" ht="19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</row>
    <row r="520" ht="19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</row>
    <row r="521" ht="19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</row>
    <row r="522" ht="19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</row>
    <row r="523" ht="19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</row>
    <row r="524" ht="19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</row>
    <row r="525" ht="19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</row>
    <row r="526" ht="19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</row>
    <row r="527" ht="19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</row>
    <row r="528" ht="19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</row>
    <row r="529" ht="19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</row>
    <row r="530" ht="19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</row>
    <row r="531" ht="19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</row>
    <row r="532" ht="19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</row>
    <row r="533" ht="19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</row>
    <row r="534" ht="19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</row>
    <row r="535" ht="19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</row>
    <row r="536" ht="19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</row>
    <row r="537" ht="19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</row>
    <row r="538" ht="19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</row>
    <row r="539" ht="19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</row>
    <row r="540" ht="19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</row>
    <row r="541" ht="19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</row>
    <row r="542" ht="19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</row>
    <row r="543" ht="19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</row>
    <row r="544" ht="19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</row>
    <row r="545" ht="19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</row>
    <row r="546" ht="19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</row>
    <row r="547" ht="19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</row>
    <row r="548" ht="19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</row>
    <row r="549" ht="19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</row>
    <row r="550" ht="19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</row>
    <row r="551" ht="19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</row>
    <row r="552" ht="19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</row>
    <row r="553" ht="19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</row>
    <row r="554" ht="19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</row>
    <row r="555" ht="19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</row>
    <row r="556" ht="19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</row>
    <row r="557" ht="19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</row>
    <row r="558" ht="19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</row>
    <row r="559" ht="19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</row>
    <row r="560" ht="19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</row>
    <row r="561" ht="19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</row>
    <row r="562" ht="19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</row>
    <row r="563" ht="19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</row>
    <row r="564" ht="19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</row>
    <row r="565" ht="19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</row>
    <row r="566" ht="19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</row>
    <row r="567" ht="19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</row>
    <row r="568" ht="19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</row>
    <row r="569" ht="19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</row>
    <row r="570" ht="19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</row>
    <row r="571" ht="19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</row>
    <row r="572" ht="19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</row>
    <row r="573" ht="19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</row>
    <row r="574" ht="19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</row>
    <row r="575" ht="19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</row>
    <row r="576" ht="19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</row>
    <row r="577" ht="19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</row>
    <row r="578" ht="19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</row>
    <row r="579" ht="19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</row>
    <row r="580" ht="19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</row>
    <row r="581" ht="19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</row>
    <row r="582" ht="19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</row>
    <row r="583" ht="19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</row>
    <row r="584" ht="19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</row>
    <row r="585" ht="19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</row>
    <row r="586" ht="19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</row>
    <row r="587" ht="19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</row>
    <row r="588" ht="19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</row>
    <row r="589" ht="19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</row>
    <row r="590" ht="19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</row>
    <row r="591" ht="19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</row>
    <row r="592" ht="19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</row>
    <row r="593" ht="19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</row>
    <row r="594" ht="19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</row>
    <row r="595" ht="19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</row>
    <row r="596" ht="19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</row>
    <row r="597" ht="19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</row>
    <row r="598" ht="19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</row>
    <row r="599" ht="19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</row>
    <row r="600" ht="19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</row>
    <row r="601" ht="19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</row>
    <row r="602" ht="19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</row>
    <row r="603" ht="19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</row>
    <row r="604" ht="19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</row>
    <row r="605" ht="19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</row>
    <row r="606" ht="19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</row>
    <row r="607" ht="19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</row>
    <row r="608" ht="19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</row>
    <row r="609" ht="19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</row>
    <row r="610" ht="19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</row>
    <row r="611" ht="19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</row>
    <row r="612" ht="19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</row>
    <row r="613" ht="19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</row>
    <row r="614" ht="19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</row>
    <row r="615" ht="19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</row>
    <row r="616" ht="19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</row>
    <row r="617" ht="19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</row>
    <row r="618" ht="19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</row>
    <row r="619" ht="19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</row>
    <row r="620" ht="19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</row>
    <row r="621" ht="19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</row>
    <row r="622" ht="19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</row>
    <row r="623" ht="19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</row>
    <row r="624" ht="19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</row>
    <row r="625" ht="19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</row>
    <row r="626" ht="19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</row>
    <row r="627" ht="19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</row>
    <row r="628" ht="19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</row>
    <row r="629" ht="19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</row>
    <row r="630" ht="19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</row>
    <row r="631" ht="19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</row>
    <row r="632" ht="19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</row>
    <row r="633" ht="19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</row>
    <row r="634" ht="19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</row>
    <row r="635" ht="19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</row>
    <row r="636" ht="19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</row>
    <row r="637" ht="19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</row>
    <row r="638" ht="19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</row>
    <row r="639" ht="19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</row>
    <row r="640" ht="19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</row>
    <row r="641" ht="19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</row>
    <row r="642" ht="19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</row>
    <row r="643" ht="19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</row>
    <row r="644" ht="19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</row>
    <row r="645" ht="19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</row>
    <row r="646" ht="19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</row>
    <row r="647" ht="19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</row>
    <row r="648" ht="19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</row>
    <row r="649" ht="19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</row>
    <row r="650" ht="19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</row>
    <row r="651" ht="19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</row>
    <row r="652" ht="19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</row>
    <row r="653" ht="19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</row>
    <row r="654" ht="19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</row>
    <row r="655" ht="19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</row>
    <row r="656" ht="19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</row>
    <row r="657" ht="19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</row>
    <row r="658" ht="19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</row>
    <row r="659" ht="19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</row>
    <row r="660" ht="19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</row>
    <row r="661" ht="19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</row>
    <row r="662" ht="19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</row>
    <row r="663" ht="19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</row>
    <row r="664" ht="19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</row>
    <row r="665" ht="19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</row>
    <row r="666" ht="19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</row>
    <row r="667" ht="19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</row>
    <row r="668" ht="19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</row>
    <row r="669" ht="19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</row>
    <row r="670" ht="19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</row>
    <row r="671" ht="19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</row>
    <row r="672" ht="19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</row>
    <row r="673" ht="19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</row>
    <row r="674" ht="19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</row>
    <row r="675" ht="19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</row>
    <row r="676" ht="19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</row>
    <row r="677" ht="19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</row>
    <row r="678" ht="19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</row>
    <row r="679" ht="19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</row>
    <row r="680" ht="19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</row>
    <row r="681" ht="19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</row>
    <row r="682" ht="19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</row>
    <row r="683" ht="19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</row>
    <row r="684" ht="19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</row>
    <row r="685" ht="19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</row>
    <row r="686" ht="19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</row>
    <row r="687" ht="19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</row>
    <row r="688" ht="19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</row>
    <row r="689" ht="19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</row>
    <row r="690" ht="19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</row>
    <row r="691" ht="19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</row>
    <row r="692" ht="19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</row>
    <row r="693" ht="19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</row>
    <row r="694" ht="19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</row>
    <row r="695" ht="19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</row>
    <row r="696" ht="19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</row>
    <row r="697" ht="19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</row>
    <row r="698" ht="19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</row>
    <row r="699" ht="19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</row>
    <row r="700" ht="19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</row>
    <row r="701" ht="19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</row>
    <row r="702" ht="19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</row>
    <row r="703" ht="19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</row>
    <row r="704" ht="19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</row>
    <row r="705" ht="19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</row>
    <row r="706" ht="19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</row>
    <row r="707" ht="19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</row>
    <row r="708" ht="19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</row>
    <row r="709" ht="19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</row>
    <row r="710" ht="19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</row>
    <row r="711" ht="19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</row>
    <row r="712" ht="19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</row>
    <row r="713" ht="19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</row>
    <row r="714" ht="19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</row>
    <row r="715" ht="19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</row>
    <row r="716" ht="19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</row>
    <row r="717" ht="19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</row>
    <row r="718" ht="19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</row>
    <row r="719" ht="19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</row>
    <row r="720" ht="19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</row>
    <row r="721" ht="19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</row>
    <row r="722" ht="19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</row>
    <row r="723" ht="19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</row>
    <row r="724" ht="19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</row>
    <row r="725" ht="19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</row>
    <row r="726" ht="19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</row>
    <row r="727" ht="19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</row>
    <row r="728" ht="19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</row>
    <row r="729" ht="19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</row>
    <row r="730" ht="19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</row>
    <row r="731" ht="19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</row>
    <row r="732" ht="19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</row>
    <row r="733" ht="19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</row>
    <row r="734" ht="19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</row>
    <row r="735" ht="19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</row>
    <row r="736" ht="19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</row>
    <row r="737" ht="19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</row>
    <row r="738" ht="19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</row>
    <row r="739" ht="19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</row>
    <row r="740" ht="19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</row>
    <row r="741" ht="19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</row>
    <row r="742" ht="19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</row>
    <row r="743" ht="19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</row>
    <row r="744" ht="19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</row>
    <row r="745" ht="19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</row>
    <row r="746" ht="19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</row>
    <row r="747" ht="19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</row>
    <row r="748" ht="19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</row>
    <row r="749" ht="19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</row>
    <row r="750" ht="19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</row>
    <row r="751" ht="19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</row>
    <row r="752" ht="19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</row>
    <row r="753" ht="19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</row>
    <row r="754" ht="19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</row>
    <row r="755" ht="19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</row>
    <row r="756" ht="19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</row>
    <row r="757" ht="19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</row>
    <row r="758" ht="19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</row>
    <row r="759" ht="19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</row>
    <row r="760" ht="19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</row>
    <row r="761" ht="19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</row>
    <row r="762" ht="19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</row>
    <row r="763" ht="19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</row>
    <row r="764" ht="19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</row>
    <row r="765" ht="19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</row>
    <row r="766" ht="19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</row>
    <row r="767" ht="19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</row>
    <row r="768" ht="19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</row>
    <row r="769" ht="19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</row>
    <row r="770" ht="19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</row>
    <row r="771" ht="19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</row>
    <row r="772" ht="19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</row>
    <row r="773" ht="19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</row>
    <row r="774" ht="19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</row>
    <row r="775" ht="19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</row>
    <row r="776" ht="19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</row>
    <row r="777" ht="19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</row>
    <row r="778" ht="19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</row>
    <row r="779" ht="19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</row>
    <row r="780" ht="19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</row>
    <row r="781" ht="19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</row>
    <row r="782" ht="19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</row>
    <row r="783" ht="19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</row>
    <row r="784" ht="19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</row>
    <row r="785" ht="19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</row>
    <row r="786" ht="19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</row>
    <row r="787" ht="19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</row>
    <row r="788" ht="19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</row>
    <row r="789" ht="19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</row>
    <row r="790" ht="19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</row>
    <row r="791" ht="19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</row>
    <row r="792" ht="19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</row>
    <row r="793" ht="19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</row>
    <row r="794" ht="19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</row>
    <row r="795" ht="19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</row>
    <row r="796" ht="19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</row>
    <row r="797" ht="19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</row>
    <row r="798" ht="19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</row>
    <row r="799" ht="19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</row>
    <row r="800" ht="19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</row>
    <row r="801" ht="19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</row>
    <row r="802" ht="19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</row>
    <row r="803" ht="19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</row>
    <row r="804" ht="19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</row>
    <row r="805" ht="19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</row>
    <row r="806" ht="19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</row>
    <row r="807" ht="19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</row>
    <row r="808" ht="19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</row>
    <row r="809" ht="19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</row>
    <row r="810" ht="19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</row>
    <row r="811" ht="19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</row>
    <row r="812" ht="19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</row>
    <row r="813" ht="19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</row>
    <row r="814" ht="19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</row>
    <row r="815" ht="19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</row>
    <row r="816" ht="19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</row>
    <row r="817" ht="19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</row>
    <row r="818" ht="19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</row>
    <row r="819" ht="19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</row>
    <row r="820" ht="19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</row>
    <row r="821" ht="19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</row>
    <row r="822" ht="19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</row>
    <row r="823" ht="19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</row>
    <row r="824" ht="19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</row>
    <row r="825" ht="19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</row>
    <row r="826" ht="19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</row>
    <row r="827" ht="19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</row>
    <row r="828" ht="19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</row>
    <row r="829" ht="19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</row>
    <row r="830" ht="19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</row>
    <row r="831" ht="19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</row>
    <row r="832" ht="19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</row>
    <row r="833" ht="19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</row>
    <row r="834" ht="19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</row>
    <row r="835" ht="19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</row>
    <row r="836" ht="19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</row>
    <row r="837" ht="19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</row>
    <row r="838" ht="19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</row>
    <row r="839" ht="19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</row>
    <row r="840" ht="19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</row>
    <row r="841" ht="19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</row>
    <row r="842" ht="19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</row>
    <row r="843" ht="19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</row>
    <row r="844" ht="19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</row>
    <row r="845" ht="19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</row>
    <row r="846" ht="19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</row>
    <row r="847" ht="19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</row>
    <row r="848" ht="19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</row>
    <row r="849" ht="19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</row>
    <row r="850" ht="19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</row>
    <row r="851" ht="19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</row>
    <row r="852" ht="19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</row>
    <row r="853" ht="19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</row>
    <row r="854" ht="19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</row>
    <row r="855" ht="19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</row>
    <row r="856" ht="19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</row>
    <row r="857" ht="19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</row>
    <row r="858" ht="19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</row>
    <row r="859" ht="19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</row>
    <row r="860" ht="19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</row>
    <row r="861" ht="19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</row>
    <row r="862" ht="19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</row>
    <row r="863" ht="19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</row>
    <row r="864" ht="19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</row>
    <row r="865" ht="19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</row>
    <row r="866" ht="19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</row>
    <row r="867" ht="19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</row>
    <row r="868" ht="19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</row>
    <row r="869" ht="19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</row>
    <row r="870" ht="19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</row>
    <row r="871" ht="19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</row>
    <row r="872" ht="19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</row>
    <row r="873" ht="19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</row>
    <row r="874" ht="19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</row>
    <row r="875" ht="19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</row>
    <row r="876" ht="19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</row>
    <row r="877" ht="19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</row>
    <row r="878" ht="19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</row>
    <row r="879" ht="19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</row>
    <row r="880" ht="19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</row>
    <row r="881" ht="19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</row>
    <row r="882" ht="19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</row>
    <row r="883" ht="19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</row>
    <row r="884" ht="19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</row>
    <row r="885" ht="19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</row>
    <row r="886" ht="19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</row>
    <row r="887" ht="19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</row>
    <row r="888" ht="19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</row>
    <row r="889" ht="19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</row>
    <row r="890" ht="19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</row>
    <row r="891" ht="19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</row>
    <row r="892" ht="19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</row>
    <row r="893" ht="19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</row>
    <row r="894" ht="19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</row>
    <row r="895" ht="19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</row>
    <row r="896" ht="19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</row>
    <row r="897" ht="19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</row>
    <row r="898" ht="19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</row>
    <row r="899" ht="19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</row>
    <row r="900" ht="19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</row>
    <row r="901" ht="19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</row>
    <row r="902" ht="19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</row>
    <row r="903" ht="19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</row>
    <row r="904" ht="19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</row>
    <row r="905" ht="19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</row>
    <row r="906" ht="19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</row>
    <row r="907" ht="19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</row>
    <row r="908" ht="19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</row>
    <row r="909" ht="19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</row>
    <row r="910" ht="19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</row>
    <row r="911" ht="19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</row>
    <row r="912" ht="19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</row>
    <row r="913" ht="19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</row>
    <row r="914" ht="19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</row>
    <row r="915" ht="19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</row>
    <row r="916" ht="19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</row>
    <row r="917" ht="19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</row>
    <row r="918" ht="19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</row>
    <row r="919" ht="19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</row>
    <row r="920" ht="19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</row>
    <row r="921" ht="19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</row>
    <row r="922" ht="19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</row>
    <row r="923" ht="19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</row>
    <row r="924" ht="19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</row>
    <row r="925" ht="19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</row>
    <row r="926" ht="19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</row>
    <row r="927" ht="19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</row>
    <row r="928" ht="19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</row>
    <row r="929" ht="19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</row>
    <row r="930" ht="19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</row>
    <row r="931" ht="19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</row>
    <row r="932" ht="19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</row>
    <row r="933" ht="19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</row>
    <row r="934" ht="19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</row>
    <row r="935" ht="19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</row>
    <row r="936" ht="19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</row>
    <row r="937" ht="19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</row>
    <row r="938" ht="19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</row>
    <row r="939" ht="19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</row>
    <row r="940" ht="19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</row>
    <row r="941" ht="19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</row>
    <row r="942" ht="19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</row>
    <row r="943" ht="19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</row>
    <row r="944" ht="19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</row>
    <row r="945" ht="19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</row>
    <row r="946" ht="19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</row>
    <row r="947" ht="19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</row>
    <row r="948" ht="19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</row>
    <row r="949" ht="19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</row>
    <row r="950" ht="19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</row>
    <row r="951" ht="19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</row>
    <row r="952" ht="19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</row>
    <row r="953" ht="19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</row>
    <row r="954" ht="19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</row>
    <row r="955" ht="19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</row>
    <row r="956" ht="19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</row>
    <row r="957" ht="19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</row>
    <row r="958" ht="19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</row>
    <row r="959" ht="19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</row>
    <row r="960" ht="19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</row>
    <row r="961" ht="19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</row>
    <row r="962" ht="19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</row>
    <row r="963" ht="19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</row>
    <row r="964" ht="19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</row>
    <row r="965" ht="19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</row>
    <row r="966" ht="19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</row>
    <row r="967" ht="19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</row>
    <row r="968" ht="19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</row>
    <row r="969" ht="19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</row>
    <row r="970" ht="19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</row>
    <row r="971" ht="19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</row>
    <row r="972" ht="19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</row>
    <row r="973" ht="19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</row>
    <row r="974" ht="19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</row>
    <row r="975" ht="19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</row>
    <row r="976" ht="19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</row>
    <row r="977" ht="19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</row>
    <row r="978" ht="19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</row>
    <row r="979" ht="19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</row>
    <row r="980" ht="19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</row>
    <row r="981" ht="19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</row>
    <row r="982" ht="19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</row>
    <row r="983" ht="19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</row>
    <row r="984" ht="19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</row>
    <row r="985" ht="19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</row>
    <row r="986" ht="19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</row>
    <row r="987" ht="19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</row>
    <row r="988" ht="19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</row>
    <row r="989" ht="19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</row>
    <row r="990" ht="19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</row>
    <row r="991" ht="19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</row>
    <row r="992" ht="19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</row>
    <row r="993" ht="19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</row>
    <row r="994" ht="19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</row>
    <row r="995" ht="19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</row>
    <row r="996" ht="19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</row>
    <row r="997" ht="19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</row>
    <row r="998" ht="19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</row>
    <row r="999" ht="19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</row>
    <row r="1000" ht="19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</row>
  </sheetData>
  <mergeCells count="945">
    <mergeCell ref="R27:R28"/>
    <mergeCell ref="R29:R30"/>
    <mergeCell ref="S30:U30"/>
    <mergeCell ref="R31:R32"/>
    <mergeCell ref="S32:U32"/>
    <mergeCell ref="R33:R34"/>
    <mergeCell ref="S34:U34"/>
    <mergeCell ref="R41:R42"/>
    <mergeCell ref="R43:R44"/>
    <mergeCell ref="R45:R46"/>
    <mergeCell ref="R47:R48"/>
    <mergeCell ref="S44:U44"/>
    <mergeCell ref="S46:U46"/>
    <mergeCell ref="S48:U48"/>
    <mergeCell ref="R35:R36"/>
    <mergeCell ref="S36:U36"/>
    <mergeCell ref="R37:R38"/>
    <mergeCell ref="S38:U38"/>
    <mergeCell ref="R39:R40"/>
    <mergeCell ref="S40:U40"/>
    <mergeCell ref="S42:U42"/>
    <mergeCell ref="R17:R18"/>
    <mergeCell ref="S18:U18"/>
    <mergeCell ref="R19:R20"/>
    <mergeCell ref="AA19:AC20"/>
    <mergeCell ref="AD19:AD20"/>
    <mergeCell ref="S20:U20"/>
    <mergeCell ref="S22:U22"/>
    <mergeCell ref="AA21:AC22"/>
    <mergeCell ref="AD21:AD22"/>
    <mergeCell ref="Y23:Z24"/>
    <mergeCell ref="AA23:AC24"/>
    <mergeCell ref="AD23:AD24"/>
    <mergeCell ref="AA25:AC26"/>
    <mergeCell ref="AD25:AD26"/>
    <mergeCell ref="R21:R22"/>
    <mergeCell ref="R23:R24"/>
    <mergeCell ref="L24:O24"/>
    <mergeCell ref="S24:U24"/>
    <mergeCell ref="R25:R26"/>
    <mergeCell ref="S26:U26"/>
    <mergeCell ref="S28:U28"/>
    <mergeCell ref="Y39:Z40"/>
    <mergeCell ref="Y41:Z42"/>
    <mergeCell ref="Y43:Z44"/>
    <mergeCell ref="L44:O44"/>
    <mergeCell ref="L46:O46"/>
    <mergeCell ref="L48:O48"/>
    <mergeCell ref="Y45:Z46"/>
    <mergeCell ref="Y47:Z48"/>
    <mergeCell ref="Y25:Z26"/>
    <mergeCell ref="Y27:Z28"/>
    <mergeCell ref="Y29:Z30"/>
    <mergeCell ref="Y31:Z32"/>
    <mergeCell ref="Y33:Z34"/>
    <mergeCell ref="Y35:Z36"/>
    <mergeCell ref="Y37:Z38"/>
    <mergeCell ref="AA45:AC46"/>
    <mergeCell ref="AA47:AC48"/>
    <mergeCell ref="AA85:AC86"/>
    <mergeCell ref="AA87:AC88"/>
    <mergeCell ref="AA71:AC72"/>
    <mergeCell ref="AA73:AC74"/>
    <mergeCell ref="AA75:AC76"/>
    <mergeCell ref="AA77:AC78"/>
    <mergeCell ref="AA79:AC80"/>
    <mergeCell ref="AA81:AC82"/>
    <mergeCell ref="AA83:AC84"/>
    <mergeCell ref="AA27:AC28"/>
    <mergeCell ref="AD27:AD28"/>
    <mergeCell ref="AA29:AC30"/>
    <mergeCell ref="AD29:AD30"/>
    <mergeCell ref="AA31:AC32"/>
    <mergeCell ref="AD31:AD32"/>
    <mergeCell ref="AD33:AD34"/>
    <mergeCell ref="AA33:AC34"/>
    <mergeCell ref="AA35:AC36"/>
    <mergeCell ref="AD35:AD36"/>
    <mergeCell ref="AA37:AC38"/>
    <mergeCell ref="AA39:AC40"/>
    <mergeCell ref="AA41:AC42"/>
    <mergeCell ref="AA43:AC44"/>
    <mergeCell ref="Y49:Z50"/>
    <mergeCell ref="AA49:AC50"/>
    <mergeCell ref="Y51:Z52"/>
    <mergeCell ref="AA51:AC52"/>
    <mergeCell ref="Y53:Z54"/>
    <mergeCell ref="AA53:AC54"/>
    <mergeCell ref="AA55:AC56"/>
    <mergeCell ref="Y55:Z56"/>
    <mergeCell ref="Y57:Z58"/>
    <mergeCell ref="Y59:Z60"/>
    <mergeCell ref="Y61:Z62"/>
    <mergeCell ref="Y63:Z64"/>
    <mergeCell ref="Y65:Z66"/>
    <mergeCell ref="Y67:Z68"/>
    <mergeCell ref="AA57:AC58"/>
    <mergeCell ref="AA59:AC60"/>
    <mergeCell ref="AA61:AC62"/>
    <mergeCell ref="AA63:AC64"/>
    <mergeCell ref="AA65:AC66"/>
    <mergeCell ref="AA67:AC68"/>
    <mergeCell ref="AA69:AC70"/>
    <mergeCell ref="Y83:Z84"/>
    <mergeCell ref="Y85:Z86"/>
    <mergeCell ref="Y87:Z88"/>
    <mergeCell ref="Y69:Z70"/>
    <mergeCell ref="Y71:Z72"/>
    <mergeCell ref="Y73:Z74"/>
    <mergeCell ref="Y75:Z76"/>
    <mergeCell ref="Y77:Z78"/>
    <mergeCell ref="Y79:Z80"/>
    <mergeCell ref="Y81:Z82"/>
    <mergeCell ref="X3:Y3"/>
    <mergeCell ref="Z3:AC3"/>
    <mergeCell ref="A5:B5"/>
    <mergeCell ref="C5:I5"/>
    <mergeCell ref="N5:N6"/>
    <mergeCell ref="A6:B6"/>
    <mergeCell ref="C6:E6"/>
    <mergeCell ref="G6:I6"/>
    <mergeCell ref="W6:Y6"/>
    <mergeCell ref="Z6:AC6"/>
    <mergeCell ref="A1:S1"/>
    <mergeCell ref="X1:Y1"/>
    <mergeCell ref="Z1:AC1"/>
    <mergeCell ref="A2:S2"/>
    <mergeCell ref="X2:Y2"/>
    <mergeCell ref="Z2:AC2"/>
    <mergeCell ref="A3:S4"/>
    <mergeCell ref="X4:Y4"/>
    <mergeCell ref="Z4:AC4"/>
    <mergeCell ref="X5:Y5"/>
    <mergeCell ref="Z5:AC5"/>
    <mergeCell ref="AM5:AP5"/>
    <mergeCell ref="AQ5:AS5"/>
    <mergeCell ref="AM6:AP6"/>
    <mergeCell ref="W7:Y7"/>
    <mergeCell ref="Z7:AC7"/>
    <mergeCell ref="A8:C8"/>
    <mergeCell ref="G8:I8"/>
    <mergeCell ref="Y8:Z8"/>
    <mergeCell ref="AA8:AC8"/>
    <mergeCell ref="A9:C9"/>
    <mergeCell ref="D8:F8"/>
    <mergeCell ref="D9:F10"/>
    <mergeCell ref="G9:I10"/>
    <mergeCell ref="R9:R10"/>
    <mergeCell ref="Y9:Z10"/>
    <mergeCell ref="AA9:AC10"/>
    <mergeCell ref="AD9:AD10"/>
    <mergeCell ref="S10:U10"/>
    <mergeCell ref="AA11:AC12"/>
    <mergeCell ref="AD11:AD12"/>
    <mergeCell ref="Y17:Z18"/>
    <mergeCell ref="AA17:AC18"/>
    <mergeCell ref="R13:R14"/>
    <mergeCell ref="R15:R16"/>
    <mergeCell ref="Y15:Z16"/>
    <mergeCell ref="AA15:AC16"/>
    <mergeCell ref="AD15:AD16"/>
    <mergeCell ref="S16:U16"/>
    <mergeCell ref="AD17:AD18"/>
    <mergeCell ref="A10:C10"/>
    <mergeCell ref="A11:C11"/>
    <mergeCell ref="D11:F12"/>
    <mergeCell ref="G11:I12"/>
    <mergeCell ref="R11:R12"/>
    <mergeCell ref="Y11:Z12"/>
    <mergeCell ref="S12:U12"/>
    <mergeCell ref="L10:O10"/>
    <mergeCell ref="L12:O12"/>
    <mergeCell ref="Y13:Z14"/>
    <mergeCell ref="AA13:AC14"/>
    <mergeCell ref="AD13:AD14"/>
    <mergeCell ref="L14:O14"/>
    <mergeCell ref="S14:U14"/>
    <mergeCell ref="A15:C15"/>
    <mergeCell ref="A16:C16"/>
    <mergeCell ref="L16:O16"/>
    <mergeCell ref="A17:C17"/>
    <mergeCell ref="A18:C18"/>
    <mergeCell ref="L18:O18"/>
    <mergeCell ref="G17:I18"/>
    <mergeCell ref="G19:I20"/>
    <mergeCell ref="L20:O20"/>
    <mergeCell ref="L22:O22"/>
    <mergeCell ref="A20:C20"/>
    <mergeCell ref="A21:C21"/>
    <mergeCell ref="Y19:Z20"/>
    <mergeCell ref="Y21:Z22"/>
    <mergeCell ref="G49:I50"/>
    <mergeCell ref="G51:I52"/>
    <mergeCell ref="G53:I54"/>
    <mergeCell ref="G55:I56"/>
    <mergeCell ref="G57:I58"/>
    <mergeCell ref="G59:I60"/>
    <mergeCell ref="G35:I36"/>
    <mergeCell ref="G37:I38"/>
    <mergeCell ref="G39:I40"/>
    <mergeCell ref="G41:I42"/>
    <mergeCell ref="G43:I44"/>
    <mergeCell ref="G45:I46"/>
    <mergeCell ref="G47:I48"/>
    <mergeCell ref="A59:C59"/>
    <mergeCell ref="A60:C60"/>
    <mergeCell ref="A52:C52"/>
    <mergeCell ref="A53:C53"/>
    <mergeCell ref="A54:C54"/>
    <mergeCell ref="A55:C55"/>
    <mergeCell ref="A56:C56"/>
    <mergeCell ref="A57:C57"/>
    <mergeCell ref="A58:C58"/>
    <mergeCell ref="L26:O26"/>
    <mergeCell ref="L28:O28"/>
    <mergeCell ref="L30:O30"/>
    <mergeCell ref="L32:O32"/>
    <mergeCell ref="L34:O34"/>
    <mergeCell ref="L36:O36"/>
    <mergeCell ref="L38:O38"/>
    <mergeCell ref="L40:O40"/>
    <mergeCell ref="L42:O42"/>
    <mergeCell ref="R49:R50"/>
    <mergeCell ref="L50:O50"/>
    <mergeCell ref="S50:U50"/>
    <mergeCell ref="L52:O52"/>
    <mergeCell ref="S52:U52"/>
    <mergeCell ref="L54:O54"/>
    <mergeCell ref="S54:U54"/>
    <mergeCell ref="L56:O56"/>
    <mergeCell ref="S56:U56"/>
    <mergeCell ref="L58:O58"/>
    <mergeCell ref="S58:U58"/>
    <mergeCell ref="S60:U60"/>
    <mergeCell ref="R51:R52"/>
    <mergeCell ref="R53:R54"/>
    <mergeCell ref="R55:R56"/>
    <mergeCell ref="R57:R58"/>
    <mergeCell ref="R59:R60"/>
    <mergeCell ref="R61:R62"/>
    <mergeCell ref="R63:R64"/>
    <mergeCell ref="L60:O60"/>
    <mergeCell ref="L62:O62"/>
    <mergeCell ref="S62:U62"/>
    <mergeCell ref="L64:O64"/>
    <mergeCell ref="S64:U64"/>
    <mergeCell ref="L66:O66"/>
    <mergeCell ref="S66:U66"/>
    <mergeCell ref="L68:O68"/>
    <mergeCell ref="S68:U68"/>
    <mergeCell ref="L70:O70"/>
    <mergeCell ref="S70:U70"/>
    <mergeCell ref="L72:O72"/>
    <mergeCell ref="S72:U72"/>
    <mergeCell ref="S74:U74"/>
    <mergeCell ref="L74:O74"/>
    <mergeCell ref="L76:O76"/>
    <mergeCell ref="S76:U76"/>
    <mergeCell ref="L78:O78"/>
    <mergeCell ref="S78:U78"/>
    <mergeCell ref="L80:O80"/>
    <mergeCell ref="S80:U80"/>
    <mergeCell ref="L140:O140"/>
    <mergeCell ref="L142:O142"/>
    <mergeCell ref="L144:O144"/>
    <mergeCell ref="L146:O146"/>
    <mergeCell ref="L148:O148"/>
    <mergeCell ref="L150:O150"/>
    <mergeCell ref="L152:O152"/>
    <mergeCell ref="L154:O154"/>
    <mergeCell ref="L156:O156"/>
    <mergeCell ref="L158:O158"/>
    <mergeCell ref="L160:O160"/>
    <mergeCell ref="L162:O162"/>
    <mergeCell ref="L164:O164"/>
    <mergeCell ref="L166:O166"/>
    <mergeCell ref="L168:O168"/>
    <mergeCell ref="L170:O170"/>
    <mergeCell ref="L172:O172"/>
    <mergeCell ref="L174:O174"/>
    <mergeCell ref="L176:O176"/>
    <mergeCell ref="L178:O178"/>
    <mergeCell ref="L180:O180"/>
    <mergeCell ref="L182:O182"/>
    <mergeCell ref="L184:O184"/>
    <mergeCell ref="L186:O186"/>
    <mergeCell ref="L188:O188"/>
    <mergeCell ref="L190:O190"/>
    <mergeCell ref="L192:O192"/>
    <mergeCell ref="L194:O194"/>
    <mergeCell ref="L208:O208"/>
    <mergeCell ref="S208:U208"/>
    <mergeCell ref="L196:O196"/>
    <mergeCell ref="L198:O198"/>
    <mergeCell ref="L200:O200"/>
    <mergeCell ref="L202:O202"/>
    <mergeCell ref="L204:O204"/>
    <mergeCell ref="L206:O206"/>
    <mergeCell ref="S206:U206"/>
    <mergeCell ref="L82:O82"/>
    <mergeCell ref="S82:U82"/>
    <mergeCell ref="L84:O84"/>
    <mergeCell ref="S84:U84"/>
    <mergeCell ref="L86:O86"/>
    <mergeCell ref="S86:U86"/>
    <mergeCell ref="S88:U88"/>
    <mergeCell ref="L88:O88"/>
    <mergeCell ref="L90:O90"/>
    <mergeCell ref="R91:R92"/>
    <mergeCell ref="L92:O92"/>
    <mergeCell ref="R93:R94"/>
    <mergeCell ref="L94:O94"/>
    <mergeCell ref="L96:O96"/>
    <mergeCell ref="R109:R110"/>
    <mergeCell ref="R111:R112"/>
    <mergeCell ref="R113:R114"/>
    <mergeCell ref="R115:R116"/>
    <mergeCell ref="R95:R96"/>
    <mergeCell ref="R97:R98"/>
    <mergeCell ref="R99:R100"/>
    <mergeCell ref="R101:R102"/>
    <mergeCell ref="R103:R104"/>
    <mergeCell ref="R105:R106"/>
    <mergeCell ref="R107:R108"/>
    <mergeCell ref="L98:O98"/>
    <mergeCell ref="L100:O100"/>
    <mergeCell ref="L102:O102"/>
    <mergeCell ref="L104:O104"/>
    <mergeCell ref="L106:O106"/>
    <mergeCell ref="L108:O108"/>
    <mergeCell ref="L110:O110"/>
    <mergeCell ref="L112:O112"/>
    <mergeCell ref="L114:O114"/>
    <mergeCell ref="L116:O116"/>
    <mergeCell ref="L118:O118"/>
    <mergeCell ref="L120:O120"/>
    <mergeCell ref="L122:O122"/>
    <mergeCell ref="L124:O124"/>
    <mergeCell ref="L126:O126"/>
    <mergeCell ref="L128:O128"/>
    <mergeCell ref="L130:O130"/>
    <mergeCell ref="L132:O132"/>
    <mergeCell ref="L134:O134"/>
    <mergeCell ref="L136:O136"/>
    <mergeCell ref="L138:O138"/>
    <mergeCell ref="G199:I200"/>
    <mergeCell ref="G201:I202"/>
    <mergeCell ref="G185:I186"/>
    <mergeCell ref="G187:I188"/>
    <mergeCell ref="G189:I190"/>
    <mergeCell ref="G191:I192"/>
    <mergeCell ref="G193:I194"/>
    <mergeCell ref="G195:I196"/>
    <mergeCell ref="G197:I198"/>
    <mergeCell ref="G87:I88"/>
    <mergeCell ref="G89:I90"/>
    <mergeCell ref="G91:I92"/>
    <mergeCell ref="G93:I94"/>
    <mergeCell ref="G95:I96"/>
    <mergeCell ref="G97:I98"/>
    <mergeCell ref="G99:I100"/>
    <mergeCell ref="G101:I102"/>
    <mergeCell ref="G103:I104"/>
    <mergeCell ref="G105:I106"/>
    <mergeCell ref="G107:I108"/>
    <mergeCell ref="G109:I110"/>
    <mergeCell ref="G111:I112"/>
    <mergeCell ref="G113:I114"/>
    <mergeCell ref="G115:I116"/>
    <mergeCell ref="G117:I118"/>
    <mergeCell ref="G119:I120"/>
    <mergeCell ref="G121:I122"/>
    <mergeCell ref="G123:I124"/>
    <mergeCell ref="G125:I126"/>
    <mergeCell ref="G127:I128"/>
    <mergeCell ref="G129:I130"/>
    <mergeCell ref="G131:I132"/>
    <mergeCell ref="G133:I134"/>
    <mergeCell ref="G135:I136"/>
    <mergeCell ref="G137:I138"/>
    <mergeCell ref="G139:I140"/>
    <mergeCell ref="G141:I142"/>
    <mergeCell ref="G143:I144"/>
    <mergeCell ref="G145:I146"/>
    <mergeCell ref="G147:I148"/>
    <mergeCell ref="G149:I150"/>
    <mergeCell ref="G151:I152"/>
    <mergeCell ref="G153:I154"/>
    <mergeCell ref="G155:I156"/>
    <mergeCell ref="G157:I158"/>
    <mergeCell ref="G159:I160"/>
    <mergeCell ref="G161:I162"/>
    <mergeCell ref="G163:I164"/>
    <mergeCell ref="G165:I166"/>
    <mergeCell ref="G167:I168"/>
    <mergeCell ref="G169:I170"/>
    <mergeCell ref="G171:I172"/>
    <mergeCell ref="G173:I174"/>
    <mergeCell ref="G175:I176"/>
    <mergeCell ref="G177:I178"/>
    <mergeCell ref="G179:I180"/>
    <mergeCell ref="G181:I182"/>
    <mergeCell ref="G183:I184"/>
    <mergeCell ref="A12:C12"/>
    <mergeCell ref="A13:C13"/>
    <mergeCell ref="D13:F14"/>
    <mergeCell ref="G13:I14"/>
    <mergeCell ref="A14:C14"/>
    <mergeCell ref="G15:I16"/>
    <mergeCell ref="A19:C19"/>
    <mergeCell ref="D15:F16"/>
    <mergeCell ref="D17:F18"/>
    <mergeCell ref="D19:F20"/>
    <mergeCell ref="D21:F22"/>
    <mergeCell ref="G21:I22"/>
    <mergeCell ref="A22:C22"/>
    <mergeCell ref="A23:C23"/>
    <mergeCell ref="D23:F24"/>
    <mergeCell ref="G23:I24"/>
    <mergeCell ref="A24:C24"/>
    <mergeCell ref="A25:C25"/>
    <mergeCell ref="G25:I26"/>
    <mergeCell ref="A26:C26"/>
    <mergeCell ref="G27:I28"/>
    <mergeCell ref="G29:I30"/>
    <mergeCell ref="A30:C30"/>
    <mergeCell ref="G31:I32"/>
    <mergeCell ref="A32:C32"/>
    <mergeCell ref="G33:I34"/>
    <mergeCell ref="A34:C34"/>
    <mergeCell ref="A36:C36"/>
    <mergeCell ref="A27:C27"/>
    <mergeCell ref="A28:C28"/>
    <mergeCell ref="A29:C29"/>
    <mergeCell ref="A31:C31"/>
    <mergeCell ref="A33:C33"/>
    <mergeCell ref="A35:C35"/>
    <mergeCell ref="A37:C37"/>
    <mergeCell ref="A38:C38"/>
    <mergeCell ref="A39:C39"/>
    <mergeCell ref="A40:C40"/>
    <mergeCell ref="A41:C41"/>
    <mergeCell ref="A42:C42"/>
    <mergeCell ref="A43:C43"/>
    <mergeCell ref="A44:C44"/>
    <mergeCell ref="A45:C45"/>
    <mergeCell ref="A46:C46"/>
    <mergeCell ref="A47:C47"/>
    <mergeCell ref="A48:C48"/>
    <mergeCell ref="A49:C49"/>
    <mergeCell ref="A50:C50"/>
    <mergeCell ref="A51:C51"/>
    <mergeCell ref="A61:C61"/>
    <mergeCell ref="G61:I62"/>
    <mergeCell ref="A62:C62"/>
    <mergeCell ref="A63:C63"/>
    <mergeCell ref="G63:I64"/>
    <mergeCell ref="A64:C64"/>
    <mergeCell ref="G65:I66"/>
    <mergeCell ref="G67:I68"/>
    <mergeCell ref="A68:C68"/>
    <mergeCell ref="G69:I70"/>
    <mergeCell ref="A70:C70"/>
    <mergeCell ref="G71:I72"/>
    <mergeCell ref="A72:C72"/>
    <mergeCell ref="A74:C74"/>
    <mergeCell ref="A65:C65"/>
    <mergeCell ref="A66:C66"/>
    <mergeCell ref="A67:C67"/>
    <mergeCell ref="A69:C69"/>
    <mergeCell ref="A71:C71"/>
    <mergeCell ref="A73:C73"/>
    <mergeCell ref="A75:C75"/>
    <mergeCell ref="A76:C76"/>
    <mergeCell ref="A77:C77"/>
    <mergeCell ref="A78:C78"/>
    <mergeCell ref="A79:C79"/>
    <mergeCell ref="A80:C80"/>
    <mergeCell ref="A81:C81"/>
    <mergeCell ref="A82:C82"/>
    <mergeCell ref="G73:I74"/>
    <mergeCell ref="G75:I76"/>
    <mergeCell ref="G77:I78"/>
    <mergeCell ref="G79:I80"/>
    <mergeCell ref="G81:I82"/>
    <mergeCell ref="G83:I84"/>
    <mergeCell ref="G85:I86"/>
    <mergeCell ref="A100:C100"/>
    <mergeCell ref="A102:C102"/>
    <mergeCell ref="A83:C83"/>
    <mergeCell ref="A84:C84"/>
    <mergeCell ref="A85:C85"/>
    <mergeCell ref="A86:C86"/>
    <mergeCell ref="A87:C87"/>
    <mergeCell ref="A88:C88"/>
    <mergeCell ref="A89:C89"/>
    <mergeCell ref="D123:F124"/>
    <mergeCell ref="D125:F126"/>
    <mergeCell ref="D127:F128"/>
    <mergeCell ref="D129:F130"/>
    <mergeCell ref="D131:F132"/>
    <mergeCell ref="D133:F134"/>
    <mergeCell ref="D135:F136"/>
    <mergeCell ref="D137:F138"/>
    <mergeCell ref="D139:F140"/>
    <mergeCell ref="D141:F142"/>
    <mergeCell ref="D143:F144"/>
    <mergeCell ref="D145:F146"/>
    <mergeCell ref="D147:F148"/>
    <mergeCell ref="D149:F150"/>
    <mergeCell ref="D151:F152"/>
    <mergeCell ref="D153:F154"/>
    <mergeCell ref="D155:F156"/>
    <mergeCell ref="D157:F158"/>
    <mergeCell ref="D159:F160"/>
    <mergeCell ref="D161:F162"/>
    <mergeCell ref="D163:F164"/>
    <mergeCell ref="D165:F166"/>
    <mergeCell ref="D167:F168"/>
    <mergeCell ref="D169:F170"/>
    <mergeCell ref="D171:F172"/>
    <mergeCell ref="D173:F174"/>
    <mergeCell ref="D175:F176"/>
    <mergeCell ref="D177:F178"/>
    <mergeCell ref="D193:F194"/>
    <mergeCell ref="D195:F196"/>
    <mergeCell ref="D197:F198"/>
    <mergeCell ref="D199:F200"/>
    <mergeCell ref="D201:F202"/>
    <mergeCell ref="D203:F204"/>
    <mergeCell ref="D205:F206"/>
    <mergeCell ref="D207:F208"/>
    <mergeCell ref="D179:F180"/>
    <mergeCell ref="D181:F182"/>
    <mergeCell ref="D183:F184"/>
    <mergeCell ref="D185:F186"/>
    <mergeCell ref="D187:F188"/>
    <mergeCell ref="D189:F190"/>
    <mergeCell ref="D191:F192"/>
    <mergeCell ref="D25:F26"/>
    <mergeCell ref="D27:F28"/>
    <mergeCell ref="D29:F30"/>
    <mergeCell ref="D31:F32"/>
    <mergeCell ref="D33:F34"/>
    <mergeCell ref="D35:F36"/>
    <mergeCell ref="D37:F38"/>
    <mergeCell ref="D39:F40"/>
    <mergeCell ref="D41:F42"/>
    <mergeCell ref="D43:F44"/>
    <mergeCell ref="D45:F46"/>
    <mergeCell ref="D47:F48"/>
    <mergeCell ref="D49:F50"/>
    <mergeCell ref="D51:F52"/>
    <mergeCell ref="D53:F54"/>
    <mergeCell ref="D55:F56"/>
    <mergeCell ref="D57:F58"/>
    <mergeCell ref="D59:F60"/>
    <mergeCell ref="D61:F62"/>
    <mergeCell ref="D63:F64"/>
    <mergeCell ref="D65:F66"/>
    <mergeCell ref="D67:F68"/>
    <mergeCell ref="D69:F70"/>
    <mergeCell ref="D71:F72"/>
    <mergeCell ref="D73:F74"/>
    <mergeCell ref="D75:F76"/>
    <mergeCell ref="D77:F78"/>
    <mergeCell ref="D79:F80"/>
    <mergeCell ref="D81:F82"/>
    <mergeCell ref="D83:F84"/>
    <mergeCell ref="D85:F86"/>
    <mergeCell ref="D87:F88"/>
    <mergeCell ref="D89:F90"/>
    <mergeCell ref="D91:F92"/>
    <mergeCell ref="D93:F94"/>
    <mergeCell ref="D95:F96"/>
    <mergeCell ref="D97:F98"/>
    <mergeCell ref="D99:F100"/>
    <mergeCell ref="D101:F102"/>
    <mergeCell ref="D103:F104"/>
    <mergeCell ref="D105:F106"/>
    <mergeCell ref="D107:F108"/>
    <mergeCell ref="D109:F110"/>
    <mergeCell ref="D111:F112"/>
    <mergeCell ref="D113:F114"/>
    <mergeCell ref="D115:F116"/>
    <mergeCell ref="D117:F118"/>
    <mergeCell ref="D119:F120"/>
    <mergeCell ref="D121:F122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1:C101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39:C139"/>
    <mergeCell ref="A140:C140"/>
    <mergeCell ref="A190:C190"/>
    <mergeCell ref="A191:C191"/>
    <mergeCell ref="A192:C192"/>
    <mergeCell ref="A193:C193"/>
    <mergeCell ref="A194:C194"/>
    <mergeCell ref="A195:C195"/>
    <mergeCell ref="A196:C196"/>
    <mergeCell ref="A203:C203"/>
    <mergeCell ref="A204:C204"/>
    <mergeCell ref="A205:C205"/>
    <mergeCell ref="A207:C207"/>
    <mergeCell ref="G205:I206"/>
    <mergeCell ref="A206:C206"/>
    <mergeCell ref="G207:I208"/>
    <mergeCell ref="A208:C208"/>
    <mergeCell ref="A197:C197"/>
    <mergeCell ref="A198:C198"/>
    <mergeCell ref="A199:C199"/>
    <mergeCell ref="A200:C200"/>
    <mergeCell ref="A201:C201"/>
    <mergeCell ref="A202:C202"/>
    <mergeCell ref="G203:I204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55:C155"/>
    <mergeCell ref="A156:C156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65:C165"/>
    <mergeCell ref="A166:C166"/>
    <mergeCell ref="A167:C167"/>
    <mergeCell ref="A168:C168"/>
    <mergeCell ref="A169:C169"/>
    <mergeCell ref="A170:C170"/>
    <mergeCell ref="A171:C171"/>
    <mergeCell ref="A172:C172"/>
    <mergeCell ref="A173:C173"/>
    <mergeCell ref="A174:C174"/>
    <mergeCell ref="A175:C175"/>
    <mergeCell ref="A176:C176"/>
    <mergeCell ref="A177:C177"/>
    <mergeCell ref="A178:C178"/>
    <mergeCell ref="A179:C179"/>
    <mergeCell ref="A180:C180"/>
    <mergeCell ref="A181:C181"/>
    <mergeCell ref="A182:C182"/>
    <mergeCell ref="A183:C183"/>
    <mergeCell ref="A184:C184"/>
    <mergeCell ref="A185:C185"/>
    <mergeCell ref="A186:C186"/>
    <mergeCell ref="A187:C187"/>
    <mergeCell ref="A188:C188"/>
    <mergeCell ref="A189:C189"/>
    <mergeCell ref="AA203:AC204"/>
    <mergeCell ref="AA205:AC206"/>
    <mergeCell ref="AA189:AC190"/>
    <mergeCell ref="AA191:AC192"/>
    <mergeCell ref="AA193:AC194"/>
    <mergeCell ref="AA195:AC196"/>
    <mergeCell ref="AA197:AC198"/>
    <mergeCell ref="AA199:AC200"/>
    <mergeCell ref="AA201:AC202"/>
    <mergeCell ref="Y147:Z148"/>
    <mergeCell ref="Y149:Z150"/>
    <mergeCell ref="Y151:Z152"/>
    <mergeCell ref="Y153:Z154"/>
    <mergeCell ref="AA153:AC154"/>
    <mergeCell ref="Y155:Z156"/>
    <mergeCell ref="AA155:AC156"/>
    <mergeCell ref="Y157:Z158"/>
    <mergeCell ref="AA157:AC158"/>
    <mergeCell ref="Y159:Z160"/>
    <mergeCell ref="AA159:AC160"/>
    <mergeCell ref="Y161:Z162"/>
    <mergeCell ref="AA161:AC162"/>
    <mergeCell ref="AA163:AC164"/>
    <mergeCell ref="Y167:Z168"/>
    <mergeCell ref="AA167:AC168"/>
    <mergeCell ref="Y169:Z170"/>
    <mergeCell ref="AA169:AC170"/>
    <mergeCell ref="Y171:Z172"/>
    <mergeCell ref="AA171:AC172"/>
    <mergeCell ref="AA173:AC174"/>
    <mergeCell ref="Y173:Z174"/>
    <mergeCell ref="Y175:Z176"/>
    <mergeCell ref="Y177:Z178"/>
    <mergeCell ref="Y179:Z180"/>
    <mergeCell ref="Y181:Z182"/>
    <mergeCell ref="Y183:Z184"/>
    <mergeCell ref="Y185:Z186"/>
    <mergeCell ref="AA175:AC176"/>
    <mergeCell ref="AA177:AC178"/>
    <mergeCell ref="AA179:AC180"/>
    <mergeCell ref="AA181:AC182"/>
    <mergeCell ref="AA183:AC184"/>
    <mergeCell ref="AA185:AC186"/>
    <mergeCell ref="AA187:AC188"/>
    <mergeCell ref="Y201:Z202"/>
    <mergeCell ref="Y203:Z204"/>
    <mergeCell ref="Y205:Z206"/>
    <mergeCell ref="Y187:Z188"/>
    <mergeCell ref="Y189:Z190"/>
    <mergeCell ref="Y191:Z192"/>
    <mergeCell ref="Y193:Z194"/>
    <mergeCell ref="Y195:Z196"/>
    <mergeCell ref="Y197:Z198"/>
    <mergeCell ref="Y199:Z200"/>
    <mergeCell ref="AA113:AC114"/>
    <mergeCell ref="AA115:AC116"/>
    <mergeCell ref="AA99:AC100"/>
    <mergeCell ref="AA101:AC102"/>
    <mergeCell ref="AA103:AC104"/>
    <mergeCell ref="AA105:AC106"/>
    <mergeCell ref="AA107:AC108"/>
    <mergeCell ref="AA109:AC110"/>
    <mergeCell ref="AA111:AC112"/>
    <mergeCell ref="R65:R66"/>
    <mergeCell ref="R67:R68"/>
    <mergeCell ref="R69:R70"/>
    <mergeCell ref="R71:R72"/>
    <mergeCell ref="R73:R74"/>
    <mergeCell ref="R75:R76"/>
    <mergeCell ref="R77:R78"/>
    <mergeCell ref="R79:R80"/>
    <mergeCell ref="R81:R82"/>
    <mergeCell ref="R83:R84"/>
    <mergeCell ref="R85:R86"/>
    <mergeCell ref="R87:R88"/>
    <mergeCell ref="Y89:Z90"/>
    <mergeCell ref="AA89:AC90"/>
    <mergeCell ref="Y91:Z92"/>
    <mergeCell ref="AA91:AC92"/>
    <mergeCell ref="Y93:Z94"/>
    <mergeCell ref="AA93:AC94"/>
    <mergeCell ref="Y95:Z96"/>
    <mergeCell ref="AA95:AC96"/>
    <mergeCell ref="AA97:AC98"/>
    <mergeCell ref="R89:R90"/>
    <mergeCell ref="S90:U90"/>
    <mergeCell ref="S92:U92"/>
    <mergeCell ref="S94:U94"/>
    <mergeCell ref="S96:U96"/>
    <mergeCell ref="S98:U98"/>
    <mergeCell ref="S100:U100"/>
    <mergeCell ref="Y111:Z112"/>
    <mergeCell ref="Y113:Z114"/>
    <mergeCell ref="Y115:Z116"/>
    <mergeCell ref="Y117:Z118"/>
    <mergeCell ref="Y97:Z98"/>
    <mergeCell ref="Y99:Z100"/>
    <mergeCell ref="Y101:Z102"/>
    <mergeCell ref="Y103:Z104"/>
    <mergeCell ref="Y105:Z106"/>
    <mergeCell ref="Y107:Z108"/>
    <mergeCell ref="Y109:Z110"/>
    <mergeCell ref="S102:U102"/>
    <mergeCell ref="S104:U104"/>
    <mergeCell ref="S106:U106"/>
    <mergeCell ref="S108:U108"/>
    <mergeCell ref="S110:U110"/>
    <mergeCell ref="S112:U112"/>
    <mergeCell ref="S114:U114"/>
    <mergeCell ref="S138:U138"/>
    <mergeCell ref="S140:U140"/>
    <mergeCell ref="S124:U124"/>
    <mergeCell ref="S126:U126"/>
    <mergeCell ref="S128:U128"/>
    <mergeCell ref="S130:U130"/>
    <mergeCell ref="S132:U132"/>
    <mergeCell ref="S134:U134"/>
    <mergeCell ref="S136:U136"/>
    <mergeCell ref="AA149:AC150"/>
    <mergeCell ref="AA151:AC152"/>
    <mergeCell ref="AA135:AC136"/>
    <mergeCell ref="AA137:AC138"/>
    <mergeCell ref="AA139:AC140"/>
    <mergeCell ref="AA141:AC142"/>
    <mergeCell ref="AA143:AC144"/>
    <mergeCell ref="AA145:AC146"/>
    <mergeCell ref="AA147:AC148"/>
    <mergeCell ref="S116:U116"/>
    <mergeCell ref="R117:R118"/>
    <mergeCell ref="AA117:AC118"/>
    <mergeCell ref="S118:U118"/>
    <mergeCell ref="Y119:Z120"/>
    <mergeCell ref="AA119:AC120"/>
    <mergeCell ref="S120:U120"/>
    <mergeCell ref="Y121:Z122"/>
    <mergeCell ref="AA121:AC122"/>
    <mergeCell ref="S122:U122"/>
    <mergeCell ref="Y123:Z124"/>
    <mergeCell ref="AA123:AC124"/>
    <mergeCell ref="Y125:Z126"/>
    <mergeCell ref="AA125:AC126"/>
    <mergeCell ref="R119:R120"/>
    <mergeCell ref="R121:R122"/>
    <mergeCell ref="R123:R124"/>
    <mergeCell ref="R125:R126"/>
    <mergeCell ref="R127:R128"/>
    <mergeCell ref="R129:R130"/>
    <mergeCell ref="R131:R132"/>
    <mergeCell ref="Y127:Z128"/>
    <mergeCell ref="AA127:AC128"/>
    <mergeCell ref="Y129:Z130"/>
    <mergeCell ref="AA129:AC130"/>
    <mergeCell ref="Y131:Z132"/>
    <mergeCell ref="AA131:AC132"/>
    <mergeCell ref="AA133:AC134"/>
    <mergeCell ref="R143:R144"/>
    <mergeCell ref="R145:R146"/>
    <mergeCell ref="R147:R148"/>
    <mergeCell ref="Y133:Z134"/>
    <mergeCell ref="Y135:Z136"/>
    <mergeCell ref="Y137:Z138"/>
    <mergeCell ref="Y139:Z140"/>
    <mergeCell ref="Y141:Z142"/>
    <mergeCell ref="Y143:Z144"/>
    <mergeCell ref="Y145:Z146"/>
    <mergeCell ref="Y163:Z164"/>
    <mergeCell ref="Y165:Z166"/>
    <mergeCell ref="AA165:AC166"/>
    <mergeCell ref="R181:R182"/>
    <mergeCell ref="R183:R184"/>
    <mergeCell ref="R185:R186"/>
    <mergeCell ref="R187:R188"/>
    <mergeCell ref="R189:R190"/>
    <mergeCell ref="R191:R192"/>
    <mergeCell ref="R193:R194"/>
    <mergeCell ref="Y207:Z208"/>
    <mergeCell ref="AA207:AC208"/>
    <mergeCell ref="R195:R196"/>
    <mergeCell ref="R197:R198"/>
    <mergeCell ref="R199:R200"/>
    <mergeCell ref="R201:R202"/>
    <mergeCell ref="R203:R204"/>
    <mergeCell ref="R205:R206"/>
    <mergeCell ref="R207:R208"/>
    <mergeCell ref="R133:R134"/>
    <mergeCell ref="R135:R136"/>
    <mergeCell ref="R137:R138"/>
    <mergeCell ref="R139:R140"/>
    <mergeCell ref="R141:R142"/>
    <mergeCell ref="S142:U142"/>
    <mergeCell ref="S144:U144"/>
    <mergeCell ref="S146:U146"/>
    <mergeCell ref="S148:U148"/>
    <mergeCell ref="R149:R150"/>
    <mergeCell ref="S150:U150"/>
    <mergeCell ref="R151:R152"/>
    <mergeCell ref="S152:U152"/>
    <mergeCell ref="S154:U154"/>
    <mergeCell ref="R153:R154"/>
    <mergeCell ref="R155:R156"/>
    <mergeCell ref="R157:R158"/>
    <mergeCell ref="R159:R160"/>
    <mergeCell ref="R161:R162"/>
    <mergeCell ref="R163:R164"/>
    <mergeCell ref="R165:R166"/>
    <mergeCell ref="S156:U156"/>
    <mergeCell ref="S158:U158"/>
    <mergeCell ref="S160:U160"/>
    <mergeCell ref="S162:U162"/>
    <mergeCell ref="S164:U164"/>
    <mergeCell ref="S166:U166"/>
    <mergeCell ref="S168:U168"/>
    <mergeCell ref="R167:R168"/>
    <mergeCell ref="R169:R170"/>
    <mergeCell ref="R171:R172"/>
    <mergeCell ref="R173:R174"/>
    <mergeCell ref="R175:R176"/>
    <mergeCell ref="R177:R178"/>
    <mergeCell ref="R179:R180"/>
    <mergeCell ref="S170:U170"/>
    <mergeCell ref="S172:U172"/>
    <mergeCell ref="S174:U174"/>
    <mergeCell ref="S176:U176"/>
    <mergeCell ref="S178:U178"/>
    <mergeCell ref="S180:U180"/>
    <mergeCell ref="S182:U182"/>
    <mergeCell ref="S198:U198"/>
    <mergeCell ref="S200:U200"/>
    <mergeCell ref="S202:U202"/>
    <mergeCell ref="S204:U204"/>
    <mergeCell ref="S184:U184"/>
    <mergeCell ref="S186:U186"/>
    <mergeCell ref="S188:U188"/>
    <mergeCell ref="S190:U190"/>
    <mergeCell ref="S192:U192"/>
    <mergeCell ref="S194:U194"/>
    <mergeCell ref="S196:U196"/>
  </mergeCells>
  <printOptions horizontalCentered="1"/>
  <pageMargins bottom="0.4724409448818898" footer="0.0" header="0.0" left="0.31496062992125984" right="0.1968503937007874" top="0.2755905511811024"/>
  <pageSetup fitToHeight="0" paperSize="9" orientation="landscape"/>
  <headerFooter>
    <oddHeader>&amp;L                  &amp;P                      </oddHeader>
    <oddFooter>&amp;LKM-784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2000-05-11T05:11:49Z</dcterms:created>
  <dc:creator>CTCI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d_Signature">
    <vt:lpwstr/>
  </property>
  <property fmtid="{D5CDD505-2E9C-101B-9397-08002B2CF9AE}" pid="3" name="display_urn:schemas-microsoft-com:office:office#Editor">
    <vt:lpwstr>中鼎-EPCO方法設計部-楊玉妃</vt:lpwstr>
  </property>
  <property fmtid="{D5CDD505-2E9C-101B-9397-08002B2CF9AE}" pid="4" name="display_urn:schemas-microsoft-com:office:office#Author">
    <vt:lpwstr>中鼎-EPCO方法設計部-楊玉妃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ContentTypeId">
    <vt:lpwstr>0x0101000897F6DCC474204C9ED3CD133309C400</vt:lpwstr>
  </property>
</Properties>
</file>