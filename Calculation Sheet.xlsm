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Projects\ch_chang\"/>
    </mc:Choice>
  </mc:AlternateContent>
  <xr:revisionPtr revIDLastSave="0" documentId="13_ncr:1_{CBB887BD-480A-4450-BE1F-0EDDDF9F201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arams" sheetId="1" r:id="rId1"/>
    <sheet name="PSV" sheetId="2" r:id="rId2"/>
    <sheet name="OrificeSize" sheetId="3" r:id="rId3"/>
    <sheet name="PSVSize_Spring" sheetId="4" r:id="rId4"/>
    <sheet name="PSVSize_Pilot" sheetId="5" r:id="rId5"/>
    <sheet name="PipeID" sheetId="6" r:id="rId6"/>
    <sheet name="KFactor" sheetId="7" r:id="rId7"/>
    <sheet name="Formula" sheetId="8" r:id="rId8"/>
    <sheet name="KSH" sheetId="9" state="hidden" r:id="rId9"/>
    <sheet name="RevNote" sheetId="10" r:id="rId10"/>
  </sheets>
  <definedNames>
    <definedName name="AllowOverPres">PSV!$A$22:$IV$22</definedName>
    <definedName name="Areq">PSV!$A$27:$IV$27</definedName>
    <definedName name="Asel">PSV!$A$36:$IV$36</definedName>
    <definedName name="CalcEquivLengthDesign">Params!$G$34</definedName>
    <definedName name="CalculationMode">PSV!$A$10:$IV$10</definedName>
    <definedName name="Density">PSV!$A$15:$IV$15</definedName>
    <definedName name="DwgNo">PSV!$A$4:$IV$4</definedName>
    <definedName name="Fluid">PSV!$A$12:$IV$12</definedName>
    <definedName name="InletAllowEL">PSV!$A$58:$IV$58</definedName>
    <definedName name="InletIsPass">PSV!$A$59:$IV$59</definedName>
    <definedName name="InletLine45Elbow">PSV!$A$47:$IV$47</definedName>
    <definedName name="InletLine45ElbowDesign">Params!$G$42</definedName>
    <definedName name="InletLine90Elobw">PSV!$A$46:$IV$46</definedName>
    <definedName name="InletLine90ElobwDesign">Params!$G$41</definedName>
    <definedName name="InletLineCalcEquivLength">PSV!$A$44:$IV$44</definedName>
    <definedName name="InletLineClass">PSV!$A$41:$IV$41</definedName>
    <definedName name="InletLineClassDesign">Params!$G$32</definedName>
    <definedName name="InletLineEL">PSV!$A$53:$IV$53</definedName>
    <definedName name="InletLineELDesign">Params!$G$37</definedName>
    <definedName name="InletLineGateValve">PSV!$A$51:$IV$51</definedName>
    <definedName name="InletLineGateValveDesign">Params!$G$46</definedName>
    <definedName name="InletLineID">PSV!$A$43:$IV$43</definedName>
    <definedName name="InletLineLength">PSV!$A$45:$IV$45</definedName>
    <definedName name="InletLineLengthDesign">Params!$G$40</definedName>
    <definedName name="InletLineReducer">PSV!$A$50:$IV$50</definedName>
    <definedName name="InletLineReducerDesign">Params!$G$45</definedName>
    <definedName name="InletLineRupDisk">PSV!$A$52:$IV$52</definedName>
    <definedName name="InletLineRupDiskDesign">Params!$G$47</definedName>
    <definedName name="InletLineSize">PSV!$A$42:$IV$42</definedName>
    <definedName name="InletLineTeeBranch">PSV!$A$49:$IV$49</definedName>
    <definedName name="InletLineTeeBranchDesign">Params!$G$44</definedName>
    <definedName name="InletLineTeeLine">PSV!$A$48:$IV$48</definedName>
    <definedName name="InletLineTeeLineDesign">Params!$G$43</definedName>
    <definedName name="InletPresDrop">PSV!$A$55:$IV$55</definedName>
    <definedName name="InletPresDropPerLength">PSV!$A$54:$IV$54</definedName>
    <definedName name="InletVelocity">PSV!$A$57:$IV$57</definedName>
    <definedName name="InsuFactor">PSV!#REF!</definedName>
    <definedName name="k">PSV!$A$19:$IV$19</definedName>
    <definedName name="Kb">PSV!$A$29:$IV$29</definedName>
    <definedName name="Kc">PSV!$A$30:$IV$30</definedName>
    <definedName name="Kd">PSV!$A$28:$IV$28</definedName>
    <definedName name="KN">PSV!$A$31:$IV$31</definedName>
    <definedName name="Kp">PSV!$A$35:$IV$35</definedName>
    <definedName name="KSH">PSV!$A$32:$IV$32</definedName>
    <definedName name="Kv">PSV!$A$34:$IV$34</definedName>
    <definedName name="Kw">PSV!$A$33:$IV$33</definedName>
    <definedName name="LineSizingFlowrate">PSV!$A$39:$IV$39</definedName>
    <definedName name="M">PSV!$A$17:$IV$17</definedName>
    <definedName name="MABPforBellows">Params!$J$25</definedName>
    <definedName name="MaxBP">PSV!$A$24:$IV$24</definedName>
    <definedName name="MaxMaNoDesign">Params!$G$49</definedName>
    <definedName name="MinBP">PSV!$A$25:$IV$25</definedName>
    <definedName name="mu">PSV!$A$16:$IV$16</definedName>
    <definedName name="NoPSV">PSV!$A$5:$IV$5</definedName>
    <definedName name="OutletAllowEL">PSV!$A$83:$IV$83</definedName>
    <definedName name="OutletCalBP">PSV!$A$76:$IV$76</definedName>
    <definedName name="OutletIsPass">PSV!$A$84:$IV$84</definedName>
    <definedName name="OutletLine45Elbow">PSV!$A$68:$IV$68</definedName>
    <definedName name="OutletLine45ElbowDesign">Params!$H$42</definedName>
    <definedName name="OutletLine90Elobw">PSV!$A$67:$IV$67</definedName>
    <definedName name="OutletLine90ElobwDesign">Params!$H$41</definedName>
    <definedName name="OutletLineCalcEquivLength">PSV!$A$65:$IV$65</definedName>
    <definedName name="OutletLineClass">PSV!$A$61:$IV$61</definedName>
    <definedName name="OutletLineClassDesign">Params!$H$32</definedName>
    <definedName name="OutletLineDualConnections">PSV!$A$64:$IV$64</definedName>
    <definedName name="OutletLineEL">PSV!$A$73:$IV$73</definedName>
    <definedName name="OutletLineELDesign">Params!$H$37</definedName>
    <definedName name="OutletLineGateValve">PSV!$A$72:$IV$72</definedName>
    <definedName name="OutletLineGateValveDesign">Params!$H$46</definedName>
    <definedName name="OutletLineID">PSV!$A$63:$IV$63</definedName>
    <definedName name="OutletLineLength">PSV!$A$66:$IV$66</definedName>
    <definedName name="OutletLineLengthDesign">Params!$H$40</definedName>
    <definedName name="OutletLineReducer">PSV!$A$71:$IV$71</definedName>
    <definedName name="OutletLineReducerDesign">Params!$H$45</definedName>
    <definedName name="OutletLineRupDisk">PSV!#REF!</definedName>
    <definedName name="OutletLineSize">PSV!$A$62:$IV$62</definedName>
    <definedName name="OutletLineTeeBranch">PSV!$A$70:$IV$70</definedName>
    <definedName name="OutletLineTeeBranchDesign">Params!$H$44</definedName>
    <definedName name="OutletLineTeeLine">PSV!$A$69:$IV$69</definedName>
    <definedName name="OutletLineTeeLineDesign">Params!$H$43</definedName>
    <definedName name="OutletMABP">PSV!$A$77:$IV$77</definedName>
    <definedName name="OutletMaNo">PSV!$A$82:$IV$82</definedName>
    <definedName name="OutletMaxAllowableVelocity">PSV!$A$80:$IV$80</definedName>
    <definedName name="OutletPresDrop">PSV!$A$75:$IV$75</definedName>
    <definedName name="OutletPresDropPerLength">PSV!$A$74:$IV$74</definedName>
    <definedName name="OutletSonicVelocity">PSV!$A$81:$IV$81</definedName>
    <definedName name="OutletVelocity">PSV!$A$78:$IV$78</definedName>
    <definedName name="OutletVelocityForMinBP">PSV!$A$79:$IV$79</definedName>
    <definedName name="PSVClass">PSV!$A$38:$IV$38</definedName>
    <definedName name="PSVMaterial">PSV!$A$8:$IV$8</definedName>
    <definedName name="PSVMaterialDesign">Params!$G$29</definedName>
    <definedName name="PSVSize">PSV!$A$37:$IV$37</definedName>
    <definedName name="PSVType">PSV!$A$6:$IV$6</definedName>
    <definedName name="RatioOfMaxBP">PSV!$A$7:$IV$7</definedName>
    <definedName name="ReliefCase">PSV!#REF!</definedName>
    <definedName name="SetP">PSV!$A$21:$IV$21</definedName>
    <definedName name="SetPresX3P">PSV!$A$56:$IV$56</definedName>
    <definedName name="SF">Params!$D$21</definedName>
    <definedName name="State">PSV!$A$13:$IV$13</definedName>
    <definedName name="T">PSV!$A$23:$IV$23</definedName>
    <definedName name="TagNo">PSV!$A$2:$IV$2</definedName>
    <definedName name="UsePSVRatedCapacity">Params!$K$23</definedName>
    <definedName name="W">PSV!$A$14:$IV$14</definedName>
    <definedName name="WithRupDisk">PSV!$A$9:$IV$9</definedName>
    <definedName name="Z">PSV!$A$18:$IV$18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5" roundtripDataChecksum="SViRFSI5phfXRDiawRN2mMuxJQuv9v04DUDCpMi5gqM="/>
    </ext>
  </extLst>
</workbook>
</file>

<file path=xl/calcChain.xml><?xml version="1.0" encoding="utf-8"?>
<calcChain xmlns="http://schemas.openxmlformats.org/spreadsheetml/2006/main">
  <c r="G60" i="8" l="1"/>
  <c r="G59" i="8"/>
  <c r="G52" i="8"/>
  <c r="D61" i="8" s="1"/>
  <c r="D52" i="8"/>
  <c r="D45" i="8"/>
  <c r="G44" i="8"/>
  <c r="G43" i="8"/>
  <c r="G37" i="8"/>
  <c r="D28" i="8"/>
  <c r="D30" i="8" s="1"/>
  <c r="G24" i="8"/>
  <c r="G23" i="8"/>
  <c r="G13" i="8"/>
  <c r="G10" i="8"/>
  <c r="D8" i="8"/>
  <c r="D16" i="8" s="1"/>
  <c r="G6" i="8"/>
  <c r="J34" i="7"/>
  <c r="I34" i="7"/>
  <c r="H34" i="7"/>
  <c r="G34" i="7"/>
  <c r="F34" i="7"/>
  <c r="E34" i="7"/>
  <c r="D34" i="7"/>
  <c r="J33" i="7"/>
  <c r="I33" i="7"/>
  <c r="H33" i="7"/>
  <c r="G33" i="7"/>
  <c r="F33" i="7"/>
  <c r="E33" i="7"/>
  <c r="D33" i="7"/>
  <c r="J32" i="7"/>
  <c r="I32" i="7"/>
  <c r="H32" i="7"/>
  <c r="G32" i="7"/>
  <c r="F32" i="7"/>
  <c r="E32" i="7"/>
  <c r="D32" i="7"/>
  <c r="J31" i="7"/>
  <c r="I31" i="7"/>
  <c r="H31" i="7"/>
  <c r="G31" i="7"/>
  <c r="F31" i="7"/>
  <c r="E31" i="7"/>
  <c r="D31" i="7"/>
  <c r="J30" i="7"/>
  <c r="I30" i="7"/>
  <c r="H30" i="7"/>
  <c r="G30" i="7"/>
  <c r="F30" i="7"/>
  <c r="E30" i="7"/>
  <c r="D30" i="7"/>
  <c r="J29" i="7"/>
  <c r="I29" i="7"/>
  <c r="H29" i="7"/>
  <c r="G29" i="7"/>
  <c r="F29" i="7"/>
  <c r="E29" i="7"/>
  <c r="D29" i="7"/>
  <c r="J28" i="7"/>
  <c r="I28" i="7"/>
  <c r="H28" i="7"/>
  <c r="G28" i="7"/>
  <c r="F28" i="7"/>
  <c r="E28" i="7"/>
  <c r="D28" i="7"/>
  <c r="J27" i="7"/>
  <c r="I27" i="7"/>
  <c r="H27" i="7"/>
  <c r="G27" i="7"/>
  <c r="F27" i="7"/>
  <c r="E27" i="7"/>
  <c r="D27" i="7"/>
  <c r="J26" i="7"/>
  <c r="I26" i="7"/>
  <c r="H26" i="7"/>
  <c r="G26" i="7"/>
  <c r="F26" i="7"/>
  <c r="E26" i="7"/>
  <c r="D26" i="7"/>
  <c r="J25" i="7"/>
  <c r="I25" i="7"/>
  <c r="H25" i="7"/>
  <c r="G25" i="7"/>
  <c r="F25" i="7"/>
  <c r="E25" i="7"/>
  <c r="D25" i="7"/>
  <c r="J24" i="7"/>
  <c r="I24" i="7"/>
  <c r="H24" i="7"/>
  <c r="G24" i="7"/>
  <c r="F24" i="7"/>
  <c r="E24" i="7"/>
  <c r="D24" i="7"/>
  <c r="J23" i="7"/>
  <c r="I23" i="7"/>
  <c r="H23" i="7"/>
  <c r="G23" i="7"/>
  <c r="F23" i="7"/>
  <c r="E23" i="7"/>
  <c r="D23" i="7"/>
  <c r="J22" i="7"/>
  <c r="I22" i="7"/>
  <c r="H22" i="7"/>
  <c r="G22" i="7"/>
  <c r="F22" i="7"/>
  <c r="E22" i="7"/>
  <c r="D22" i="7"/>
  <c r="J21" i="7"/>
  <c r="I21" i="7"/>
  <c r="H21" i="7"/>
  <c r="G21" i="7"/>
  <c r="F21" i="7"/>
  <c r="E21" i="7"/>
  <c r="D21" i="7"/>
  <c r="J20" i="7"/>
  <c r="I20" i="7"/>
  <c r="H20" i="7"/>
  <c r="G20" i="7"/>
  <c r="F20" i="7"/>
  <c r="E20" i="7"/>
  <c r="D20" i="7"/>
  <c r="J19" i="7"/>
  <c r="I19" i="7"/>
  <c r="H19" i="7"/>
  <c r="G19" i="7"/>
  <c r="F19" i="7"/>
  <c r="E19" i="7"/>
  <c r="D19" i="7"/>
  <c r="J18" i="7"/>
  <c r="I18" i="7"/>
  <c r="H18" i="7"/>
  <c r="G18" i="7"/>
  <c r="F18" i="7"/>
  <c r="E18" i="7"/>
  <c r="D18" i="7"/>
  <c r="J17" i="7"/>
  <c r="I17" i="7"/>
  <c r="H17" i="7"/>
  <c r="G17" i="7"/>
  <c r="F17" i="7"/>
  <c r="E17" i="7"/>
  <c r="D17" i="7"/>
  <c r="J16" i="7"/>
  <c r="I16" i="7"/>
  <c r="H16" i="7"/>
  <c r="G16" i="7"/>
  <c r="F16" i="7"/>
  <c r="E16" i="7"/>
  <c r="D16" i="7"/>
  <c r="J15" i="7"/>
  <c r="I15" i="7"/>
  <c r="H15" i="7"/>
  <c r="G15" i="7"/>
  <c r="F15" i="7"/>
  <c r="E15" i="7"/>
  <c r="D15" i="7"/>
  <c r="J14" i="7"/>
  <c r="I14" i="7"/>
  <c r="H14" i="7"/>
  <c r="G14" i="7"/>
  <c r="F14" i="7"/>
  <c r="E14" i="7"/>
  <c r="D14" i="7"/>
  <c r="J13" i="7"/>
  <c r="I13" i="7"/>
  <c r="H13" i="7"/>
  <c r="G13" i="7"/>
  <c r="F13" i="7"/>
  <c r="E13" i="7"/>
  <c r="D13" i="7"/>
  <c r="J12" i="7"/>
  <c r="I12" i="7"/>
  <c r="H12" i="7"/>
  <c r="G12" i="7"/>
  <c r="F12" i="7"/>
  <c r="E12" i="7"/>
  <c r="D12" i="7"/>
  <c r="J11" i="7"/>
  <c r="I11" i="7"/>
  <c r="H11" i="7"/>
  <c r="G11" i="7"/>
  <c r="F11" i="7"/>
  <c r="E11" i="7"/>
  <c r="D11" i="7"/>
  <c r="J10" i="7"/>
  <c r="I10" i="7"/>
  <c r="H10" i="7"/>
  <c r="G10" i="7"/>
  <c r="F10" i="7"/>
  <c r="E10" i="7"/>
  <c r="D10" i="7"/>
  <c r="J9" i="7"/>
  <c r="I9" i="7"/>
  <c r="H9" i="7"/>
  <c r="G9" i="7"/>
  <c r="F9" i="7"/>
  <c r="E9" i="7"/>
  <c r="D9" i="7"/>
  <c r="J8" i="7"/>
  <c r="I8" i="7"/>
  <c r="H8" i="7"/>
  <c r="G8" i="7"/>
  <c r="F8" i="7"/>
  <c r="E8" i="7"/>
  <c r="D8" i="7"/>
  <c r="J7" i="7"/>
  <c r="I7" i="7"/>
  <c r="H7" i="7"/>
  <c r="G7" i="7"/>
  <c r="F7" i="7"/>
  <c r="E7" i="7"/>
  <c r="D7" i="7"/>
  <c r="J6" i="7"/>
  <c r="I6" i="7"/>
  <c r="H6" i="7"/>
  <c r="G6" i="7"/>
  <c r="F6" i="7"/>
  <c r="E6" i="7"/>
  <c r="D6" i="7"/>
  <c r="J5" i="7"/>
  <c r="I5" i="7"/>
  <c r="H5" i="7"/>
  <c r="G5" i="7"/>
  <c r="F5" i="7"/>
  <c r="E5" i="7"/>
  <c r="D5" i="7"/>
  <c r="J4" i="7"/>
  <c r="I4" i="7"/>
  <c r="H4" i="7"/>
  <c r="G4" i="7"/>
  <c r="F4" i="7"/>
  <c r="E4" i="7"/>
  <c r="D4" i="7"/>
  <c r="J3" i="7"/>
  <c r="I3" i="7"/>
  <c r="H3" i="7"/>
  <c r="G3" i="7"/>
  <c r="F3" i="7"/>
  <c r="E3" i="7"/>
  <c r="D3" i="7"/>
</calcChain>
</file>

<file path=xl/sharedStrings.xml><?xml version="1.0" encoding="utf-8"?>
<sst xmlns="http://schemas.openxmlformats.org/spreadsheetml/2006/main" count="4649" uniqueCount="504">
  <si>
    <t>1.</t>
  </si>
  <si>
    <t>Sizing for Gas or Vapor Relief at Critical Flow (Per API RP 520 eq. 3.2)</t>
  </si>
  <si>
    <t>A = W / (C* Kd * P1 * Kb * Kc) * (T * Z / M) ^ 0.5</t>
  </si>
  <si>
    <t>Kd</t>
  </si>
  <si>
    <t>=</t>
  </si>
  <si>
    <t>(for a preliminary sizing, Kd=0.975)</t>
  </si>
  <si>
    <t>2.</t>
  </si>
  <si>
    <t>Sizing for Steam Relief (Per API RP 520 eq. 3.8)</t>
  </si>
  <si>
    <t>A = W / (51.5 * P1 * Kd * Kb * Kc * KN * KSH)</t>
  </si>
  <si>
    <t>3.</t>
  </si>
  <si>
    <t>Sizing For Liquid Relief: Pressure Relief Valves Requiring Capacity Certification (Per API RP 520 eq. 3.9)</t>
  </si>
  <si>
    <t>A = Q / (38 * Kd * Kw * Kc * Kv) * (G / (P1 - P2)) ^ 0.5</t>
  </si>
  <si>
    <t>(for a preliminary sizing, Kd=0.65)</t>
  </si>
  <si>
    <t>4.</t>
  </si>
  <si>
    <t>Safety Factor for Line Pressure Drop</t>
  </si>
  <si>
    <t>SF</t>
  </si>
  <si>
    <t>5.</t>
  </si>
  <si>
    <t>Use The PSV's Rated Capacity to Size PSV Inlet &amp; Outlet Line Pressure Drop(Y/N)</t>
  </si>
  <si>
    <t>Y</t>
  </si>
  <si>
    <t>(per API RP 520, Y)</t>
  </si>
  <si>
    <t>6.</t>
  </si>
  <si>
    <t>Max. Allowable Back Pressure / Set Pressure for Bellows or Pilot Type PSV</t>
  </si>
  <si>
    <t>8</t>
  </si>
  <si>
    <t>Design Mode Params.</t>
  </si>
  <si>
    <t>PSV Material</t>
  </si>
  <si>
    <t>CS</t>
  </si>
  <si>
    <t>Inlet</t>
  </si>
  <si>
    <t>Outlet</t>
  </si>
  <si>
    <t>Line Class</t>
  </si>
  <si>
    <t>8.1 Clac. Equiv. Length</t>
  </si>
  <si>
    <t>8.2 If Calc. Equiv. Length = N</t>
  </si>
  <si>
    <r>
      <rPr>
        <sz val="12"/>
        <color theme="1"/>
        <rFont val="Times New Roman"/>
      </rPr>
      <t>Equiv. Length</t>
    </r>
    <r>
      <rPr>
        <sz val="12"/>
        <color rgb="FFFF0000"/>
        <rFont val="Times New Roman"/>
      </rPr>
      <t xml:space="preserve"> (ft)</t>
    </r>
  </si>
  <si>
    <t>8.3 If Calc. Equiv. Length = Y</t>
  </si>
  <si>
    <r>
      <rPr>
        <sz val="12"/>
        <color theme="1"/>
        <rFont val="Times New Roman"/>
      </rPr>
      <t xml:space="preserve">Line Length </t>
    </r>
    <r>
      <rPr>
        <sz val="12"/>
        <color rgb="FFFF0000"/>
        <rFont val="Times New Roman"/>
      </rPr>
      <t>(ft)</t>
    </r>
  </si>
  <si>
    <r>
      <rPr>
        <sz val="12"/>
        <color theme="1"/>
        <rFont val="Times New Roman"/>
      </rPr>
      <t>90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Elbow</t>
    </r>
  </si>
  <si>
    <r>
      <rPr>
        <sz val="12"/>
        <color theme="1"/>
        <rFont val="Times New Roman"/>
      </rPr>
      <t>45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Elbow</t>
    </r>
  </si>
  <si>
    <t>Tee Line</t>
  </si>
  <si>
    <t>Tee Branch</t>
  </si>
  <si>
    <t>Reducer</t>
  </si>
  <si>
    <t>Gate Valve</t>
  </si>
  <si>
    <t>Rupture Disk</t>
  </si>
  <si>
    <t>8.4 Max. Outlet Line Ma. No.</t>
  </si>
  <si>
    <t>Rev.</t>
  </si>
  <si>
    <t>TagNo</t>
  </si>
  <si>
    <t>Tag No.</t>
  </si>
  <si>
    <t>ReliefCase</t>
  </si>
  <si>
    <t>Relief Case</t>
  </si>
  <si>
    <t>DwgNo</t>
  </si>
  <si>
    <t>Dwg. No.</t>
  </si>
  <si>
    <t>NoPSV</t>
  </si>
  <si>
    <t>No. of Installed PSV:</t>
  </si>
  <si>
    <t>PSVType</t>
  </si>
  <si>
    <t xml:space="preserve">PSV Type </t>
  </si>
  <si>
    <t>(C/B/P)</t>
  </si>
  <si>
    <t>RatioOfMaxBP</t>
  </si>
  <si>
    <t>Ratio of Max. Back Pressure</t>
  </si>
  <si>
    <t>PSVMaterial</t>
  </si>
  <si>
    <t>PSV Material(CS/CMS/SS/NCA/A20)</t>
  </si>
  <si>
    <t>WithRupDisk</t>
  </si>
  <si>
    <t>Installed with Rupture Disk</t>
  </si>
  <si>
    <t>(Y/N)</t>
  </si>
  <si>
    <t>CalculationMode</t>
  </si>
  <si>
    <t>Calculation Mode</t>
  </si>
  <si>
    <t>(D/R)</t>
  </si>
  <si>
    <t>Flowing Fluid at Relieving Conditions</t>
  </si>
  <si>
    <t>Fluid</t>
  </si>
  <si>
    <t>State</t>
  </si>
  <si>
    <t>State (V/S/L)</t>
  </si>
  <si>
    <t>W</t>
  </si>
  <si>
    <t>Required Flowrate</t>
  </si>
  <si>
    <t>lb/hr</t>
  </si>
  <si>
    <t>Density</t>
  </si>
  <si>
    <t>lb/ft3</t>
  </si>
  <si>
    <t>mu</t>
  </si>
  <si>
    <t>Viscosity</t>
  </si>
  <si>
    <t>cP</t>
  </si>
  <si>
    <t>M</t>
  </si>
  <si>
    <t>Molecular Weight</t>
  </si>
  <si>
    <t>Z</t>
  </si>
  <si>
    <t>Compressibility Factor</t>
  </si>
  <si>
    <t>k</t>
  </si>
  <si>
    <t>Cp/Cv</t>
  </si>
  <si>
    <t>Relieving Conditions</t>
  </si>
  <si>
    <t>Pset</t>
  </si>
  <si>
    <t>Set Pressure</t>
  </si>
  <si>
    <t>psig</t>
  </si>
  <si>
    <t>AllowOverPres</t>
  </si>
  <si>
    <t>%</t>
  </si>
  <si>
    <t>T</t>
  </si>
  <si>
    <t>Relief Temperature</t>
  </si>
  <si>
    <r>
      <rPr>
        <sz val="12"/>
        <color theme="1"/>
        <rFont val="Times New Roman"/>
      </rPr>
      <t>o</t>
    </r>
    <r>
      <rPr>
        <sz val="12"/>
        <color theme="1"/>
        <rFont val="Times New Roman"/>
      </rPr>
      <t>F</t>
    </r>
  </si>
  <si>
    <t>MaxBP</t>
  </si>
  <si>
    <t>Max. BP@Header</t>
  </si>
  <si>
    <t>MinBP</t>
  </si>
  <si>
    <t>Min. BP@Header</t>
  </si>
  <si>
    <t>Orifice Sizing (Pre-Estimate)</t>
  </si>
  <si>
    <t>Areq</t>
  </si>
  <si>
    <t>Orifice Area Required</t>
  </si>
  <si>
    <r>
      <rPr>
        <sz val="12"/>
        <color theme="1"/>
        <rFont val="Times New Roman"/>
      </rPr>
      <t>in</t>
    </r>
    <r>
      <rPr>
        <vertAlign val="superscript"/>
        <sz val="12"/>
        <color theme="1"/>
        <rFont val="Times New Roman"/>
      </rPr>
      <t>2</t>
    </r>
  </si>
  <si>
    <t xml:space="preserve">    Kd</t>
  </si>
  <si>
    <t>Kb</t>
  </si>
  <si>
    <t xml:space="preserve">    Kb</t>
  </si>
  <si>
    <t>Kc</t>
  </si>
  <si>
    <t xml:space="preserve">    Kc</t>
  </si>
  <si>
    <t>KN</t>
  </si>
  <si>
    <t xml:space="preserve">    KN</t>
  </si>
  <si>
    <t>KSH</t>
  </si>
  <si>
    <t xml:space="preserve">    KSH</t>
  </si>
  <si>
    <t>Kw</t>
  </si>
  <si>
    <t xml:space="preserve">    Kw</t>
  </si>
  <si>
    <t>Kv</t>
  </si>
  <si>
    <t xml:space="preserve">    Kv</t>
  </si>
  <si>
    <t>Kp</t>
  </si>
  <si>
    <t xml:space="preserve">    Kp</t>
  </si>
  <si>
    <t>Asel</t>
  </si>
  <si>
    <t>Orifice Area Selected</t>
  </si>
  <si>
    <r>
      <rPr>
        <sz val="12"/>
        <color theme="1"/>
        <rFont val="Times New Roman"/>
      </rPr>
      <t>in</t>
    </r>
    <r>
      <rPr>
        <vertAlign val="superscript"/>
        <sz val="12"/>
        <color theme="1"/>
        <rFont val="Times New Roman"/>
      </rPr>
      <t>2</t>
    </r>
  </si>
  <si>
    <t>PSVSize</t>
  </si>
  <si>
    <t>PSV Size &amp; Type</t>
  </si>
  <si>
    <t>PSVClass</t>
  </si>
  <si>
    <t>PSV Inlet/Outlet Flange Class</t>
  </si>
  <si>
    <t>LineSizingFlowrate</t>
  </si>
  <si>
    <t>Line Sizing Flowrate</t>
  </si>
  <si>
    <t>Inlet Pipe Line Sizing</t>
  </si>
  <si>
    <t>InletLineClass</t>
  </si>
  <si>
    <t>InletLineSize</t>
  </si>
  <si>
    <t>Line Size</t>
  </si>
  <si>
    <t>in</t>
  </si>
  <si>
    <t>InletLineID</t>
  </si>
  <si>
    <t>Line ID</t>
  </si>
  <si>
    <t>InletLineCalcEquivLength</t>
  </si>
  <si>
    <t>Calc. Equiv. Length</t>
  </si>
  <si>
    <t>InletLineLength</t>
  </si>
  <si>
    <t xml:space="preserve">    Line Length</t>
  </si>
  <si>
    <t>ft</t>
  </si>
  <si>
    <t>InletLine90Elobw</t>
  </si>
  <si>
    <r>
      <rPr>
        <sz val="12"/>
        <color theme="1"/>
        <rFont val="Times New Roman"/>
      </rPr>
      <t xml:space="preserve">    90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Elbow</t>
    </r>
  </si>
  <si>
    <t>InletLine45Elbow</t>
  </si>
  <si>
    <r>
      <rPr>
        <sz val="12"/>
        <color theme="1"/>
        <rFont val="Times New Roman"/>
      </rPr>
      <t xml:space="preserve">    45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Elbow</t>
    </r>
  </si>
  <si>
    <t>InletLineTeeLine</t>
  </si>
  <si>
    <t xml:space="preserve">    Tee Line</t>
  </si>
  <si>
    <t>InletLineTeeBranch</t>
  </si>
  <si>
    <t xml:space="preserve">    Tee Branch</t>
  </si>
  <si>
    <t>InletLineReducer</t>
  </si>
  <si>
    <t xml:space="preserve">    Reducer</t>
  </si>
  <si>
    <t>InletLineGateValve</t>
  </si>
  <si>
    <t xml:space="preserve">    Gate Valve</t>
  </si>
  <si>
    <t>InletLineRupDisk</t>
  </si>
  <si>
    <t xml:space="preserve">    Rupture Disk</t>
  </si>
  <si>
    <t>InletLineEL</t>
  </si>
  <si>
    <t>Equiv. Length</t>
  </si>
  <si>
    <t>InletPresDropPerLength</t>
  </si>
  <si>
    <t>Pres. Drop per 100m</t>
  </si>
  <si>
    <t>psi/100ft</t>
  </si>
  <si>
    <t>InletPresDrop</t>
  </si>
  <si>
    <t>Pres. Drop</t>
  </si>
  <si>
    <t>psi</t>
  </si>
  <si>
    <t>SetPresX3P</t>
  </si>
  <si>
    <t>3% of Set Pressure</t>
  </si>
  <si>
    <t>InletVelocity</t>
  </si>
  <si>
    <t>Velocity</t>
  </si>
  <si>
    <t>ft/sec</t>
  </si>
  <si>
    <t>InletAllowEL</t>
  </si>
  <si>
    <t>Est. Allow. Equiv. Length</t>
  </si>
  <si>
    <t>InletIsPass</t>
  </si>
  <si>
    <t>Is Calculation Passed?</t>
  </si>
  <si>
    <t>Outlet Pipe Line Sizing</t>
  </si>
  <si>
    <t>OutletLineClass</t>
  </si>
  <si>
    <t>OutletLineSize</t>
  </si>
  <si>
    <t>OutletLineID</t>
  </si>
  <si>
    <t>OutletLineDualConnections</t>
  </si>
  <si>
    <t>Dual Outlet Connections</t>
  </si>
  <si>
    <t>OutletLineCalcEquivLength</t>
  </si>
  <si>
    <t>OutletLineLength</t>
  </si>
  <si>
    <t>OutletLine90Elobw</t>
  </si>
  <si>
    <r>
      <rPr>
        <sz val="12"/>
        <color theme="1"/>
        <rFont val="Times New Roman"/>
      </rPr>
      <t xml:space="preserve">    90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Elbow</t>
    </r>
  </si>
  <si>
    <t>OutletLine45Elbow</t>
  </si>
  <si>
    <r>
      <rPr>
        <sz val="12"/>
        <color theme="1"/>
        <rFont val="Times New Roman"/>
      </rPr>
      <t xml:space="preserve">    45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Elbow</t>
    </r>
  </si>
  <si>
    <t>OutletLineTeeLine</t>
  </si>
  <si>
    <t>OutletLineTeeBranch</t>
  </si>
  <si>
    <t>OutletLineReducer</t>
  </si>
  <si>
    <t>OutletLineGateValve</t>
  </si>
  <si>
    <t>OutletLineEL</t>
  </si>
  <si>
    <t>OutletPresDropPerLength</t>
  </si>
  <si>
    <t>OutletPresDrop</t>
  </si>
  <si>
    <t>OutletCalBP</t>
  </si>
  <si>
    <t>Cal. Max. Back Pres.</t>
  </si>
  <si>
    <t>OutletMABP</t>
  </si>
  <si>
    <t>Max. Allowable Back Pres.</t>
  </si>
  <si>
    <t>OutletVelocity</t>
  </si>
  <si>
    <t>Velocity of Max. BP @ Header (Z=1)</t>
  </si>
  <si>
    <t>OutletVelocityForMinBP</t>
  </si>
  <si>
    <t>Velocity of Min. BP @ Header (Z=1)</t>
  </si>
  <si>
    <t>Max. Allowable Velocity (240/r^0.5)</t>
  </si>
  <si>
    <t>OutletSonicVelocity</t>
  </si>
  <si>
    <t>Sonic Velocity (Cp/Cv=1, Z=1)</t>
  </si>
  <si>
    <t>OutletMaNo</t>
  </si>
  <si>
    <t>Ma. No. for Const. BP (Cp/Cv=1, Z=1)</t>
  </si>
  <si>
    <t>OutletAllowEL</t>
  </si>
  <si>
    <t>OutletIsPass</t>
  </si>
  <si>
    <t>Remark</t>
  </si>
  <si>
    <t>Effective
Orifice
Area</t>
  </si>
  <si>
    <t>Orifice
Designation</t>
  </si>
  <si>
    <t>Valve Size (in)</t>
  </si>
  <si>
    <t>Available Valve Size
(in)</t>
  </si>
  <si>
    <t>(in^2)</t>
  </si>
  <si>
    <t>-</t>
  </si>
  <si>
    <t>X</t>
  </si>
  <si>
    <t>for Thermal Relief</t>
  </si>
  <si>
    <t>D</t>
  </si>
  <si>
    <t>1x2, 1.5x2, 1.5x3</t>
  </si>
  <si>
    <t>E</t>
  </si>
  <si>
    <t>F</t>
  </si>
  <si>
    <t>1.5x2, 1.5x3</t>
  </si>
  <si>
    <t>G</t>
  </si>
  <si>
    <t>1.5x3, 2x3</t>
  </si>
  <si>
    <t>H</t>
  </si>
  <si>
    <t>J</t>
  </si>
  <si>
    <t>2x3, 3x4</t>
  </si>
  <si>
    <t>K</t>
  </si>
  <si>
    <t>3x4, 3x6</t>
  </si>
  <si>
    <t>L</t>
  </si>
  <si>
    <t>3x4, 4x6</t>
  </si>
  <si>
    <t>4x6</t>
  </si>
  <si>
    <t>N</t>
  </si>
  <si>
    <t>P</t>
  </si>
  <si>
    <t>Q</t>
  </si>
  <si>
    <t>6x8</t>
  </si>
  <si>
    <t>R</t>
  </si>
  <si>
    <t>6x8, 6x10</t>
  </si>
  <si>
    <t>8x10</t>
  </si>
  <si>
    <t>Materials</t>
  </si>
  <si>
    <t>Designation</t>
  </si>
  <si>
    <t>Inlet Size</t>
  </si>
  <si>
    <t>Outlet Size</t>
  </si>
  <si>
    <t>Inlet Class</t>
  </si>
  <si>
    <t>Outlet Class</t>
  </si>
  <si>
    <t>Max. Pressure (psig)</t>
  </si>
  <si>
    <t>-450'F
to
-76'F</t>
  </si>
  <si>
    <t>-75'F
to
-21'F</t>
  </si>
  <si>
    <t>-20'F
to
100'F</t>
  </si>
  <si>
    <t>101'F
to
450'F</t>
  </si>
  <si>
    <t>451'F
to
800'F</t>
  </si>
  <si>
    <t>801'F
to
1000'F</t>
  </si>
  <si>
    <t>0.75</t>
  </si>
  <si>
    <t>1</t>
  </si>
  <si>
    <t>150</t>
  </si>
  <si>
    <t>285</t>
  </si>
  <si>
    <t>185</t>
  </si>
  <si>
    <t>80</t>
  </si>
  <si>
    <t>300</t>
  </si>
  <si>
    <t>740</t>
  </si>
  <si>
    <t>615</t>
  </si>
  <si>
    <t>410</t>
  </si>
  <si>
    <t>600</t>
  </si>
  <si>
    <t>1480</t>
  </si>
  <si>
    <t>1235</t>
  </si>
  <si>
    <t>825</t>
  </si>
  <si>
    <t>900</t>
  </si>
  <si>
    <t>2220</t>
  </si>
  <si>
    <t>1845</t>
  </si>
  <si>
    <t>1500</t>
  </si>
  <si>
    <t>3705</t>
  </si>
  <si>
    <t>3080</t>
  </si>
  <si>
    <t>2060</t>
  </si>
  <si>
    <t>2500</t>
  </si>
  <si>
    <t>6000</t>
  </si>
  <si>
    <t>5135</t>
  </si>
  <si>
    <t>3430</t>
  </si>
  <si>
    <t>1.5</t>
  </si>
  <si>
    <t>2</t>
  </si>
  <si>
    <t>3</t>
  </si>
  <si>
    <t>5000</t>
  </si>
  <si>
    <t>2750</t>
  </si>
  <si>
    <t>4</t>
  </si>
  <si>
    <t>2700</t>
  </si>
  <si>
    <t>6</t>
  </si>
  <si>
    <t>1000</t>
  </si>
  <si>
    <t>1100</t>
  </si>
  <si>
    <t>525</t>
  </si>
  <si>
    <t>165</t>
  </si>
  <si>
    <t>100</t>
  </si>
  <si>
    <t>10</t>
  </si>
  <si>
    <t>230</t>
  </si>
  <si>
    <t>65</t>
  </si>
  <si>
    <t>120</t>
  </si>
  <si>
    <t>CMS</t>
  </si>
  <si>
    <t>510</t>
  </si>
  <si>
    <t>215</t>
  </si>
  <si>
    <t>1015</t>
  </si>
  <si>
    <t>430</t>
  </si>
  <si>
    <t>1525</t>
  </si>
  <si>
    <t>650</t>
  </si>
  <si>
    <t>2540</t>
  </si>
  <si>
    <t>1080</t>
  </si>
  <si>
    <t>4230</t>
  </si>
  <si>
    <t>1800</t>
  </si>
  <si>
    <t>225</t>
  </si>
  <si>
    <t>SS</t>
  </si>
  <si>
    <t>275</t>
  </si>
  <si>
    <t>180</t>
  </si>
  <si>
    <t>20</t>
  </si>
  <si>
    <t>720</t>
  </si>
  <si>
    <t>495</t>
  </si>
  <si>
    <t>420</t>
  </si>
  <si>
    <t>350</t>
  </si>
  <si>
    <t>1440</t>
  </si>
  <si>
    <t>990</t>
  </si>
  <si>
    <t>845</t>
  </si>
  <si>
    <t>700</t>
  </si>
  <si>
    <t>2160</t>
  </si>
  <si>
    <t>1485</t>
  </si>
  <si>
    <t>1265</t>
  </si>
  <si>
    <t>1050</t>
  </si>
  <si>
    <t>3600</t>
  </si>
  <si>
    <t>2480</t>
  </si>
  <si>
    <t>2110</t>
  </si>
  <si>
    <t>1750</t>
  </si>
  <si>
    <t>4000</t>
  </si>
  <si>
    <t>4130</t>
  </si>
  <si>
    <t>3520</t>
  </si>
  <si>
    <t>2915</t>
  </si>
  <si>
    <t>975</t>
  </si>
  <si>
    <t>2200</t>
  </si>
  <si>
    <t>3400</t>
  </si>
  <si>
    <t>2450</t>
  </si>
  <si>
    <t>2600</t>
  </si>
  <si>
    <t>1600</t>
  </si>
  <si>
    <t>500</t>
  </si>
  <si>
    <t>625</t>
  </si>
  <si>
    <t>800</t>
  </si>
  <si>
    <t>750</t>
  </si>
  <si>
    <t>535</t>
  </si>
  <si>
    <t>450</t>
  </si>
  <si>
    <t>175</t>
  </si>
  <si>
    <t>480</t>
  </si>
  <si>
    <t>250</t>
  </si>
  <si>
    <t>55</t>
  </si>
  <si>
    <t>200</t>
  </si>
  <si>
    <t>50</t>
  </si>
  <si>
    <t>-450'F
to
-21'F</t>
  </si>
  <si>
    <t>101'F
to
500'F</t>
  </si>
  <si>
    <t>170</t>
  </si>
  <si>
    <t>1200</t>
  </si>
  <si>
    <t>1795</t>
  </si>
  <si>
    <t>2995</t>
  </si>
  <si>
    <t>6170</t>
  </si>
  <si>
    <t>4990</t>
  </si>
  <si>
    <t>3650</t>
  </si>
  <si>
    <t>1240</t>
  </si>
  <si>
    <t>2900</t>
  </si>
  <si>
    <t>1305</t>
  </si>
  <si>
    <t>1330</t>
  </si>
  <si>
    <t>915</t>
  </si>
  <si>
    <t>955</t>
  </si>
  <si>
    <t>1435</t>
  </si>
  <si>
    <t>2390</t>
  </si>
  <si>
    <t>3980</t>
  </si>
  <si>
    <t>3550</t>
  </si>
  <si>
    <t>2825</t>
  </si>
  <si>
    <t>1285</t>
  </si>
  <si>
    <t>885</t>
  </si>
  <si>
    <t>870</t>
  </si>
  <si>
    <t>Material</t>
  </si>
  <si>
    <t>AA2W</t>
  </si>
  <si>
    <t>AA3W</t>
  </si>
  <si>
    <t>AB1W</t>
  </si>
  <si>
    <t>AB3W</t>
  </si>
  <si>
    <t>AC1W</t>
  </si>
  <si>
    <t>DD2W</t>
  </si>
  <si>
    <t>SA1W</t>
  </si>
  <si>
    <t>SA2W</t>
  </si>
  <si>
    <t>SB2W</t>
  </si>
  <si>
    <t>SD2W</t>
  </si>
  <si>
    <t>UA8W</t>
  </si>
  <si>
    <t>Nominal (in)</t>
  </si>
  <si>
    <t>Pipe ID (in)</t>
  </si>
  <si>
    <t>0.125</t>
  </si>
  <si>
    <t>0.25</t>
  </si>
  <si>
    <t>0.375</t>
  </si>
  <si>
    <t>0.5</t>
  </si>
  <si>
    <t>12</t>
  </si>
  <si>
    <t>14</t>
  </si>
  <si>
    <t>16</t>
  </si>
  <si>
    <t>18</t>
  </si>
  <si>
    <t>22</t>
  </si>
  <si>
    <t>24</t>
  </si>
  <si>
    <t>30</t>
  </si>
  <si>
    <t>36</t>
  </si>
  <si>
    <t>42</t>
  </si>
  <si>
    <t>46</t>
  </si>
  <si>
    <t>64</t>
  </si>
  <si>
    <t>Nominal Size
(in)</t>
  </si>
  <si>
    <t>Pipe ID
(in)</t>
  </si>
  <si>
    <r>
      <rPr>
        <sz val="12"/>
        <color theme="1"/>
        <rFont val="Times New Roman"/>
      </rPr>
      <t>Friction Factor
(f</t>
    </r>
    <r>
      <rPr>
        <vertAlign val="subscript"/>
        <sz val="12"/>
        <color theme="1"/>
        <rFont val="Times New Roman"/>
      </rPr>
      <t>T</t>
    </r>
    <r>
      <rPr>
        <sz val="12"/>
        <color theme="1"/>
        <rFont val="Times New Roman"/>
      </rPr>
      <t>)</t>
    </r>
  </si>
  <si>
    <t>K Factor</t>
  </si>
  <si>
    <r>
      <rPr>
        <sz val="12"/>
        <color theme="1"/>
        <rFont val="Times New Roman"/>
      </rPr>
      <t>90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Elobw</t>
    </r>
  </si>
  <si>
    <r>
      <rPr>
        <sz val="12"/>
        <color theme="1"/>
        <rFont val="Times New Roman"/>
      </rPr>
      <t>45</t>
    </r>
    <r>
      <rPr>
        <vertAlign val="superscript"/>
        <sz val="12"/>
        <color theme="1"/>
        <rFont val="Times New Roman"/>
      </rPr>
      <t>o</t>
    </r>
    <r>
      <rPr>
        <sz val="12"/>
        <color theme="1"/>
        <rFont val="Times New Roman"/>
      </rPr>
      <t xml:space="preserve"> Elobw</t>
    </r>
  </si>
  <si>
    <t>Tee-Line</t>
  </si>
  <si>
    <t>Tee-Branch</t>
  </si>
  <si>
    <t>Reducer
(Contraction)</t>
  </si>
  <si>
    <t>Reducer
(Enlargement)</t>
  </si>
  <si>
    <t>26</t>
  </si>
  <si>
    <t>25.376</t>
  </si>
  <si>
    <t>28</t>
  </si>
  <si>
    <t>27.25</t>
  </si>
  <si>
    <t>32</t>
  </si>
  <si>
    <t>31.25</t>
  </si>
  <si>
    <t>45.25</t>
  </si>
  <si>
    <t>63.25</t>
  </si>
  <si>
    <t>Check</t>
  </si>
  <si>
    <t>kg/hr</t>
  </si>
  <si>
    <t>C</t>
  </si>
  <si>
    <t>P1</t>
  </si>
  <si>
    <r>
      <rPr>
        <sz val="12"/>
        <color theme="1"/>
        <rFont val="Times New Roman"/>
      </rPr>
      <t>kg/cm</t>
    </r>
    <r>
      <rPr>
        <vertAlign val="superscript"/>
        <sz val="12"/>
        <color theme="1"/>
        <rFont val="Times New Roman"/>
      </rPr>
      <t>2</t>
    </r>
    <r>
      <rPr>
        <sz val="12"/>
        <color theme="1"/>
        <rFont val="Times New Roman"/>
      </rPr>
      <t>A</t>
    </r>
  </si>
  <si>
    <t>psia</t>
  </si>
  <si>
    <t>(for bellows type, see fig. 30 of API RP 520, for conv. &amp; pilot type, Kb=1)</t>
  </si>
  <si>
    <t>(w/o rup. disk Kc=1.0, w/ rup. disk Kc=0.9)</t>
  </si>
  <si>
    <r>
      <rPr>
        <sz val="12"/>
        <color theme="1"/>
        <rFont val="Times New Roman"/>
      </rPr>
      <t>o</t>
    </r>
    <r>
      <rPr>
        <sz val="12"/>
        <color theme="1"/>
        <rFont val="Times New Roman"/>
      </rPr>
      <t>C</t>
    </r>
  </si>
  <si>
    <t>A</t>
  </si>
  <si>
    <r>
      <rPr>
        <sz val="12"/>
        <color theme="1"/>
        <rFont val="Times New Roman"/>
      </rPr>
      <t>in</t>
    </r>
    <r>
      <rPr>
        <vertAlign val="superscript"/>
        <sz val="12"/>
        <color theme="1"/>
        <rFont val="Times New Roman"/>
      </rPr>
      <t>2</t>
    </r>
  </si>
  <si>
    <r>
      <rPr>
        <sz val="12"/>
        <color theme="1"/>
        <rFont val="Times New Roman"/>
      </rPr>
      <t>kg/cm</t>
    </r>
    <r>
      <rPr>
        <vertAlign val="superscript"/>
        <sz val="12"/>
        <color theme="1"/>
        <rFont val="Times New Roman"/>
      </rPr>
      <t>2</t>
    </r>
    <r>
      <rPr>
        <sz val="12"/>
        <color theme="1"/>
        <rFont val="Times New Roman"/>
      </rPr>
      <t>A</t>
    </r>
  </si>
  <si>
    <t>(see table of KSH, for sat. steam, KSH=1.0))</t>
  </si>
  <si>
    <r>
      <rPr>
        <sz val="12"/>
        <color theme="1"/>
        <rFont val="Times New Roman"/>
      </rPr>
      <t>in</t>
    </r>
    <r>
      <rPr>
        <vertAlign val="superscript"/>
        <sz val="12"/>
        <color theme="1"/>
        <rFont val="Times New Roman"/>
      </rPr>
      <t>2</t>
    </r>
  </si>
  <si>
    <r>
      <rPr>
        <sz val="12"/>
        <color theme="1"/>
        <rFont val="Times New Roman"/>
      </rPr>
      <t>m</t>
    </r>
    <r>
      <rPr>
        <vertAlign val="superscript"/>
        <sz val="12"/>
        <color theme="1"/>
        <rFont val="Times New Roman"/>
      </rPr>
      <t>3</t>
    </r>
    <r>
      <rPr>
        <sz val="12"/>
        <color theme="1"/>
        <rFont val="Times New Roman"/>
      </rPr>
      <t>/hr</t>
    </r>
  </si>
  <si>
    <t>gpm</t>
  </si>
  <si>
    <r>
      <rPr>
        <sz val="12"/>
        <color theme="1"/>
        <rFont val="Times New Roman"/>
      </rPr>
      <t>kg/cm</t>
    </r>
    <r>
      <rPr>
        <vertAlign val="superscript"/>
        <sz val="12"/>
        <color theme="1"/>
        <rFont val="Times New Roman"/>
      </rPr>
      <t>2</t>
    </r>
    <r>
      <rPr>
        <sz val="12"/>
        <color theme="1"/>
        <rFont val="Times New Roman"/>
      </rPr>
      <t>G</t>
    </r>
  </si>
  <si>
    <t>P2</t>
  </si>
  <si>
    <r>
      <rPr>
        <sz val="12"/>
        <color theme="1"/>
        <rFont val="Times New Roman"/>
      </rPr>
      <t>kg/cm</t>
    </r>
    <r>
      <rPr>
        <vertAlign val="superscript"/>
        <sz val="12"/>
        <color theme="1"/>
        <rFont val="Times New Roman"/>
      </rPr>
      <t>2</t>
    </r>
    <r>
      <rPr>
        <sz val="12"/>
        <color theme="1"/>
        <rFont val="Times New Roman"/>
      </rPr>
      <t>G</t>
    </r>
  </si>
  <si>
    <r>
      <rPr>
        <sz val="12"/>
        <color theme="1"/>
        <rFont val="Times New Roman"/>
      </rPr>
      <t>in</t>
    </r>
    <r>
      <rPr>
        <vertAlign val="superscript"/>
        <sz val="12"/>
        <color theme="1"/>
        <rFont val="Times New Roman"/>
      </rPr>
      <t>2</t>
    </r>
  </si>
  <si>
    <t>Sizing For Liquid Relief: Pressure Relief Valves Not Requiring Capacity Certification (Per API RP 520 eq. 3.12)</t>
  </si>
  <si>
    <t>A = Q / (38 * Kd * Kw * Kc * Kv * Kp) * (G / (1.25 * P - Pb)) ^ 0.5</t>
  </si>
  <si>
    <r>
      <rPr>
        <sz val="12"/>
        <color theme="1"/>
        <rFont val="Times New Roman"/>
      </rPr>
      <t>m</t>
    </r>
    <r>
      <rPr>
        <vertAlign val="superscript"/>
        <sz val="12"/>
        <color theme="1"/>
        <rFont val="Times New Roman"/>
      </rPr>
      <t>3</t>
    </r>
    <r>
      <rPr>
        <sz val="12"/>
        <color theme="1"/>
        <rFont val="Times New Roman"/>
      </rPr>
      <t>/hr</t>
    </r>
  </si>
  <si>
    <t>(for a preliminary sizing, Kd=0.62)</t>
  </si>
  <si>
    <r>
      <rPr>
        <sz val="12"/>
        <color theme="1"/>
        <rFont val="Times New Roman"/>
      </rPr>
      <t>kg/cm</t>
    </r>
    <r>
      <rPr>
        <vertAlign val="superscript"/>
        <sz val="12"/>
        <color theme="1"/>
        <rFont val="Times New Roman"/>
      </rPr>
      <t>2</t>
    </r>
    <r>
      <rPr>
        <sz val="12"/>
        <color theme="1"/>
        <rFont val="Times New Roman"/>
      </rPr>
      <t>G</t>
    </r>
  </si>
  <si>
    <t>Pb</t>
  </si>
  <si>
    <r>
      <rPr>
        <sz val="12"/>
        <color theme="1"/>
        <rFont val="Times New Roman"/>
      </rPr>
      <t>kg/cm</t>
    </r>
    <r>
      <rPr>
        <vertAlign val="superscript"/>
        <sz val="12"/>
        <color theme="1"/>
        <rFont val="Times New Roman"/>
      </rPr>
      <t>2</t>
    </r>
    <r>
      <rPr>
        <sz val="12"/>
        <color theme="1"/>
        <rFont val="Times New Roman"/>
      </rPr>
      <t>G</t>
    </r>
  </si>
  <si>
    <r>
      <rPr>
        <sz val="12"/>
        <color theme="1"/>
        <rFont val="Times New Roman"/>
      </rPr>
      <t>in</t>
    </r>
    <r>
      <rPr>
        <vertAlign val="superscript"/>
        <sz val="12"/>
        <color theme="1"/>
        <rFont val="Times New Roman"/>
      </rPr>
      <t>2</t>
    </r>
  </si>
  <si>
    <t>API RP 520 Table 9 - Superheat Correction Factor, KSH</t>
  </si>
  <si>
    <t>Temperature (deg. F)</t>
  </si>
  <si>
    <t>(psig)</t>
  </si>
  <si>
    <t>PSV Inlet &amp; Outlet Line Sizing</t>
  </si>
  <si>
    <t>Date</t>
  </si>
  <si>
    <t>Description</t>
  </si>
  <si>
    <t>1.0 Beta 1</t>
  </si>
  <si>
    <t>2004/7/19</t>
  </si>
  <si>
    <t>First Beta</t>
  </si>
  <si>
    <t>1.0 Beta 2</t>
  </si>
  <si>
    <t>2004/7/20</t>
  </si>
  <si>
    <t>1. Calculate KSH for Steam (Previous Rev. Assume KSH=0.85).</t>
  </si>
  <si>
    <t>2. If Line Class Has not Key-In, The Defaule Value is "CS".</t>
  </si>
  <si>
    <t>3. If Equiv. Length Has not Key-In, The Default Value is "60".</t>
  </si>
  <si>
    <t>4. Use The PSV's Rated Capacity to Size PSV Inlet &amp; Outlet Line Pressure Drop.</t>
  </si>
  <si>
    <t>1.0 Beta 3</t>
  </si>
  <si>
    <t>2004/7/21</t>
  </si>
  <si>
    <t>1. Use Var. BP to Calculate Required Orifice Area of Liquid Relief. (Previous Rev. Use Const. BP).</t>
  </si>
  <si>
    <t>2. Calculate Kw for Liquid Relief (Previous Rev. Assume Kw=1.0).</t>
  </si>
  <si>
    <t>3. Calculate Kb for Gas, Vapor &amp; Steam Relief (Previous Rev. Assume Kb=1.0).</t>
  </si>
  <si>
    <t>4. For Vapor &amp; Steam, Split the PSV Outlet Pipe to 30 Pieces to Calculate the Outlet Line Pressure Drop.</t>
  </si>
  <si>
    <t>5. Add Params Table.</t>
  </si>
  <si>
    <t>1.0 Beta 4</t>
  </si>
  <si>
    <t>2004/7/22</t>
  </si>
  <si>
    <t>1. Add Param of Line Pressure Drop Safety factor</t>
  </si>
  <si>
    <t>2. Use Darcy's Formula or Simplified Compressible Flow Formula(Crane eq. 1.7a) to Calculate PSV Outlet Line P.D.</t>
  </si>
  <si>
    <t>3. Calculate Valve or Fitting Equivlent Length for PSV Inelet &amp; Oulet Line.</t>
  </si>
  <si>
    <t>4. K Factor of Rupture from 0.5 Change to 1.5.</t>
  </si>
  <si>
    <t>1.0 Beta 5</t>
  </si>
  <si>
    <t>2004/7/23</t>
  </si>
  <si>
    <t>1. Correct the C Value Error when k=1.0 for Vapor Relief.</t>
  </si>
  <si>
    <t>2. Add Param. to Use The PSV's Rated Capacity to Size PSV Inlet &amp; Outlet Line Pressure Drop or not.</t>
  </si>
  <si>
    <t>1.0 Beta 6</t>
  </si>
  <si>
    <t>2004/8/6</t>
  </si>
  <si>
    <t>1. Calculate Valve or Fitting Equivlent Length for Individual PSV Inelet &amp; Oulet Line.</t>
  </si>
  <si>
    <t>2. Fix the bug that velocity of inlet line for vapor/steam is error.</t>
  </si>
  <si>
    <t>3. Calculate PSV Dual Outlet Connections Line Loss.</t>
  </si>
  <si>
    <t>4. Show Kd, Kb, Kc, KN, KSH, Kw, Kv, Kp.</t>
  </si>
  <si>
    <t>5. Exactly Selset PSV Size &amp; Class for CS.</t>
  </si>
  <si>
    <t>6. Program Protected.</t>
  </si>
  <si>
    <t>1.0 Beta 7</t>
  </si>
  <si>
    <t>2004/8/16</t>
  </si>
  <si>
    <t>1. Add the Function of Design Mode.</t>
  </si>
  <si>
    <t>2. Show Line Sizing Flowrate.</t>
  </si>
  <si>
    <t>3. Exactly Selset PSV Size &amp; Class for CMS &amp; SS.</t>
  </si>
  <si>
    <t>1.0 Beta 8</t>
  </si>
  <si>
    <t>2007/03/22</t>
  </si>
  <si>
    <t>1. Revise Rate Flow Calculation Method</t>
  </si>
  <si>
    <t>1.0 Beta 9b</t>
  </si>
  <si>
    <t>2009/05/06</t>
  </si>
  <si>
    <t>1. Error Correction for Density Calculation</t>
  </si>
  <si>
    <t>2. Based on the Setting Pressure to get the PSV Size</t>
  </si>
  <si>
    <t>3. Add Numbers of PipeID</t>
  </si>
  <si>
    <t>4. Fix C=400 if Cp/Cv &gt; 2</t>
  </si>
  <si>
    <t>1.0 Beta 9c</t>
  </si>
  <si>
    <t>2010/10/29</t>
  </si>
  <si>
    <t>Calculate the PSV outlet Density Based on Z=1</t>
  </si>
  <si>
    <t>1.0 Beta 9d</t>
  </si>
  <si>
    <t>2011/09/02</t>
  </si>
  <si>
    <t>1. Calculate the Sonic Velocity Based on Cp/Cv=1 and Z=1
2. Fix C=315 if Cp/Cv &lt; 1</t>
  </si>
  <si>
    <t>1.0 Beta 9e</t>
  </si>
  <si>
    <t>2013/10/25</t>
  </si>
  <si>
    <t>Area Required 若介於95% ~ 100% Orifice Selected, 則選擇大一號的PSV</t>
  </si>
  <si>
    <t>2017/2/3</t>
  </si>
  <si>
    <t>修改為英制單位</t>
  </si>
  <si>
    <t>Allowable Overpressure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</si>
</sst>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_ "/>
    <numFmt numFmtId="178" formatCode="0.0_ "/>
    <numFmt numFmtId="179" formatCode="0.000"/>
    <numFmt numFmtId="180" formatCode="0.000_ "/>
    <numFmt numFmtId="181" formatCode="0.0"/>
  </numFmts>
  <fonts count="14">
    <font>
      <sz val="12"/>
      <color rgb="FF000000"/>
      <name val="PMingLiu"/>
      <scheme val="minor"/>
    </font>
    <font>
      <sz val="12"/>
      <color theme="1"/>
      <name val="Times New Roman"/>
    </font>
    <font>
      <sz val="12"/>
      <color theme="1"/>
      <name val="PMingLiu"/>
      <family val="1"/>
      <charset val="136"/>
    </font>
    <font>
      <sz val="12"/>
      <color rgb="FFFF0000"/>
      <name val="Times New Roman"/>
    </font>
    <font>
      <vertAlign val="superscript"/>
      <sz val="12"/>
      <color theme="1"/>
      <name val="Times New Roman"/>
    </font>
    <font>
      <sz val="6"/>
      <color theme="1"/>
      <name val="Times New Roman"/>
    </font>
    <font>
      <sz val="10"/>
      <color theme="1"/>
      <name val="Times New Roman"/>
    </font>
    <font>
      <b/>
      <sz val="12"/>
      <color theme="1"/>
      <name val="Times New Roman"/>
    </font>
    <font>
      <sz val="12"/>
      <color rgb="FF008000"/>
      <name val="Times New Roman"/>
    </font>
    <font>
      <sz val="12"/>
      <name val="PMingLiu"/>
      <family val="1"/>
      <charset val="136"/>
    </font>
    <font>
      <vertAlign val="superscript"/>
      <sz val="12"/>
      <color theme="1"/>
      <name val="Times New Roman"/>
    </font>
    <font>
      <vertAlign val="subscript"/>
      <sz val="12"/>
      <color theme="1"/>
      <name val="Times New Roman"/>
    </font>
    <font>
      <sz val="9"/>
      <name val="PMingLiu"/>
      <family val="3"/>
      <charset val="136"/>
      <scheme val="minor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99"/>
        <bgColor rgb="FFFFFF99"/>
      </patternFill>
    </fill>
    <fill>
      <patternFill patternType="solid">
        <fgColor rgb="FFB8CCE4"/>
        <bgColor rgb="FFB8CCE4"/>
      </patternFill>
    </fill>
    <fill>
      <patternFill patternType="solid">
        <fgColor rgb="FFCCFFCC"/>
        <bgColor rgb="FFCCFFCC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25">
    <xf numFmtId="0" fontId="0" fillId="0" borderId="0" xfId="0"/>
    <xf numFmtId="49" fontId="1" fillId="0" borderId="0" xfId="0" applyNumberFormat="1" applyFont="1"/>
    <xf numFmtId="49" fontId="2" fillId="0" borderId="0" xfId="0" applyNumberFormat="1" applyFont="1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49" fontId="3" fillId="0" borderId="0" xfId="0" applyNumberFormat="1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 shrinkToFit="1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 shrinkToFit="1"/>
    </xf>
    <xf numFmtId="0" fontId="1" fillId="0" borderId="7" xfId="0" applyFont="1" applyBorder="1" applyAlignment="1">
      <alignment horizontal="center" vertical="center" shrinkToFit="1"/>
    </xf>
    <xf numFmtId="0" fontId="1" fillId="0" borderId="7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 shrinkToFit="1"/>
    </xf>
    <xf numFmtId="0" fontId="4" fillId="0" borderId="7" xfId="0" applyFont="1" applyBorder="1" applyAlignment="1">
      <alignment horizontal="left" vertical="center" shrinkToFit="1"/>
    </xf>
    <xf numFmtId="0" fontId="1" fillId="2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shrinkToFit="1"/>
    </xf>
    <xf numFmtId="0" fontId="6" fillId="2" borderId="7" xfId="0" applyFont="1" applyFill="1" applyBorder="1" applyAlignment="1">
      <alignment horizontal="center" vertical="center" shrinkToFit="1"/>
    </xf>
    <xf numFmtId="49" fontId="1" fillId="0" borderId="7" xfId="0" applyNumberFormat="1" applyFont="1" applyBorder="1" applyAlignment="1">
      <alignment horizontal="left" vertical="center"/>
    </xf>
    <xf numFmtId="49" fontId="1" fillId="0" borderId="7" xfId="0" applyNumberFormat="1" applyFont="1" applyBorder="1" applyAlignment="1">
      <alignment horizontal="left" vertical="center" shrinkToFit="1"/>
    </xf>
    <xf numFmtId="49" fontId="1" fillId="2" borderId="7" xfId="0" applyNumberFormat="1" applyFont="1" applyFill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76" fontId="1" fillId="0" borderId="7" xfId="0" applyNumberFormat="1" applyFont="1" applyBorder="1" applyAlignment="1">
      <alignment horizontal="left" vertical="center"/>
    </xf>
    <xf numFmtId="176" fontId="1" fillId="0" borderId="7" xfId="0" applyNumberFormat="1" applyFont="1" applyBorder="1" applyAlignment="1">
      <alignment horizontal="left" vertical="center" shrinkToFit="1"/>
    </xf>
    <xf numFmtId="176" fontId="1" fillId="2" borderId="7" xfId="0" applyNumberFormat="1" applyFont="1" applyFill="1" applyBorder="1" applyAlignment="1">
      <alignment horizontal="center" vertical="center"/>
    </xf>
    <xf numFmtId="176" fontId="3" fillId="2" borderId="7" xfId="0" applyNumberFormat="1" applyFont="1" applyFill="1" applyBorder="1" applyAlignment="1">
      <alignment horizontal="center" vertical="center"/>
    </xf>
    <xf numFmtId="176" fontId="1" fillId="0" borderId="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177" fontId="1" fillId="0" borderId="7" xfId="0" applyNumberFormat="1" applyFont="1" applyBorder="1" applyAlignment="1">
      <alignment horizontal="left" vertical="center"/>
    </xf>
    <xf numFmtId="177" fontId="1" fillId="0" borderId="7" xfId="0" applyNumberFormat="1" applyFont="1" applyBorder="1" applyAlignment="1">
      <alignment horizontal="left" vertical="center" shrinkToFit="1"/>
    </xf>
    <xf numFmtId="177" fontId="3" fillId="2" borderId="7" xfId="0" applyNumberFormat="1" applyFont="1" applyFill="1" applyBorder="1" applyAlignment="1">
      <alignment horizontal="center" vertical="center"/>
    </xf>
    <xf numFmtId="177" fontId="1" fillId="2" borderId="7" xfId="0" applyNumberFormat="1" applyFont="1" applyFill="1" applyBorder="1" applyAlignment="1">
      <alignment horizontal="center" vertical="center"/>
    </xf>
    <xf numFmtId="178" fontId="1" fillId="2" borderId="7" xfId="0" applyNumberFormat="1" applyFont="1" applyFill="1" applyBorder="1" applyAlignment="1">
      <alignment horizontal="center" vertical="center"/>
    </xf>
    <xf numFmtId="177" fontId="1" fillId="0" borderId="7" xfId="0" applyNumberFormat="1" applyFont="1" applyBorder="1" applyAlignment="1">
      <alignment horizontal="center" vertical="center"/>
    </xf>
    <xf numFmtId="179" fontId="1" fillId="2" borderId="7" xfId="0" applyNumberFormat="1" applyFont="1" applyFill="1" applyBorder="1" applyAlignment="1">
      <alignment horizontal="center" vertical="center"/>
    </xf>
    <xf numFmtId="180" fontId="1" fillId="2" borderId="7" xfId="0" applyNumberFormat="1" applyFont="1" applyFill="1" applyBorder="1" applyAlignment="1">
      <alignment horizontal="center" vertical="center"/>
    </xf>
    <xf numFmtId="181" fontId="1" fillId="2" borderId="7" xfId="0" applyNumberFormat="1" applyFont="1" applyFill="1" applyBorder="1" applyAlignment="1">
      <alignment horizontal="center" vertical="center"/>
    </xf>
    <xf numFmtId="180" fontId="1" fillId="0" borderId="7" xfId="0" applyNumberFormat="1" applyFont="1" applyBorder="1" applyAlignment="1">
      <alignment horizontal="left" vertical="center"/>
    </xf>
    <xf numFmtId="180" fontId="1" fillId="0" borderId="7" xfId="0" applyNumberFormat="1" applyFont="1" applyBorder="1" applyAlignment="1">
      <alignment horizontal="left" vertical="center" shrinkToFit="1"/>
    </xf>
    <xf numFmtId="180" fontId="1" fillId="0" borderId="7" xfId="0" applyNumberFormat="1" applyFont="1" applyBorder="1" applyAlignment="1">
      <alignment horizontal="center" vertical="center"/>
    </xf>
    <xf numFmtId="12" fontId="1" fillId="2" borderId="7" xfId="0" applyNumberFormat="1" applyFont="1" applyFill="1" applyBorder="1" applyAlignment="1">
      <alignment horizontal="center" vertical="center"/>
    </xf>
    <xf numFmtId="178" fontId="1" fillId="0" borderId="7" xfId="0" applyNumberFormat="1" applyFont="1" applyBorder="1" applyAlignment="1">
      <alignment horizontal="left" vertical="center"/>
    </xf>
    <xf numFmtId="178" fontId="1" fillId="0" borderId="7" xfId="0" applyNumberFormat="1" applyFont="1" applyBorder="1" applyAlignment="1">
      <alignment horizontal="left" vertical="center" shrinkToFit="1"/>
    </xf>
    <xf numFmtId="178" fontId="1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0" xfId="0" applyFont="1" applyAlignment="1">
      <alignment horizontal="left" vertical="center" shrinkToFit="1"/>
    </xf>
    <xf numFmtId="0" fontId="8" fillId="0" borderId="0" xfId="0" applyFont="1" applyAlignment="1">
      <alignment horizontal="center" vertical="center"/>
    </xf>
    <xf numFmtId="180" fontId="1" fillId="0" borderId="7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80" fontId="2" fillId="3" borderId="7" xfId="0" applyNumberFormat="1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80" fontId="2" fillId="2" borderId="7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4" borderId="7" xfId="0" applyNumberFormat="1" applyFont="1" applyFill="1" applyBorder="1" applyAlignment="1">
      <alignment horizontal="center" vertical="center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/>
    </xf>
    <xf numFmtId="180" fontId="1" fillId="0" borderId="7" xfId="0" applyNumberFormat="1" applyFont="1" applyBorder="1" applyAlignment="1">
      <alignment horizontal="center"/>
    </xf>
    <xf numFmtId="180" fontId="1" fillId="2" borderId="7" xfId="0" applyNumberFormat="1" applyFont="1" applyFill="1" applyBorder="1" applyAlignment="1">
      <alignment horizontal="center"/>
    </xf>
    <xf numFmtId="178" fontId="1" fillId="2" borderId="7" xfId="0" applyNumberFormat="1" applyFont="1" applyFill="1" applyBorder="1" applyAlignment="1">
      <alignment horizontal="center"/>
    </xf>
    <xf numFmtId="180" fontId="2" fillId="0" borderId="7" xfId="0" applyNumberFormat="1" applyFont="1" applyBorder="1" applyAlignment="1">
      <alignment horizontal="center"/>
    </xf>
    <xf numFmtId="176" fontId="1" fillId="2" borderId="7" xfId="0" applyNumberFormat="1" applyFont="1" applyFill="1" applyBorder="1" applyAlignment="1">
      <alignment horizontal="center"/>
    </xf>
    <xf numFmtId="177" fontId="1" fillId="2" borderId="7" xfId="0" applyNumberFormat="1" applyFont="1" applyFill="1" applyBorder="1" applyAlignment="1">
      <alignment horizontal="center"/>
    </xf>
    <xf numFmtId="180" fontId="2" fillId="2" borderId="7" xfId="0" applyNumberFormat="1" applyFont="1" applyFill="1" applyBorder="1" applyAlignment="1">
      <alignment horizontal="center"/>
    </xf>
    <xf numFmtId="49" fontId="2" fillId="0" borderId="7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80" fontId="2" fillId="0" borderId="0" xfId="0" applyNumberFormat="1" applyFont="1" applyAlignment="1">
      <alignment horizontal="center"/>
    </xf>
    <xf numFmtId="180" fontId="1" fillId="0" borderId="0" xfId="0" applyNumberFormat="1" applyFont="1" applyAlignment="1">
      <alignment horizontal="center" vertical="center" wrapText="1"/>
    </xf>
    <xf numFmtId="180" fontId="1" fillId="0" borderId="0" xfId="0" applyNumberFormat="1" applyFont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180" fontId="2" fillId="2" borderId="13" xfId="0" applyNumberFormat="1" applyFont="1" applyFill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1" fillId="2" borderId="13" xfId="0" applyNumberFormat="1" applyFont="1" applyFill="1" applyBorder="1"/>
    <xf numFmtId="176" fontId="2" fillId="0" borderId="0" xfId="0" applyNumberFormat="1" applyFont="1"/>
    <xf numFmtId="176" fontId="2" fillId="2" borderId="13" xfId="0" applyNumberFormat="1" applyFont="1" applyFill="1" applyBorder="1"/>
    <xf numFmtId="180" fontId="2" fillId="2" borderId="13" xfId="0" applyNumberFormat="1" applyFont="1" applyFill="1" applyBorder="1"/>
    <xf numFmtId="176" fontId="1" fillId="0" borderId="0" xfId="0" applyNumberFormat="1" applyFont="1"/>
    <xf numFmtId="49" fontId="10" fillId="0" borderId="0" xfId="0" applyNumberFormat="1" applyFont="1"/>
    <xf numFmtId="180" fontId="2" fillId="0" borderId="0" xfId="0" applyNumberFormat="1" applyFont="1"/>
    <xf numFmtId="177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horizontal="center"/>
    </xf>
    <xf numFmtId="176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vertical="center"/>
    </xf>
    <xf numFmtId="49" fontId="1" fillId="0" borderId="7" xfId="0" applyNumberFormat="1" applyFont="1" applyBorder="1" applyAlignment="1">
      <alignment vertical="center"/>
    </xf>
    <xf numFmtId="49" fontId="1" fillId="0" borderId="7" xfId="0" applyNumberFormat="1" applyFont="1" applyBorder="1" applyAlignment="1">
      <alignment vertical="center" shrinkToFit="1"/>
    </xf>
    <xf numFmtId="49" fontId="1" fillId="2" borderId="7" xfId="0" applyNumberFormat="1" applyFont="1" applyFill="1" applyBorder="1" applyAlignment="1">
      <alignment vertical="center"/>
    </xf>
    <xf numFmtId="49" fontId="1" fillId="2" borderId="7" xfId="0" applyNumberFormat="1" applyFont="1" applyFill="1" applyBorder="1" applyAlignment="1">
      <alignment vertical="center" shrinkToFit="1"/>
    </xf>
    <xf numFmtId="49" fontId="2" fillId="2" borderId="7" xfId="0" applyNumberFormat="1" applyFont="1" applyFill="1" applyBorder="1" applyAlignment="1">
      <alignment vertical="center"/>
    </xf>
    <xf numFmtId="49" fontId="2" fillId="2" borderId="7" xfId="0" applyNumberFormat="1" applyFont="1" applyFill="1" applyBorder="1" applyAlignment="1">
      <alignment vertical="center" shrinkToFit="1"/>
    </xf>
    <xf numFmtId="0" fontId="13" fillId="2" borderId="7" xfId="0" applyFont="1" applyFill="1" applyBorder="1" applyAlignment="1">
      <alignment horizontal="center" vertical="center" shrinkToFit="1"/>
    </xf>
    <xf numFmtId="0" fontId="13" fillId="2" borderId="7" xfId="0" applyFont="1" applyFill="1" applyBorder="1" applyAlignment="1">
      <alignment horizontal="center" vertical="center"/>
    </xf>
    <xf numFmtId="0" fontId="13" fillId="0" borderId="7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0" fontId="9" fillId="0" borderId="10" xfId="0" applyFont="1" applyBorder="1"/>
    <xf numFmtId="0" fontId="1" fillId="0" borderId="11" xfId="0" applyFont="1" applyBorder="1" applyAlignment="1">
      <alignment horizontal="center" vertical="center" wrapText="1"/>
    </xf>
    <xf numFmtId="0" fontId="9" fillId="0" borderId="12" xfId="0" applyFont="1" applyBorder="1"/>
    <xf numFmtId="49" fontId="1" fillId="0" borderId="11" xfId="0" applyNumberFormat="1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0" fontId="9" fillId="0" borderId="8" xfId="0" applyFont="1" applyBorder="1"/>
    <xf numFmtId="49" fontId="1" fillId="0" borderId="0" xfId="0" applyNumberFormat="1" applyFont="1" applyAlignment="1">
      <alignment horizontal="center" vertical="center" wrapText="1"/>
    </xf>
    <xf numFmtId="0" fontId="0" fillId="0" borderId="0" xfId="0"/>
    <xf numFmtId="180" fontId="1" fillId="0" borderId="0" xfId="0" applyNumberFormat="1" applyFont="1" applyAlignment="1">
      <alignment horizontal="center" vertical="center" wrapText="1"/>
    </xf>
    <xf numFmtId="180" fontId="1" fillId="0" borderId="0" xfId="0" applyNumberFormat="1" applyFont="1" applyAlignment="1">
      <alignment horizontal="center" vertical="center"/>
    </xf>
    <xf numFmtId="177" fontId="1" fillId="0" borderId="0" xfId="0" applyNumberFormat="1" applyFont="1" applyAlignment="1">
      <alignment horizontal="center"/>
    </xf>
    <xf numFmtId="176" fontId="1" fillId="0" borderId="0" xfId="0" applyNumberFormat="1" applyFont="1" applyAlignment="1">
      <alignment horizontal="center"/>
    </xf>
    <xf numFmtId="49" fontId="1" fillId="0" borderId="6" xfId="0" applyNumberFormat="1" applyFont="1" applyBorder="1" applyAlignment="1">
      <alignment vertical="center" shrinkToFi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524500" cy="5715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PMingLiu"/>
        <a:ea typeface="PMingLiu"/>
        <a:cs typeface="PMingLiu"/>
      </a:majorFont>
      <a:minorFont>
        <a:latin typeface="PMingLiu"/>
        <a:ea typeface="PMingLiu"/>
        <a:cs typeface="PMingLiu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Z1000"/>
  <sheetViews>
    <sheetView workbookViewId="0"/>
  </sheetViews>
  <sheetFormatPr defaultColWidth="11.25" defaultRowHeight="15" customHeight="1"/>
  <cols>
    <col min="1" max="1" width="3.5" customWidth="1"/>
    <col min="2" max="2" width="7.125" customWidth="1"/>
    <col min="3" max="3" width="3.5" customWidth="1"/>
    <col min="4" max="5" width="8" customWidth="1"/>
    <col min="6" max="6" width="14.5" customWidth="1"/>
    <col min="7" max="26" width="8" customWidth="1"/>
  </cols>
  <sheetData>
    <row r="1" spans="1:26" ht="16.5" customHeight="1">
      <c r="A1" s="1" t="s">
        <v>0</v>
      </c>
      <c r="B1" s="1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6.5" customHeight="1">
      <c r="A3" s="2"/>
      <c r="B3" s="1" t="s">
        <v>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6.5" customHeight="1">
      <c r="A4" s="2"/>
    </row>
    <row r="5" spans="1:26" ht="16.5" customHeight="1">
      <c r="A5" s="2"/>
      <c r="B5" s="3" t="s">
        <v>3</v>
      </c>
      <c r="C5" s="3" t="s">
        <v>4</v>
      </c>
      <c r="D5" s="4">
        <v>0.97499999999999998</v>
      </c>
      <c r="E5" s="5" t="s">
        <v>5</v>
      </c>
    </row>
    <row r="6" spans="1:26" ht="16.5" customHeight="1">
      <c r="A6" s="2"/>
    </row>
    <row r="7" spans="1:26" ht="16.5" customHeight="1">
      <c r="A7" s="1" t="s">
        <v>6</v>
      </c>
      <c r="B7" s="1" t="s">
        <v>7</v>
      </c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6.5" customHeight="1">
      <c r="A8" s="2"/>
      <c r="B8" s="1"/>
      <c r="C8" s="1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6.5" customHeight="1">
      <c r="A9" s="2"/>
      <c r="B9" s="1" t="s">
        <v>8</v>
      </c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6.5" customHeight="1">
      <c r="A10" s="2"/>
    </row>
    <row r="11" spans="1:26" ht="16.5" customHeight="1">
      <c r="A11" s="2"/>
      <c r="B11" s="3" t="s">
        <v>3</v>
      </c>
      <c r="C11" s="3" t="s">
        <v>4</v>
      </c>
      <c r="D11" s="4">
        <v>0.97499999999999998</v>
      </c>
      <c r="E11" s="5" t="s">
        <v>5</v>
      </c>
    </row>
    <row r="12" spans="1:26" ht="16.5" customHeight="1">
      <c r="A12" s="2"/>
    </row>
    <row r="13" spans="1:26" ht="16.5" customHeight="1">
      <c r="A13" s="1" t="s">
        <v>9</v>
      </c>
      <c r="B13" s="1" t="s">
        <v>10</v>
      </c>
      <c r="C13" s="1"/>
      <c r="D13" s="1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2"/>
      <c r="B14" s="2"/>
      <c r="C14" s="1"/>
      <c r="D14" s="1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6.5" customHeight="1">
      <c r="A15" s="2"/>
      <c r="B15" s="1" t="s">
        <v>11</v>
      </c>
      <c r="C15" s="1"/>
      <c r="D15" s="1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6.5" customHeight="1">
      <c r="A16" s="2"/>
    </row>
    <row r="17" spans="1:12" ht="16.5" customHeight="1">
      <c r="A17" s="2"/>
      <c r="B17" s="3" t="s">
        <v>3</v>
      </c>
      <c r="C17" s="3" t="s">
        <v>4</v>
      </c>
      <c r="D17" s="4">
        <v>0.65</v>
      </c>
      <c r="E17" s="5" t="s">
        <v>12</v>
      </c>
    </row>
    <row r="18" spans="1:12" ht="16.5" customHeight="1">
      <c r="A18" s="2"/>
    </row>
    <row r="19" spans="1:12" ht="16.5" customHeight="1">
      <c r="A19" s="1" t="s">
        <v>13</v>
      </c>
      <c r="B19" s="3" t="s">
        <v>14</v>
      </c>
    </row>
    <row r="20" spans="1:12" ht="16.5" customHeight="1">
      <c r="A20" s="2"/>
    </row>
    <row r="21" spans="1:12" ht="16.5" customHeight="1">
      <c r="A21" s="2"/>
      <c r="B21" s="3" t="s">
        <v>15</v>
      </c>
      <c r="C21" s="3" t="s">
        <v>4</v>
      </c>
      <c r="D21" s="4">
        <v>1.2</v>
      </c>
    </row>
    <row r="22" spans="1:12" ht="16.5" customHeight="1">
      <c r="A22" s="2"/>
    </row>
    <row r="23" spans="1:12" ht="16.5" customHeight="1">
      <c r="A23" s="1" t="s">
        <v>16</v>
      </c>
      <c r="B23" s="3" t="s">
        <v>17</v>
      </c>
      <c r="J23" s="6"/>
      <c r="K23" s="7" t="s">
        <v>18</v>
      </c>
      <c r="L23" s="5" t="s">
        <v>19</v>
      </c>
    </row>
    <row r="24" spans="1:12" ht="16.5" customHeight="1">
      <c r="A24" s="2"/>
    </row>
    <row r="25" spans="1:12" ht="16.5" customHeight="1">
      <c r="A25" s="1" t="s">
        <v>20</v>
      </c>
      <c r="B25" s="3" t="s">
        <v>21</v>
      </c>
      <c r="J25" s="4">
        <v>0.4</v>
      </c>
      <c r="K25" s="3"/>
    </row>
    <row r="26" spans="1:12" ht="16.5" customHeight="1">
      <c r="A26" s="2"/>
    </row>
    <row r="27" spans="1:12" ht="16.5" customHeight="1">
      <c r="A27" s="1" t="s">
        <v>22</v>
      </c>
      <c r="B27" s="3" t="s">
        <v>23</v>
      </c>
    </row>
    <row r="28" spans="1:12" ht="16.5" customHeight="1">
      <c r="A28" s="2"/>
    </row>
    <row r="29" spans="1:12" ht="16.5" customHeight="1">
      <c r="A29" s="2"/>
      <c r="F29" s="6" t="s">
        <v>24</v>
      </c>
      <c r="G29" s="7" t="s">
        <v>25</v>
      </c>
    </row>
    <row r="30" spans="1:12" ht="16.5" customHeight="1">
      <c r="A30" s="2"/>
    </row>
    <row r="31" spans="1:12" ht="16.5" customHeight="1">
      <c r="A31" s="2"/>
      <c r="G31" s="6" t="s">
        <v>26</v>
      </c>
      <c r="H31" s="6" t="s">
        <v>27</v>
      </c>
    </row>
    <row r="32" spans="1:12" ht="16.5" customHeight="1">
      <c r="A32" s="2"/>
      <c r="F32" s="6" t="s">
        <v>28</v>
      </c>
      <c r="G32" s="7" t="s">
        <v>25</v>
      </c>
      <c r="H32" s="8" t="s">
        <v>25</v>
      </c>
    </row>
    <row r="33" spans="1:8" ht="16.5" customHeight="1">
      <c r="A33" s="2"/>
    </row>
    <row r="34" spans="1:8" ht="16.5" customHeight="1">
      <c r="A34" s="2"/>
      <c r="B34" s="3" t="s">
        <v>29</v>
      </c>
      <c r="G34" s="7" t="s">
        <v>18</v>
      </c>
    </row>
    <row r="35" spans="1:8" ht="16.5" customHeight="1">
      <c r="A35" s="2"/>
    </row>
    <row r="36" spans="1:8" ht="16.5" customHeight="1">
      <c r="A36" s="2"/>
      <c r="B36" s="3" t="s">
        <v>30</v>
      </c>
    </row>
    <row r="37" spans="1:8" ht="16.5" customHeight="1">
      <c r="A37" s="2"/>
      <c r="F37" s="9" t="s">
        <v>31</v>
      </c>
      <c r="G37" s="10">
        <v>50</v>
      </c>
      <c r="H37" s="11">
        <v>50</v>
      </c>
    </row>
    <row r="38" spans="1:8" ht="16.5" customHeight="1">
      <c r="A38" s="2"/>
    </row>
    <row r="39" spans="1:8" ht="16.5" customHeight="1">
      <c r="A39" s="2"/>
      <c r="B39" s="3" t="s">
        <v>32</v>
      </c>
    </row>
    <row r="40" spans="1:8" ht="16.5" customHeight="1">
      <c r="A40" s="2"/>
      <c r="F40" s="3" t="s">
        <v>33</v>
      </c>
      <c r="G40" s="10">
        <v>2</v>
      </c>
      <c r="H40" s="11">
        <v>10</v>
      </c>
    </row>
    <row r="41" spans="1:8" ht="18.75" customHeight="1">
      <c r="A41" s="2"/>
      <c r="F41" s="3" t="s">
        <v>34</v>
      </c>
      <c r="G41" s="12">
        <v>3</v>
      </c>
      <c r="H41" s="13">
        <v>5</v>
      </c>
    </row>
    <row r="42" spans="1:8" ht="18.75" customHeight="1">
      <c r="A42" s="2"/>
      <c r="F42" s="3" t="s">
        <v>35</v>
      </c>
      <c r="G42" s="12"/>
      <c r="H42" s="13">
        <v>1</v>
      </c>
    </row>
    <row r="43" spans="1:8" ht="16.5" customHeight="1">
      <c r="A43" s="2"/>
      <c r="F43" s="3" t="s">
        <v>36</v>
      </c>
      <c r="G43" s="12">
        <v>1</v>
      </c>
      <c r="H43" s="13">
        <v>1</v>
      </c>
    </row>
    <row r="44" spans="1:8" ht="16.5" customHeight="1">
      <c r="A44" s="2"/>
      <c r="F44" s="3" t="s">
        <v>37</v>
      </c>
      <c r="G44" s="12"/>
      <c r="H44" s="13"/>
    </row>
    <row r="45" spans="1:8" ht="16.5" customHeight="1">
      <c r="A45" s="2"/>
      <c r="F45" s="3" t="s">
        <v>38</v>
      </c>
      <c r="G45" s="12">
        <v>1</v>
      </c>
      <c r="H45" s="13">
        <v>1</v>
      </c>
    </row>
    <row r="46" spans="1:8" ht="16.5" customHeight="1">
      <c r="A46" s="2"/>
      <c r="F46" s="3" t="s">
        <v>39</v>
      </c>
      <c r="G46" s="12">
        <v>1</v>
      </c>
      <c r="H46" s="13">
        <v>1</v>
      </c>
    </row>
    <row r="47" spans="1:8" ht="16.5" customHeight="1">
      <c r="A47" s="2"/>
      <c r="F47" s="3" t="s">
        <v>40</v>
      </c>
      <c r="G47" s="12"/>
      <c r="H47" s="14"/>
    </row>
    <row r="48" spans="1:8" ht="16.5" customHeight="1">
      <c r="A48" s="2"/>
    </row>
    <row r="49" spans="1:7" ht="16.5" customHeight="1">
      <c r="A49" s="2"/>
      <c r="B49" s="3" t="s">
        <v>41</v>
      </c>
      <c r="G49" s="4">
        <v>0.7</v>
      </c>
    </row>
    <row r="50" spans="1:7" ht="16.5" customHeight="1">
      <c r="A50" s="2"/>
    </row>
    <row r="51" spans="1:7" ht="16.5" customHeight="1">
      <c r="A51" s="2"/>
    </row>
    <row r="52" spans="1:7" ht="16.5" customHeight="1">
      <c r="A52" s="2"/>
    </row>
    <row r="53" spans="1:7" ht="16.5" customHeight="1">
      <c r="A53" s="2"/>
    </row>
    <row r="54" spans="1:7" ht="16.5" customHeight="1">
      <c r="A54" s="2"/>
    </row>
    <row r="55" spans="1:7" ht="16.5" customHeight="1">
      <c r="A55" s="2"/>
    </row>
    <row r="56" spans="1:7" ht="16.5" customHeight="1">
      <c r="A56" s="2"/>
    </row>
    <row r="57" spans="1:7" ht="16.5" customHeight="1">
      <c r="A57" s="2"/>
    </row>
    <row r="58" spans="1:7" ht="16.5" customHeight="1">
      <c r="A58" s="2"/>
    </row>
    <row r="59" spans="1:7" ht="16.5" customHeight="1">
      <c r="A59" s="2"/>
    </row>
    <row r="60" spans="1:7" ht="16.5" customHeight="1">
      <c r="A60" s="2"/>
    </row>
    <row r="61" spans="1:7" ht="16.5" customHeight="1">
      <c r="A61" s="2"/>
    </row>
    <row r="62" spans="1:7" ht="16.5" customHeight="1">
      <c r="A62" s="2"/>
    </row>
    <row r="63" spans="1:7" ht="16.5" customHeight="1">
      <c r="A63" s="2"/>
    </row>
    <row r="64" spans="1:7" ht="16.5" customHeight="1">
      <c r="A64" s="2"/>
    </row>
    <row r="65" spans="1:1" ht="16.5" customHeight="1">
      <c r="A65" s="2"/>
    </row>
    <row r="66" spans="1:1" ht="16.5" customHeight="1">
      <c r="A66" s="2"/>
    </row>
    <row r="67" spans="1:1" ht="16.5" customHeight="1">
      <c r="A67" s="2"/>
    </row>
    <row r="68" spans="1:1" ht="16.5" customHeight="1">
      <c r="A68" s="2"/>
    </row>
    <row r="69" spans="1:1" ht="16.5" customHeight="1">
      <c r="A69" s="2"/>
    </row>
    <row r="70" spans="1:1" ht="16.5" customHeight="1">
      <c r="A70" s="2"/>
    </row>
    <row r="71" spans="1:1" ht="16.5" customHeight="1">
      <c r="A71" s="2"/>
    </row>
    <row r="72" spans="1:1" ht="16.5" customHeight="1">
      <c r="A72" s="2"/>
    </row>
    <row r="73" spans="1:1" ht="16.5" customHeight="1">
      <c r="A73" s="2"/>
    </row>
    <row r="74" spans="1:1" ht="16.5" customHeight="1">
      <c r="A74" s="2"/>
    </row>
    <row r="75" spans="1:1" ht="16.5" customHeight="1">
      <c r="A75" s="2"/>
    </row>
    <row r="76" spans="1:1" ht="16.5" customHeight="1">
      <c r="A76" s="2"/>
    </row>
    <row r="77" spans="1:1" ht="16.5" customHeight="1">
      <c r="A77" s="2"/>
    </row>
    <row r="78" spans="1:1" ht="16.5" customHeight="1">
      <c r="A78" s="2"/>
    </row>
    <row r="79" spans="1:1" ht="16.5" customHeight="1">
      <c r="A79" s="2"/>
    </row>
    <row r="80" spans="1:1" ht="16.5" customHeight="1">
      <c r="A80" s="2"/>
    </row>
    <row r="81" spans="1:1" ht="16.5" customHeight="1">
      <c r="A81" s="2"/>
    </row>
    <row r="82" spans="1:1" ht="16.5" customHeight="1">
      <c r="A82" s="2"/>
    </row>
    <row r="83" spans="1:1" ht="16.5" customHeight="1">
      <c r="A83" s="2"/>
    </row>
    <row r="84" spans="1:1" ht="16.5" customHeight="1">
      <c r="A84" s="2"/>
    </row>
    <row r="85" spans="1:1" ht="16.5" customHeight="1">
      <c r="A85" s="2"/>
    </row>
    <row r="86" spans="1:1" ht="16.5" customHeight="1">
      <c r="A86" s="2"/>
    </row>
    <row r="87" spans="1:1" ht="16.5" customHeight="1">
      <c r="A87" s="2"/>
    </row>
    <row r="88" spans="1:1" ht="16.5" customHeight="1">
      <c r="A88" s="2"/>
    </row>
    <row r="89" spans="1:1" ht="16.5" customHeight="1">
      <c r="A89" s="2"/>
    </row>
    <row r="90" spans="1:1" ht="16.5" customHeight="1">
      <c r="A90" s="2"/>
    </row>
    <row r="91" spans="1:1" ht="16.5" customHeight="1">
      <c r="A91" s="2"/>
    </row>
    <row r="92" spans="1:1" ht="16.5" customHeight="1">
      <c r="A92" s="2"/>
    </row>
    <row r="93" spans="1:1" ht="16.5" customHeight="1">
      <c r="A93" s="2"/>
    </row>
    <row r="94" spans="1:1" ht="16.5" customHeight="1">
      <c r="A94" s="2"/>
    </row>
    <row r="95" spans="1:1" ht="16.5" customHeight="1">
      <c r="A95" s="2"/>
    </row>
    <row r="96" spans="1:1" ht="16.5" customHeight="1">
      <c r="A96" s="2"/>
    </row>
    <row r="97" spans="1:1" ht="16.5" customHeight="1">
      <c r="A97" s="2"/>
    </row>
    <row r="98" spans="1:1" ht="16.5" customHeight="1">
      <c r="A98" s="2"/>
    </row>
    <row r="99" spans="1:1" ht="16.5" customHeight="1">
      <c r="A99" s="2"/>
    </row>
    <row r="100" spans="1:1" ht="16.5" customHeight="1">
      <c r="A100" s="2"/>
    </row>
    <row r="101" spans="1:1" ht="16.5" customHeight="1">
      <c r="A101" s="2"/>
    </row>
    <row r="102" spans="1:1" ht="16.5" customHeight="1">
      <c r="A102" s="2"/>
    </row>
    <row r="103" spans="1:1" ht="16.5" customHeight="1">
      <c r="A103" s="2"/>
    </row>
    <row r="104" spans="1:1" ht="16.5" customHeight="1">
      <c r="A104" s="2"/>
    </row>
    <row r="105" spans="1:1" ht="16.5" customHeight="1">
      <c r="A105" s="2"/>
    </row>
    <row r="106" spans="1:1" ht="16.5" customHeight="1">
      <c r="A106" s="2"/>
    </row>
    <row r="107" spans="1:1" ht="16.5" customHeight="1">
      <c r="A107" s="2"/>
    </row>
    <row r="108" spans="1:1" ht="16.5" customHeight="1">
      <c r="A108" s="2"/>
    </row>
    <row r="109" spans="1:1" ht="16.5" customHeight="1">
      <c r="A109" s="2"/>
    </row>
    <row r="110" spans="1:1" ht="16.5" customHeight="1">
      <c r="A110" s="2"/>
    </row>
    <row r="111" spans="1:1" ht="16.5" customHeight="1">
      <c r="A111" s="2"/>
    </row>
    <row r="112" spans="1:1" ht="16.5" customHeight="1">
      <c r="A112" s="2"/>
    </row>
    <row r="113" spans="1:1" ht="16.5" customHeight="1">
      <c r="A113" s="2"/>
    </row>
    <row r="114" spans="1:1" ht="16.5" customHeight="1">
      <c r="A114" s="2"/>
    </row>
    <row r="115" spans="1:1" ht="16.5" customHeight="1">
      <c r="A115" s="2"/>
    </row>
    <row r="116" spans="1:1" ht="16.5" customHeight="1">
      <c r="A116" s="2"/>
    </row>
    <row r="117" spans="1:1" ht="16.5" customHeight="1">
      <c r="A117" s="2"/>
    </row>
    <row r="118" spans="1:1" ht="16.5" customHeight="1">
      <c r="A118" s="2"/>
    </row>
    <row r="119" spans="1:1" ht="16.5" customHeight="1">
      <c r="A119" s="2"/>
    </row>
    <row r="120" spans="1:1" ht="16.5" customHeight="1">
      <c r="A120" s="2"/>
    </row>
    <row r="121" spans="1:1" ht="16.5" customHeight="1">
      <c r="A121" s="2"/>
    </row>
    <row r="122" spans="1:1" ht="16.5" customHeight="1">
      <c r="A122" s="2"/>
    </row>
    <row r="123" spans="1:1" ht="16.5" customHeight="1">
      <c r="A123" s="2"/>
    </row>
    <row r="124" spans="1:1" ht="16.5" customHeight="1">
      <c r="A124" s="2"/>
    </row>
    <row r="125" spans="1:1" ht="16.5" customHeight="1">
      <c r="A125" s="2"/>
    </row>
    <row r="126" spans="1:1" ht="16.5" customHeight="1">
      <c r="A126" s="2"/>
    </row>
    <row r="127" spans="1:1" ht="16.5" customHeight="1">
      <c r="A127" s="2"/>
    </row>
    <row r="128" spans="1:1" ht="16.5" customHeight="1">
      <c r="A128" s="2"/>
    </row>
    <row r="129" spans="1:1" ht="16.5" customHeight="1">
      <c r="A129" s="2"/>
    </row>
    <row r="130" spans="1:1" ht="16.5" customHeight="1">
      <c r="A130" s="2"/>
    </row>
    <row r="131" spans="1:1" ht="16.5" customHeight="1">
      <c r="A131" s="2"/>
    </row>
    <row r="132" spans="1:1" ht="16.5" customHeight="1">
      <c r="A132" s="2"/>
    </row>
    <row r="133" spans="1:1" ht="16.5" customHeight="1">
      <c r="A133" s="2"/>
    </row>
    <row r="134" spans="1:1" ht="16.5" customHeight="1">
      <c r="A134" s="2"/>
    </row>
    <row r="135" spans="1:1" ht="16.5" customHeight="1">
      <c r="A135" s="2"/>
    </row>
    <row r="136" spans="1:1" ht="16.5" customHeight="1">
      <c r="A136" s="2"/>
    </row>
    <row r="137" spans="1:1" ht="16.5" customHeight="1">
      <c r="A137" s="2"/>
    </row>
    <row r="138" spans="1:1" ht="16.5" customHeight="1">
      <c r="A138" s="2"/>
    </row>
    <row r="139" spans="1:1" ht="16.5" customHeight="1">
      <c r="A139" s="2"/>
    </row>
    <row r="140" spans="1:1" ht="16.5" customHeight="1">
      <c r="A140" s="2"/>
    </row>
    <row r="141" spans="1:1" ht="16.5" customHeight="1">
      <c r="A141" s="2"/>
    </row>
    <row r="142" spans="1:1" ht="16.5" customHeight="1">
      <c r="A142" s="2"/>
    </row>
    <row r="143" spans="1:1" ht="16.5" customHeight="1">
      <c r="A143" s="2"/>
    </row>
    <row r="144" spans="1:1" ht="16.5" customHeight="1">
      <c r="A144" s="2"/>
    </row>
    <row r="145" spans="1:1" ht="16.5" customHeight="1">
      <c r="A145" s="2"/>
    </row>
    <row r="146" spans="1:1" ht="16.5" customHeight="1">
      <c r="A146" s="2"/>
    </row>
    <row r="147" spans="1:1" ht="16.5" customHeight="1">
      <c r="A147" s="2"/>
    </row>
    <row r="148" spans="1:1" ht="16.5" customHeight="1">
      <c r="A148" s="2"/>
    </row>
    <row r="149" spans="1:1" ht="16.5" customHeight="1">
      <c r="A149" s="2"/>
    </row>
    <row r="150" spans="1:1" ht="16.5" customHeight="1">
      <c r="A150" s="2"/>
    </row>
    <row r="151" spans="1:1" ht="16.5" customHeight="1">
      <c r="A151" s="2"/>
    </row>
    <row r="152" spans="1:1" ht="16.5" customHeight="1">
      <c r="A152" s="2"/>
    </row>
    <row r="153" spans="1:1" ht="16.5" customHeight="1">
      <c r="A153" s="2"/>
    </row>
    <row r="154" spans="1:1" ht="16.5" customHeight="1">
      <c r="A154" s="2"/>
    </row>
    <row r="155" spans="1:1" ht="16.5" customHeight="1">
      <c r="A155" s="2"/>
    </row>
    <row r="156" spans="1:1" ht="16.5" customHeight="1">
      <c r="A156" s="2"/>
    </row>
    <row r="157" spans="1:1" ht="16.5" customHeight="1">
      <c r="A157" s="2"/>
    </row>
    <row r="158" spans="1:1" ht="16.5" customHeight="1">
      <c r="A158" s="2"/>
    </row>
    <row r="159" spans="1:1" ht="16.5" customHeight="1">
      <c r="A159" s="2"/>
    </row>
    <row r="160" spans="1:1" ht="16.5" customHeight="1">
      <c r="A160" s="2"/>
    </row>
    <row r="161" spans="1:1" ht="16.5" customHeight="1">
      <c r="A161" s="2"/>
    </row>
    <row r="162" spans="1:1" ht="16.5" customHeight="1">
      <c r="A162" s="2"/>
    </row>
    <row r="163" spans="1:1" ht="16.5" customHeight="1">
      <c r="A163" s="2"/>
    </row>
    <row r="164" spans="1:1" ht="16.5" customHeight="1">
      <c r="A164" s="2"/>
    </row>
    <row r="165" spans="1:1" ht="16.5" customHeight="1">
      <c r="A165" s="2"/>
    </row>
    <row r="166" spans="1:1" ht="16.5" customHeight="1">
      <c r="A166" s="2"/>
    </row>
    <row r="167" spans="1:1" ht="16.5" customHeight="1">
      <c r="A167" s="2"/>
    </row>
    <row r="168" spans="1:1" ht="16.5" customHeight="1">
      <c r="A168" s="2"/>
    </row>
    <row r="169" spans="1:1" ht="16.5" customHeight="1">
      <c r="A169" s="2"/>
    </row>
    <row r="170" spans="1:1" ht="16.5" customHeight="1">
      <c r="A170" s="2"/>
    </row>
    <row r="171" spans="1:1" ht="16.5" customHeight="1">
      <c r="A171" s="2"/>
    </row>
    <row r="172" spans="1:1" ht="16.5" customHeight="1">
      <c r="A172" s="2"/>
    </row>
    <row r="173" spans="1:1" ht="16.5" customHeight="1">
      <c r="A173" s="2"/>
    </row>
    <row r="174" spans="1:1" ht="16.5" customHeight="1">
      <c r="A174" s="2"/>
    </row>
    <row r="175" spans="1:1" ht="16.5" customHeight="1">
      <c r="A175" s="2"/>
    </row>
    <row r="176" spans="1:1" ht="16.5" customHeight="1">
      <c r="A176" s="2"/>
    </row>
    <row r="177" spans="1:1" ht="16.5" customHeight="1">
      <c r="A177" s="2"/>
    </row>
    <row r="178" spans="1:1" ht="16.5" customHeight="1">
      <c r="A178" s="2"/>
    </row>
    <row r="179" spans="1:1" ht="16.5" customHeight="1">
      <c r="A179" s="2"/>
    </row>
    <row r="180" spans="1:1" ht="16.5" customHeight="1">
      <c r="A180" s="2"/>
    </row>
    <row r="181" spans="1:1" ht="16.5" customHeight="1">
      <c r="A181" s="2"/>
    </row>
    <row r="182" spans="1:1" ht="16.5" customHeight="1">
      <c r="A182" s="2"/>
    </row>
    <row r="183" spans="1:1" ht="16.5" customHeight="1">
      <c r="A183" s="2"/>
    </row>
    <row r="184" spans="1:1" ht="16.5" customHeight="1">
      <c r="A184" s="2"/>
    </row>
    <row r="185" spans="1:1" ht="16.5" customHeight="1">
      <c r="A185" s="2"/>
    </row>
    <row r="186" spans="1:1" ht="16.5" customHeight="1">
      <c r="A186" s="2"/>
    </row>
    <row r="187" spans="1:1" ht="16.5" customHeight="1">
      <c r="A187" s="2"/>
    </row>
    <row r="188" spans="1:1" ht="16.5" customHeight="1">
      <c r="A188" s="2"/>
    </row>
    <row r="189" spans="1:1" ht="16.5" customHeight="1">
      <c r="A189" s="2"/>
    </row>
    <row r="190" spans="1:1" ht="16.5" customHeight="1">
      <c r="A190" s="2"/>
    </row>
    <row r="191" spans="1:1" ht="16.5" customHeight="1">
      <c r="A191" s="2"/>
    </row>
    <row r="192" spans="1:1" ht="16.5" customHeight="1">
      <c r="A192" s="2"/>
    </row>
    <row r="193" spans="1:1" ht="16.5" customHeight="1">
      <c r="A193" s="2"/>
    </row>
    <row r="194" spans="1:1" ht="16.5" customHeight="1">
      <c r="A194" s="2"/>
    </row>
    <row r="195" spans="1:1" ht="16.5" customHeight="1">
      <c r="A195" s="2"/>
    </row>
    <row r="196" spans="1:1" ht="16.5" customHeight="1">
      <c r="A196" s="2"/>
    </row>
    <row r="197" spans="1:1" ht="16.5" customHeight="1">
      <c r="A197" s="2"/>
    </row>
    <row r="198" spans="1:1" ht="16.5" customHeight="1">
      <c r="A198" s="2"/>
    </row>
    <row r="199" spans="1:1" ht="16.5" customHeight="1">
      <c r="A199" s="2"/>
    </row>
    <row r="200" spans="1:1" ht="16.5" customHeight="1">
      <c r="A200" s="2"/>
    </row>
    <row r="201" spans="1:1" ht="16.5" customHeight="1">
      <c r="A201" s="2"/>
    </row>
    <row r="202" spans="1:1" ht="16.5" customHeight="1">
      <c r="A202" s="2"/>
    </row>
    <row r="203" spans="1:1" ht="16.5" customHeight="1">
      <c r="A203" s="2"/>
    </row>
    <row r="204" spans="1:1" ht="16.5" customHeight="1">
      <c r="A204" s="2"/>
    </row>
    <row r="205" spans="1:1" ht="16.5" customHeight="1">
      <c r="A205" s="2"/>
    </row>
    <row r="206" spans="1:1" ht="16.5" customHeight="1">
      <c r="A206" s="2"/>
    </row>
    <row r="207" spans="1:1" ht="16.5" customHeight="1">
      <c r="A207" s="2"/>
    </row>
    <row r="208" spans="1:1" ht="16.5" customHeight="1">
      <c r="A208" s="2"/>
    </row>
    <row r="209" spans="1:1" ht="16.5" customHeight="1">
      <c r="A209" s="2"/>
    </row>
    <row r="210" spans="1:1" ht="16.5" customHeight="1">
      <c r="A210" s="2"/>
    </row>
    <row r="211" spans="1:1" ht="16.5" customHeight="1">
      <c r="A211" s="2"/>
    </row>
    <row r="212" spans="1:1" ht="16.5" customHeight="1">
      <c r="A212" s="2"/>
    </row>
    <row r="213" spans="1:1" ht="16.5" customHeight="1">
      <c r="A213" s="2"/>
    </row>
    <row r="214" spans="1:1" ht="16.5" customHeight="1">
      <c r="A214" s="2"/>
    </row>
    <row r="215" spans="1:1" ht="16.5" customHeight="1">
      <c r="A215" s="2"/>
    </row>
    <row r="216" spans="1:1" ht="16.5" customHeight="1">
      <c r="A216" s="2"/>
    </row>
    <row r="217" spans="1:1" ht="16.5" customHeight="1">
      <c r="A217" s="2"/>
    </row>
    <row r="218" spans="1:1" ht="16.5" customHeight="1">
      <c r="A218" s="2"/>
    </row>
    <row r="219" spans="1:1" ht="16.5" customHeight="1">
      <c r="A219" s="2"/>
    </row>
    <row r="220" spans="1:1" ht="16.5" customHeight="1">
      <c r="A220" s="2"/>
    </row>
    <row r="221" spans="1:1" ht="16.5" customHeight="1">
      <c r="A221" s="2"/>
    </row>
    <row r="222" spans="1:1" ht="16.5" customHeight="1">
      <c r="A222" s="2"/>
    </row>
    <row r="223" spans="1:1" ht="16.5" customHeight="1">
      <c r="A223" s="2"/>
    </row>
    <row r="224" spans="1:1" ht="16.5" customHeight="1">
      <c r="A224" s="2"/>
    </row>
    <row r="225" spans="1:1" ht="16.5" customHeight="1">
      <c r="A225" s="2"/>
    </row>
    <row r="226" spans="1:1" ht="16.5" customHeight="1">
      <c r="A226" s="2"/>
    </row>
    <row r="227" spans="1:1" ht="16.5" customHeight="1">
      <c r="A227" s="2"/>
    </row>
    <row r="228" spans="1:1" ht="16.5" customHeight="1">
      <c r="A228" s="2"/>
    </row>
    <row r="229" spans="1:1" ht="16.5" customHeight="1">
      <c r="A229" s="2"/>
    </row>
    <row r="230" spans="1:1" ht="16.5" customHeight="1">
      <c r="A230" s="2"/>
    </row>
    <row r="231" spans="1:1" ht="16.5" customHeight="1">
      <c r="A231" s="2"/>
    </row>
    <row r="232" spans="1:1" ht="16.5" customHeight="1">
      <c r="A232" s="2"/>
    </row>
    <row r="233" spans="1:1" ht="16.5" customHeight="1">
      <c r="A233" s="2"/>
    </row>
    <row r="234" spans="1:1" ht="16.5" customHeight="1">
      <c r="A234" s="2"/>
    </row>
    <row r="235" spans="1:1" ht="16.5" customHeight="1">
      <c r="A235" s="2"/>
    </row>
    <row r="236" spans="1:1" ht="16.5" customHeight="1">
      <c r="A236" s="2"/>
    </row>
    <row r="237" spans="1:1" ht="16.5" customHeight="1">
      <c r="A237" s="2"/>
    </row>
    <row r="238" spans="1:1" ht="16.5" customHeight="1">
      <c r="A238" s="2"/>
    </row>
    <row r="239" spans="1:1" ht="16.5" customHeight="1">
      <c r="A239" s="2"/>
    </row>
    <row r="240" spans="1:1" ht="16.5" customHeight="1">
      <c r="A240" s="2"/>
    </row>
    <row r="241" spans="1:1" ht="16.5" customHeight="1">
      <c r="A241" s="2"/>
    </row>
    <row r="242" spans="1:1" ht="16.5" customHeight="1">
      <c r="A242" s="2"/>
    </row>
    <row r="243" spans="1:1" ht="16.5" customHeight="1">
      <c r="A243" s="2"/>
    </row>
    <row r="244" spans="1:1" ht="16.5" customHeight="1">
      <c r="A244" s="2"/>
    </row>
    <row r="245" spans="1:1" ht="16.5" customHeight="1">
      <c r="A245" s="2"/>
    </row>
    <row r="246" spans="1:1" ht="16.5" customHeight="1">
      <c r="A246" s="2"/>
    </row>
    <row r="247" spans="1:1" ht="16.5" customHeight="1">
      <c r="A247" s="2"/>
    </row>
    <row r="248" spans="1:1" ht="16.5" customHeight="1">
      <c r="A248" s="2"/>
    </row>
    <row r="249" spans="1:1" ht="16.5" customHeight="1">
      <c r="A249" s="2"/>
    </row>
    <row r="250" spans="1:1" ht="16.5" customHeight="1">
      <c r="A250" s="2"/>
    </row>
    <row r="251" spans="1:1" ht="16.5" customHeight="1">
      <c r="A251" s="2"/>
    </row>
    <row r="252" spans="1:1" ht="16.5" customHeight="1">
      <c r="A252" s="2"/>
    </row>
    <row r="253" spans="1:1" ht="16.5" customHeight="1">
      <c r="A253" s="2"/>
    </row>
    <row r="254" spans="1:1" ht="16.5" customHeight="1">
      <c r="A254" s="2"/>
    </row>
    <row r="255" spans="1:1" ht="16.5" customHeight="1">
      <c r="A255" s="2"/>
    </row>
    <row r="256" spans="1:1" ht="16.5" customHeight="1">
      <c r="A256" s="2"/>
    </row>
    <row r="257" spans="1:1" ht="16.5" customHeight="1">
      <c r="A257" s="2"/>
    </row>
    <row r="258" spans="1:1" ht="16.5" customHeight="1">
      <c r="A258" s="2"/>
    </row>
    <row r="259" spans="1:1" ht="16.5" customHeight="1">
      <c r="A259" s="2"/>
    </row>
    <row r="260" spans="1:1" ht="16.5" customHeight="1">
      <c r="A260" s="2"/>
    </row>
    <row r="261" spans="1:1" ht="16.5" customHeight="1">
      <c r="A261" s="2"/>
    </row>
    <row r="262" spans="1:1" ht="16.5" customHeight="1">
      <c r="A262" s="2"/>
    </row>
    <row r="263" spans="1:1" ht="16.5" customHeight="1">
      <c r="A263" s="2"/>
    </row>
    <row r="264" spans="1:1" ht="16.5" customHeight="1">
      <c r="A264" s="2"/>
    </row>
    <row r="265" spans="1:1" ht="16.5" customHeight="1">
      <c r="A265" s="2"/>
    </row>
    <row r="266" spans="1:1" ht="16.5" customHeight="1">
      <c r="A266" s="2"/>
    </row>
    <row r="267" spans="1:1" ht="16.5" customHeight="1">
      <c r="A267" s="2"/>
    </row>
    <row r="268" spans="1:1" ht="16.5" customHeight="1">
      <c r="A268" s="2"/>
    </row>
    <row r="269" spans="1:1" ht="16.5" customHeight="1">
      <c r="A269" s="2"/>
    </row>
    <row r="270" spans="1:1" ht="16.5" customHeight="1">
      <c r="A270" s="2"/>
    </row>
    <row r="271" spans="1:1" ht="16.5" customHeight="1">
      <c r="A271" s="2"/>
    </row>
    <row r="272" spans="1:1" ht="16.5" customHeight="1">
      <c r="A272" s="2"/>
    </row>
    <row r="273" spans="1:1" ht="16.5" customHeight="1">
      <c r="A273" s="2"/>
    </row>
    <row r="274" spans="1:1" ht="16.5" customHeight="1">
      <c r="A274" s="2"/>
    </row>
    <row r="275" spans="1:1" ht="16.5" customHeight="1">
      <c r="A275" s="2"/>
    </row>
    <row r="276" spans="1:1" ht="16.5" customHeight="1">
      <c r="A276" s="2"/>
    </row>
    <row r="277" spans="1:1" ht="16.5" customHeight="1">
      <c r="A277" s="2"/>
    </row>
    <row r="278" spans="1:1" ht="16.5" customHeight="1">
      <c r="A278" s="2"/>
    </row>
    <row r="279" spans="1:1" ht="16.5" customHeight="1">
      <c r="A279" s="2"/>
    </row>
    <row r="280" spans="1:1" ht="16.5" customHeight="1">
      <c r="A280" s="2"/>
    </row>
    <row r="281" spans="1:1" ht="16.5" customHeight="1">
      <c r="A281" s="2"/>
    </row>
    <row r="282" spans="1:1" ht="16.5" customHeight="1">
      <c r="A282" s="2"/>
    </row>
    <row r="283" spans="1:1" ht="16.5" customHeight="1">
      <c r="A283" s="2"/>
    </row>
    <row r="284" spans="1:1" ht="16.5" customHeight="1">
      <c r="A284" s="2"/>
    </row>
    <row r="285" spans="1:1" ht="16.5" customHeight="1">
      <c r="A285" s="2"/>
    </row>
    <row r="286" spans="1:1" ht="16.5" customHeight="1">
      <c r="A286" s="2"/>
    </row>
    <row r="287" spans="1:1" ht="16.5" customHeight="1">
      <c r="A287" s="2"/>
    </row>
    <row r="288" spans="1:1" ht="16.5" customHeight="1">
      <c r="A288" s="2"/>
    </row>
    <row r="289" spans="1:1" ht="16.5" customHeight="1">
      <c r="A289" s="2"/>
    </row>
    <row r="290" spans="1:1" ht="16.5" customHeight="1">
      <c r="A290" s="2"/>
    </row>
    <row r="291" spans="1:1" ht="16.5" customHeight="1">
      <c r="A291" s="2"/>
    </row>
    <row r="292" spans="1:1" ht="16.5" customHeight="1">
      <c r="A292" s="2"/>
    </row>
    <row r="293" spans="1:1" ht="16.5" customHeight="1">
      <c r="A293" s="2"/>
    </row>
    <row r="294" spans="1:1" ht="16.5" customHeight="1">
      <c r="A294" s="2"/>
    </row>
    <row r="295" spans="1:1" ht="16.5" customHeight="1">
      <c r="A295" s="2"/>
    </row>
    <row r="296" spans="1:1" ht="16.5" customHeight="1">
      <c r="A296" s="2"/>
    </row>
    <row r="297" spans="1:1" ht="16.5" customHeight="1">
      <c r="A297" s="2"/>
    </row>
    <row r="298" spans="1:1" ht="16.5" customHeight="1">
      <c r="A298" s="2"/>
    </row>
    <row r="299" spans="1:1" ht="16.5" customHeight="1">
      <c r="A299" s="2"/>
    </row>
    <row r="300" spans="1:1" ht="16.5" customHeight="1">
      <c r="A300" s="2"/>
    </row>
    <row r="301" spans="1:1" ht="16.5" customHeight="1">
      <c r="A301" s="2"/>
    </row>
    <row r="302" spans="1:1" ht="16.5" customHeight="1">
      <c r="A302" s="2"/>
    </row>
    <row r="303" spans="1:1" ht="16.5" customHeight="1">
      <c r="A303" s="2"/>
    </row>
    <row r="304" spans="1:1" ht="16.5" customHeight="1">
      <c r="A304" s="2"/>
    </row>
    <row r="305" spans="1:1" ht="16.5" customHeight="1">
      <c r="A305" s="2"/>
    </row>
    <row r="306" spans="1:1" ht="16.5" customHeight="1">
      <c r="A306" s="2"/>
    </row>
    <row r="307" spans="1:1" ht="16.5" customHeight="1">
      <c r="A307" s="2"/>
    </row>
    <row r="308" spans="1:1" ht="16.5" customHeight="1">
      <c r="A308" s="2"/>
    </row>
    <row r="309" spans="1:1" ht="16.5" customHeight="1">
      <c r="A309" s="2"/>
    </row>
    <row r="310" spans="1:1" ht="16.5" customHeight="1">
      <c r="A310" s="2"/>
    </row>
    <row r="311" spans="1:1" ht="16.5" customHeight="1">
      <c r="A311" s="2"/>
    </row>
    <row r="312" spans="1:1" ht="16.5" customHeight="1">
      <c r="A312" s="2"/>
    </row>
    <row r="313" spans="1:1" ht="16.5" customHeight="1">
      <c r="A313" s="2"/>
    </row>
    <row r="314" spans="1:1" ht="16.5" customHeight="1">
      <c r="A314" s="2"/>
    </row>
    <row r="315" spans="1:1" ht="16.5" customHeight="1">
      <c r="A315" s="2"/>
    </row>
    <row r="316" spans="1:1" ht="16.5" customHeight="1">
      <c r="A316" s="2"/>
    </row>
    <row r="317" spans="1:1" ht="16.5" customHeight="1">
      <c r="A317" s="2"/>
    </row>
    <row r="318" spans="1:1" ht="16.5" customHeight="1">
      <c r="A318" s="2"/>
    </row>
    <row r="319" spans="1:1" ht="16.5" customHeight="1">
      <c r="A319" s="2"/>
    </row>
    <row r="320" spans="1:1" ht="16.5" customHeight="1">
      <c r="A320" s="2"/>
    </row>
    <row r="321" spans="1:1" ht="16.5" customHeight="1">
      <c r="A321" s="2"/>
    </row>
    <row r="322" spans="1:1" ht="16.5" customHeight="1">
      <c r="A322" s="2"/>
    </row>
    <row r="323" spans="1:1" ht="16.5" customHeight="1">
      <c r="A323" s="2"/>
    </row>
    <row r="324" spans="1:1" ht="16.5" customHeight="1">
      <c r="A324" s="2"/>
    </row>
    <row r="325" spans="1:1" ht="16.5" customHeight="1">
      <c r="A325" s="2"/>
    </row>
    <row r="326" spans="1:1" ht="16.5" customHeight="1">
      <c r="A326" s="2"/>
    </row>
    <row r="327" spans="1:1" ht="16.5" customHeight="1">
      <c r="A327" s="2"/>
    </row>
    <row r="328" spans="1:1" ht="16.5" customHeight="1">
      <c r="A328" s="2"/>
    </row>
    <row r="329" spans="1:1" ht="16.5" customHeight="1">
      <c r="A329" s="2"/>
    </row>
    <row r="330" spans="1:1" ht="16.5" customHeight="1">
      <c r="A330" s="2"/>
    </row>
    <row r="331" spans="1:1" ht="16.5" customHeight="1">
      <c r="A331" s="2"/>
    </row>
    <row r="332" spans="1:1" ht="16.5" customHeight="1">
      <c r="A332" s="2"/>
    </row>
    <row r="333" spans="1:1" ht="16.5" customHeight="1">
      <c r="A333" s="2"/>
    </row>
    <row r="334" spans="1:1" ht="16.5" customHeight="1">
      <c r="A334" s="2"/>
    </row>
    <row r="335" spans="1:1" ht="16.5" customHeight="1">
      <c r="A335" s="2"/>
    </row>
    <row r="336" spans="1:1" ht="16.5" customHeight="1">
      <c r="A336" s="2"/>
    </row>
    <row r="337" spans="1:1" ht="16.5" customHeight="1">
      <c r="A337" s="2"/>
    </row>
    <row r="338" spans="1:1" ht="16.5" customHeight="1">
      <c r="A338" s="2"/>
    </row>
    <row r="339" spans="1:1" ht="16.5" customHeight="1">
      <c r="A339" s="2"/>
    </row>
    <row r="340" spans="1:1" ht="16.5" customHeight="1">
      <c r="A340" s="2"/>
    </row>
    <row r="341" spans="1:1" ht="16.5" customHeight="1">
      <c r="A341" s="2"/>
    </row>
    <row r="342" spans="1:1" ht="16.5" customHeight="1">
      <c r="A342" s="2"/>
    </row>
    <row r="343" spans="1:1" ht="16.5" customHeight="1">
      <c r="A343" s="2"/>
    </row>
    <row r="344" spans="1:1" ht="16.5" customHeight="1">
      <c r="A344" s="2"/>
    </row>
    <row r="345" spans="1:1" ht="16.5" customHeight="1">
      <c r="A345" s="2"/>
    </row>
    <row r="346" spans="1:1" ht="16.5" customHeight="1">
      <c r="A346" s="2"/>
    </row>
    <row r="347" spans="1:1" ht="16.5" customHeight="1">
      <c r="A347" s="2"/>
    </row>
    <row r="348" spans="1:1" ht="16.5" customHeight="1">
      <c r="A348" s="2"/>
    </row>
    <row r="349" spans="1:1" ht="16.5" customHeight="1">
      <c r="A349" s="2"/>
    </row>
    <row r="350" spans="1:1" ht="16.5" customHeight="1">
      <c r="A350" s="2"/>
    </row>
    <row r="351" spans="1:1" ht="16.5" customHeight="1">
      <c r="A351" s="2"/>
    </row>
    <row r="352" spans="1:1" ht="16.5" customHeight="1">
      <c r="A352" s="2"/>
    </row>
    <row r="353" spans="1:1" ht="16.5" customHeight="1">
      <c r="A353" s="2"/>
    </row>
    <row r="354" spans="1:1" ht="16.5" customHeight="1">
      <c r="A354" s="2"/>
    </row>
    <row r="355" spans="1:1" ht="16.5" customHeight="1">
      <c r="A355" s="2"/>
    </row>
    <row r="356" spans="1:1" ht="16.5" customHeight="1">
      <c r="A356" s="2"/>
    </row>
    <row r="357" spans="1:1" ht="16.5" customHeight="1">
      <c r="A357" s="2"/>
    </row>
    <row r="358" spans="1:1" ht="16.5" customHeight="1">
      <c r="A358" s="2"/>
    </row>
    <row r="359" spans="1:1" ht="16.5" customHeight="1">
      <c r="A359" s="2"/>
    </row>
    <row r="360" spans="1:1" ht="16.5" customHeight="1">
      <c r="A360" s="2"/>
    </row>
    <row r="361" spans="1:1" ht="16.5" customHeight="1">
      <c r="A361" s="2"/>
    </row>
    <row r="362" spans="1:1" ht="16.5" customHeight="1">
      <c r="A362" s="2"/>
    </row>
    <row r="363" spans="1:1" ht="16.5" customHeight="1">
      <c r="A363" s="2"/>
    </row>
    <row r="364" spans="1:1" ht="16.5" customHeight="1">
      <c r="A364" s="2"/>
    </row>
    <row r="365" spans="1:1" ht="16.5" customHeight="1">
      <c r="A365" s="2"/>
    </row>
    <row r="366" spans="1:1" ht="16.5" customHeight="1">
      <c r="A366" s="2"/>
    </row>
    <row r="367" spans="1:1" ht="16.5" customHeight="1">
      <c r="A367" s="2"/>
    </row>
    <row r="368" spans="1:1" ht="16.5" customHeight="1">
      <c r="A368" s="2"/>
    </row>
    <row r="369" spans="1:1" ht="16.5" customHeight="1">
      <c r="A369" s="2"/>
    </row>
    <row r="370" spans="1:1" ht="16.5" customHeight="1">
      <c r="A370" s="2"/>
    </row>
    <row r="371" spans="1:1" ht="16.5" customHeight="1">
      <c r="A371" s="2"/>
    </row>
    <row r="372" spans="1:1" ht="16.5" customHeight="1">
      <c r="A372" s="2"/>
    </row>
    <row r="373" spans="1:1" ht="16.5" customHeight="1">
      <c r="A373" s="2"/>
    </row>
    <row r="374" spans="1:1" ht="16.5" customHeight="1">
      <c r="A374" s="2"/>
    </row>
    <row r="375" spans="1:1" ht="16.5" customHeight="1">
      <c r="A375" s="2"/>
    </row>
    <row r="376" spans="1:1" ht="16.5" customHeight="1">
      <c r="A376" s="2"/>
    </row>
    <row r="377" spans="1:1" ht="16.5" customHeight="1">
      <c r="A377" s="2"/>
    </row>
    <row r="378" spans="1:1" ht="16.5" customHeight="1">
      <c r="A378" s="2"/>
    </row>
    <row r="379" spans="1:1" ht="16.5" customHeight="1">
      <c r="A379" s="2"/>
    </row>
    <row r="380" spans="1:1" ht="16.5" customHeight="1">
      <c r="A380" s="2"/>
    </row>
    <row r="381" spans="1:1" ht="16.5" customHeight="1">
      <c r="A381" s="2"/>
    </row>
    <row r="382" spans="1:1" ht="16.5" customHeight="1">
      <c r="A382" s="2"/>
    </row>
    <row r="383" spans="1:1" ht="16.5" customHeight="1">
      <c r="A383" s="2"/>
    </row>
    <row r="384" spans="1:1" ht="16.5" customHeight="1">
      <c r="A384" s="2"/>
    </row>
    <row r="385" spans="1:1" ht="16.5" customHeight="1">
      <c r="A385" s="2"/>
    </row>
    <row r="386" spans="1:1" ht="16.5" customHeight="1">
      <c r="A386" s="2"/>
    </row>
    <row r="387" spans="1:1" ht="16.5" customHeight="1">
      <c r="A387" s="2"/>
    </row>
    <row r="388" spans="1:1" ht="16.5" customHeight="1">
      <c r="A388" s="2"/>
    </row>
    <row r="389" spans="1:1" ht="16.5" customHeight="1">
      <c r="A389" s="2"/>
    </row>
    <row r="390" spans="1:1" ht="16.5" customHeight="1">
      <c r="A390" s="2"/>
    </row>
    <row r="391" spans="1:1" ht="16.5" customHeight="1">
      <c r="A391" s="2"/>
    </row>
    <row r="392" spans="1:1" ht="16.5" customHeight="1">
      <c r="A392" s="2"/>
    </row>
    <row r="393" spans="1:1" ht="16.5" customHeight="1">
      <c r="A393" s="2"/>
    </row>
    <row r="394" spans="1:1" ht="16.5" customHeight="1">
      <c r="A394" s="2"/>
    </row>
    <row r="395" spans="1:1" ht="16.5" customHeight="1">
      <c r="A395" s="2"/>
    </row>
    <row r="396" spans="1:1" ht="16.5" customHeight="1">
      <c r="A396" s="2"/>
    </row>
    <row r="397" spans="1:1" ht="16.5" customHeight="1">
      <c r="A397" s="2"/>
    </row>
    <row r="398" spans="1:1" ht="16.5" customHeight="1">
      <c r="A398" s="2"/>
    </row>
    <row r="399" spans="1:1" ht="16.5" customHeight="1">
      <c r="A399" s="2"/>
    </row>
    <row r="400" spans="1:1" ht="16.5" customHeight="1">
      <c r="A400" s="2"/>
    </row>
    <row r="401" spans="1:1" ht="16.5" customHeight="1">
      <c r="A401" s="2"/>
    </row>
    <row r="402" spans="1:1" ht="16.5" customHeight="1">
      <c r="A402" s="2"/>
    </row>
    <row r="403" spans="1:1" ht="16.5" customHeight="1">
      <c r="A403" s="2"/>
    </row>
    <row r="404" spans="1:1" ht="16.5" customHeight="1">
      <c r="A404" s="2"/>
    </row>
    <row r="405" spans="1:1" ht="16.5" customHeight="1">
      <c r="A405" s="2"/>
    </row>
    <row r="406" spans="1:1" ht="16.5" customHeight="1">
      <c r="A406" s="2"/>
    </row>
    <row r="407" spans="1:1" ht="16.5" customHeight="1">
      <c r="A407" s="2"/>
    </row>
    <row r="408" spans="1:1" ht="16.5" customHeight="1">
      <c r="A408" s="2"/>
    </row>
    <row r="409" spans="1:1" ht="16.5" customHeight="1">
      <c r="A409" s="2"/>
    </row>
    <row r="410" spans="1:1" ht="16.5" customHeight="1">
      <c r="A410" s="2"/>
    </row>
    <row r="411" spans="1:1" ht="16.5" customHeight="1">
      <c r="A411" s="2"/>
    </row>
    <row r="412" spans="1:1" ht="16.5" customHeight="1">
      <c r="A412" s="2"/>
    </row>
    <row r="413" spans="1:1" ht="16.5" customHeight="1">
      <c r="A413" s="2"/>
    </row>
    <row r="414" spans="1:1" ht="16.5" customHeight="1">
      <c r="A414" s="2"/>
    </row>
    <row r="415" spans="1:1" ht="16.5" customHeight="1">
      <c r="A415" s="2"/>
    </row>
    <row r="416" spans="1:1" ht="16.5" customHeight="1">
      <c r="A416" s="2"/>
    </row>
    <row r="417" spans="1:1" ht="16.5" customHeight="1">
      <c r="A417" s="2"/>
    </row>
    <row r="418" spans="1:1" ht="16.5" customHeight="1">
      <c r="A418" s="2"/>
    </row>
    <row r="419" spans="1:1" ht="16.5" customHeight="1">
      <c r="A419" s="2"/>
    </row>
    <row r="420" spans="1:1" ht="16.5" customHeight="1">
      <c r="A420" s="2"/>
    </row>
    <row r="421" spans="1:1" ht="16.5" customHeight="1">
      <c r="A421" s="2"/>
    </row>
    <row r="422" spans="1:1" ht="16.5" customHeight="1">
      <c r="A422" s="2"/>
    </row>
    <row r="423" spans="1:1" ht="16.5" customHeight="1">
      <c r="A423" s="2"/>
    </row>
    <row r="424" spans="1:1" ht="16.5" customHeight="1">
      <c r="A424" s="2"/>
    </row>
    <row r="425" spans="1:1" ht="16.5" customHeight="1">
      <c r="A425" s="2"/>
    </row>
    <row r="426" spans="1:1" ht="16.5" customHeight="1">
      <c r="A426" s="2"/>
    </row>
    <row r="427" spans="1:1" ht="16.5" customHeight="1">
      <c r="A427" s="2"/>
    </row>
    <row r="428" spans="1:1" ht="16.5" customHeight="1">
      <c r="A428" s="2"/>
    </row>
    <row r="429" spans="1:1" ht="16.5" customHeight="1">
      <c r="A429" s="2"/>
    </row>
    <row r="430" spans="1:1" ht="16.5" customHeight="1">
      <c r="A430" s="2"/>
    </row>
    <row r="431" spans="1:1" ht="16.5" customHeight="1">
      <c r="A431" s="2"/>
    </row>
    <row r="432" spans="1:1" ht="16.5" customHeight="1">
      <c r="A432" s="2"/>
    </row>
    <row r="433" spans="1:1" ht="16.5" customHeight="1">
      <c r="A433" s="2"/>
    </row>
    <row r="434" spans="1:1" ht="16.5" customHeight="1">
      <c r="A434" s="2"/>
    </row>
    <row r="435" spans="1:1" ht="16.5" customHeight="1">
      <c r="A435" s="2"/>
    </row>
    <row r="436" spans="1:1" ht="16.5" customHeight="1">
      <c r="A436" s="2"/>
    </row>
    <row r="437" spans="1:1" ht="16.5" customHeight="1">
      <c r="A437" s="2"/>
    </row>
    <row r="438" spans="1:1" ht="16.5" customHeight="1">
      <c r="A438" s="2"/>
    </row>
    <row r="439" spans="1:1" ht="16.5" customHeight="1">
      <c r="A439" s="2"/>
    </row>
    <row r="440" spans="1:1" ht="16.5" customHeight="1">
      <c r="A440" s="2"/>
    </row>
    <row r="441" spans="1:1" ht="16.5" customHeight="1">
      <c r="A441" s="2"/>
    </row>
    <row r="442" spans="1:1" ht="16.5" customHeight="1">
      <c r="A442" s="2"/>
    </row>
    <row r="443" spans="1:1" ht="16.5" customHeight="1">
      <c r="A443" s="2"/>
    </row>
    <row r="444" spans="1:1" ht="16.5" customHeight="1">
      <c r="A444" s="2"/>
    </row>
    <row r="445" spans="1:1" ht="16.5" customHeight="1">
      <c r="A445" s="2"/>
    </row>
    <row r="446" spans="1:1" ht="16.5" customHeight="1">
      <c r="A446" s="2"/>
    </row>
    <row r="447" spans="1:1" ht="16.5" customHeight="1">
      <c r="A447" s="2"/>
    </row>
    <row r="448" spans="1:1" ht="16.5" customHeight="1">
      <c r="A448" s="2"/>
    </row>
    <row r="449" spans="1:1" ht="16.5" customHeight="1">
      <c r="A449" s="2"/>
    </row>
    <row r="450" spans="1:1" ht="16.5" customHeight="1">
      <c r="A450" s="2"/>
    </row>
    <row r="451" spans="1:1" ht="16.5" customHeight="1">
      <c r="A451" s="2"/>
    </row>
    <row r="452" spans="1:1" ht="16.5" customHeight="1">
      <c r="A452" s="2"/>
    </row>
    <row r="453" spans="1:1" ht="16.5" customHeight="1">
      <c r="A453" s="2"/>
    </row>
    <row r="454" spans="1:1" ht="16.5" customHeight="1">
      <c r="A454" s="2"/>
    </row>
    <row r="455" spans="1:1" ht="16.5" customHeight="1">
      <c r="A455" s="2"/>
    </row>
    <row r="456" spans="1:1" ht="16.5" customHeight="1">
      <c r="A456" s="2"/>
    </row>
    <row r="457" spans="1:1" ht="16.5" customHeight="1">
      <c r="A457" s="2"/>
    </row>
    <row r="458" spans="1:1" ht="16.5" customHeight="1">
      <c r="A458" s="2"/>
    </row>
    <row r="459" spans="1:1" ht="16.5" customHeight="1">
      <c r="A459" s="2"/>
    </row>
    <row r="460" spans="1:1" ht="16.5" customHeight="1">
      <c r="A460" s="2"/>
    </row>
    <row r="461" spans="1:1" ht="16.5" customHeight="1">
      <c r="A461" s="2"/>
    </row>
    <row r="462" spans="1:1" ht="16.5" customHeight="1">
      <c r="A462" s="2"/>
    </row>
    <row r="463" spans="1:1" ht="16.5" customHeight="1">
      <c r="A463" s="2"/>
    </row>
    <row r="464" spans="1:1" ht="16.5" customHeight="1">
      <c r="A464" s="2"/>
    </row>
    <row r="465" spans="1:1" ht="16.5" customHeight="1">
      <c r="A465" s="2"/>
    </row>
    <row r="466" spans="1:1" ht="16.5" customHeight="1">
      <c r="A466" s="2"/>
    </row>
    <row r="467" spans="1:1" ht="16.5" customHeight="1">
      <c r="A467" s="2"/>
    </row>
    <row r="468" spans="1:1" ht="16.5" customHeight="1">
      <c r="A468" s="2"/>
    </row>
    <row r="469" spans="1:1" ht="16.5" customHeight="1">
      <c r="A469" s="2"/>
    </row>
    <row r="470" spans="1:1" ht="16.5" customHeight="1">
      <c r="A470" s="2"/>
    </row>
    <row r="471" spans="1:1" ht="16.5" customHeight="1">
      <c r="A471" s="2"/>
    </row>
    <row r="472" spans="1:1" ht="16.5" customHeight="1">
      <c r="A472" s="2"/>
    </row>
    <row r="473" spans="1:1" ht="16.5" customHeight="1">
      <c r="A473" s="2"/>
    </row>
    <row r="474" spans="1:1" ht="16.5" customHeight="1">
      <c r="A474" s="2"/>
    </row>
    <row r="475" spans="1:1" ht="16.5" customHeight="1">
      <c r="A475" s="2"/>
    </row>
    <row r="476" spans="1:1" ht="16.5" customHeight="1">
      <c r="A476" s="2"/>
    </row>
    <row r="477" spans="1:1" ht="16.5" customHeight="1">
      <c r="A477" s="2"/>
    </row>
    <row r="478" spans="1:1" ht="16.5" customHeight="1">
      <c r="A478" s="2"/>
    </row>
    <row r="479" spans="1:1" ht="16.5" customHeight="1">
      <c r="A479" s="2"/>
    </row>
    <row r="480" spans="1:1" ht="16.5" customHeight="1">
      <c r="A480" s="2"/>
    </row>
    <row r="481" spans="1:1" ht="16.5" customHeight="1">
      <c r="A481" s="2"/>
    </row>
    <row r="482" spans="1:1" ht="16.5" customHeight="1">
      <c r="A482" s="2"/>
    </row>
    <row r="483" spans="1:1" ht="16.5" customHeight="1">
      <c r="A483" s="2"/>
    </row>
    <row r="484" spans="1:1" ht="16.5" customHeight="1">
      <c r="A484" s="2"/>
    </row>
    <row r="485" spans="1:1" ht="16.5" customHeight="1">
      <c r="A485" s="2"/>
    </row>
    <row r="486" spans="1:1" ht="16.5" customHeight="1">
      <c r="A486" s="2"/>
    </row>
    <row r="487" spans="1:1" ht="16.5" customHeight="1">
      <c r="A487" s="2"/>
    </row>
    <row r="488" spans="1:1" ht="16.5" customHeight="1">
      <c r="A488" s="2"/>
    </row>
    <row r="489" spans="1:1" ht="16.5" customHeight="1">
      <c r="A489" s="2"/>
    </row>
    <row r="490" spans="1:1" ht="16.5" customHeight="1">
      <c r="A490" s="2"/>
    </row>
    <row r="491" spans="1:1" ht="16.5" customHeight="1">
      <c r="A491" s="2"/>
    </row>
    <row r="492" spans="1:1" ht="16.5" customHeight="1">
      <c r="A492" s="2"/>
    </row>
    <row r="493" spans="1:1" ht="16.5" customHeight="1">
      <c r="A493" s="2"/>
    </row>
    <row r="494" spans="1:1" ht="16.5" customHeight="1">
      <c r="A494" s="2"/>
    </row>
    <row r="495" spans="1:1" ht="16.5" customHeight="1">
      <c r="A495" s="2"/>
    </row>
    <row r="496" spans="1:1" ht="16.5" customHeight="1">
      <c r="A496" s="2"/>
    </row>
    <row r="497" spans="1:1" ht="16.5" customHeight="1">
      <c r="A497" s="2"/>
    </row>
    <row r="498" spans="1:1" ht="16.5" customHeight="1">
      <c r="A498" s="2"/>
    </row>
    <row r="499" spans="1:1" ht="16.5" customHeight="1">
      <c r="A499" s="2"/>
    </row>
    <row r="500" spans="1:1" ht="16.5" customHeight="1">
      <c r="A500" s="2"/>
    </row>
    <row r="501" spans="1:1" ht="16.5" customHeight="1">
      <c r="A501" s="2"/>
    </row>
    <row r="502" spans="1:1" ht="16.5" customHeight="1">
      <c r="A502" s="2"/>
    </row>
    <row r="503" spans="1:1" ht="16.5" customHeight="1">
      <c r="A503" s="2"/>
    </row>
    <row r="504" spans="1:1" ht="16.5" customHeight="1">
      <c r="A504" s="2"/>
    </row>
    <row r="505" spans="1:1" ht="16.5" customHeight="1">
      <c r="A505" s="2"/>
    </row>
    <row r="506" spans="1:1" ht="16.5" customHeight="1">
      <c r="A506" s="2"/>
    </row>
    <row r="507" spans="1:1" ht="16.5" customHeight="1">
      <c r="A507" s="2"/>
    </row>
    <row r="508" spans="1:1" ht="16.5" customHeight="1">
      <c r="A508" s="2"/>
    </row>
    <row r="509" spans="1:1" ht="16.5" customHeight="1">
      <c r="A509" s="2"/>
    </row>
    <row r="510" spans="1:1" ht="16.5" customHeight="1">
      <c r="A510" s="2"/>
    </row>
    <row r="511" spans="1:1" ht="16.5" customHeight="1">
      <c r="A511" s="2"/>
    </row>
    <row r="512" spans="1:1" ht="16.5" customHeight="1">
      <c r="A512" s="2"/>
    </row>
    <row r="513" spans="1:1" ht="16.5" customHeight="1">
      <c r="A513" s="2"/>
    </row>
    <row r="514" spans="1:1" ht="16.5" customHeight="1">
      <c r="A514" s="2"/>
    </row>
    <row r="515" spans="1:1" ht="16.5" customHeight="1">
      <c r="A515" s="2"/>
    </row>
    <row r="516" spans="1:1" ht="16.5" customHeight="1">
      <c r="A516" s="2"/>
    </row>
    <row r="517" spans="1:1" ht="16.5" customHeight="1">
      <c r="A517" s="2"/>
    </row>
    <row r="518" spans="1:1" ht="16.5" customHeight="1">
      <c r="A518" s="2"/>
    </row>
    <row r="519" spans="1:1" ht="16.5" customHeight="1">
      <c r="A519" s="2"/>
    </row>
    <row r="520" spans="1:1" ht="16.5" customHeight="1">
      <c r="A520" s="2"/>
    </row>
    <row r="521" spans="1:1" ht="16.5" customHeight="1">
      <c r="A521" s="2"/>
    </row>
    <row r="522" spans="1:1" ht="16.5" customHeight="1">
      <c r="A522" s="2"/>
    </row>
    <row r="523" spans="1:1" ht="16.5" customHeight="1">
      <c r="A523" s="2"/>
    </row>
    <row r="524" spans="1:1" ht="16.5" customHeight="1">
      <c r="A524" s="2"/>
    </row>
    <row r="525" spans="1:1" ht="16.5" customHeight="1">
      <c r="A525" s="2"/>
    </row>
    <row r="526" spans="1:1" ht="16.5" customHeight="1">
      <c r="A526" s="2"/>
    </row>
    <row r="527" spans="1:1" ht="16.5" customHeight="1">
      <c r="A527" s="2"/>
    </row>
    <row r="528" spans="1:1" ht="16.5" customHeight="1">
      <c r="A528" s="2"/>
    </row>
    <row r="529" spans="1:1" ht="16.5" customHeight="1">
      <c r="A529" s="2"/>
    </row>
    <row r="530" spans="1:1" ht="16.5" customHeight="1">
      <c r="A530" s="2"/>
    </row>
    <row r="531" spans="1:1" ht="16.5" customHeight="1">
      <c r="A531" s="2"/>
    </row>
    <row r="532" spans="1:1" ht="16.5" customHeight="1">
      <c r="A532" s="2"/>
    </row>
    <row r="533" spans="1:1" ht="16.5" customHeight="1">
      <c r="A533" s="2"/>
    </row>
    <row r="534" spans="1:1" ht="16.5" customHeight="1">
      <c r="A534" s="2"/>
    </row>
    <row r="535" spans="1:1" ht="16.5" customHeight="1">
      <c r="A535" s="2"/>
    </row>
    <row r="536" spans="1:1" ht="16.5" customHeight="1">
      <c r="A536" s="2"/>
    </row>
    <row r="537" spans="1:1" ht="16.5" customHeight="1">
      <c r="A537" s="2"/>
    </row>
    <row r="538" spans="1:1" ht="16.5" customHeight="1">
      <c r="A538" s="2"/>
    </row>
    <row r="539" spans="1:1" ht="16.5" customHeight="1">
      <c r="A539" s="2"/>
    </row>
    <row r="540" spans="1:1" ht="16.5" customHeight="1">
      <c r="A540" s="2"/>
    </row>
    <row r="541" spans="1:1" ht="16.5" customHeight="1">
      <c r="A541" s="2"/>
    </row>
    <row r="542" spans="1:1" ht="16.5" customHeight="1">
      <c r="A542" s="2"/>
    </row>
    <row r="543" spans="1:1" ht="16.5" customHeight="1">
      <c r="A543" s="2"/>
    </row>
    <row r="544" spans="1:1" ht="16.5" customHeight="1">
      <c r="A544" s="2"/>
    </row>
    <row r="545" spans="1:1" ht="16.5" customHeight="1">
      <c r="A545" s="2"/>
    </row>
    <row r="546" spans="1:1" ht="16.5" customHeight="1">
      <c r="A546" s="2"/>
    </row>
    <row r="547" spans="1:1" ht="16.5" customHeight="1">
      <c r="A547" s="2"/>
    </row>
    <row r="548" spans="1:1" ht="16.5" customHeight="1">
      <c r="A548" s="2"/>
    </row>
    <row r="549" spans="1:1" ht="16.5" customHeight="1">
      <c r="A549" s="2"/>
    </row>
    <row r="550" spans="1:1" ht="16.5" customHeight="1">
      <c r="A550" s="2"/>
    </row>
    <row r="551" spans="1:1" ht="16.5" customHeight="1">
      <c r="A551" s="2"/>
    </row>
    <row r="552" spans="1:1" ht="16.5" customHeight="1">
      <c r="A552" s="2"/>
    </row>
    <row r="553" spans="1:1" ht="16.5" customHeight="1">
      <c r="A553" s="2"/>
    </row>
    <row r="554" spans="1:1" ht="16.5" customHeight="1">
      <c r="A554" s="2"/>
    </row>
    <row r="555" spans="1:1" ht="16.5" customHeight="1">
      <c r="A555" s="2"/>
    </row>
    <row r="556" spans="1:1" ht="16.5" customHeight="1">
      <c r="A556" s="2"/>
    </row>
    <row r="557" spans="1:1" ht="16.5" customHeight="1">
      <c r="A557" s="2"/>
    </row>
    <row r="558" spans="1:1" ht="16.5" customHeight="1">
      <c r="A558" s="2"/>
    </row>
    <row r="559" spans="1:1" ht="16.5" customHeight="1">
      <c r="A559" s="2"/>
    </row>
    <row r="560" spans="1:1" ht="16.5" customHeight="1">
      <c r="A560" s="2"/>
    </row>
    <row r="561" spans="1:1" ht="16.5" customHeight="1">
      <c r="A561" s="2"/>
    </row>
    <row r="562" spans="1:1" ht="16.5" customHeight="1">
      <c r="A562" s="2"/>
    </row>
    <row r="563" spans="1:1" ht="16.5" customHeight="1">
      <c r="A563" s="2"/>
    </row>
    <row r="564" spans="1:1" ht="16.5" customHeight="1">
      <c r="A564" s="2"/>
    </row>
    <row r="565" spans="1:1" ht="16.5" customHeight="1">
      <c r="A565" s="2"/>
    </row>
    <row r="566" spans="1:1" ht="16.5" customHeight="1">
      <c r="A566" s="2"/>
    </row>
    <row r="567" spans="1:1" ht="16.5" customHeight="1">
      <c r="A567" s="2"/>
    </row>
    <row r="568" spans="1:1" ht="16.5" customHeight="1">
      <c r="A568" s="2"/>
    </row>
    <row r="569" spans="1:1" ht="16.5" customHeight="1">
      <c r="A569" s="2"/>
    </row>
    <row r="570" spans="1:1" ht="16.5" customHeight="1">
      <c r="A570" s="2"/>
    </row>
    <row r="571" spans="1:1" ht="16.5" customHeight="1">
      <c r="A571" s="2"/>
    </row>
    <row r="572" spans="1:1" ht="16.5" customHeight="1">
      <c r="A572" s="2"/>
    </row>
    <row r="573" spans="1:1" ht="16.5" customHeight="1">
      <c r="A573" s="2"/>
    </row>
    <row r="574" spans="1:1" ht="16.5" customHeight="1">
      <c r="A574" s="2"/>
    </row>
    <row r="575" spans="1:1" ht="16.5" customHeight="1">
      <c r="A575" s="2"/>
    </row>
    <row r="576" spans="1:1" ht="16.5" customHeight="1">
      <c r="A576" s="2"/>
    </row>
    <row r="577" spans="1:1" ht="16.5" customHeight="1">
      <c r="A577" s="2"/>
    </row>
    <row r="578" spans="1:1" ht="16.5" customHeight="1">
      <c r="A578" s="2"/>
    </row>
    <row r="579" spans="1:1" ht="16.5" customHeight="1">
      <c r="A579" s="2"/>
    </row>
    <row r="580" spans="1:1" ht="16.5" customHeight="1">
      <c r="A580" s="2"/>
    </row>
    <row r="581" spans="1:1" ht="16.5" customHeight="1">
      <c r="A581" s="2"/>
    </row>
    <row r="582" spans="1:1" ht="16.5" customHeight="1">
      <c r="A582" s="2"/>
    </row>
    <row r="583" spans="1:1" ht="16.5" customHeight="1">
      <c r="A583" s="2"/>
    </row>
    <row r="584" spans="1:1" ht="16.5" customHeight="1">
      <c r="A584" s="2"/>
    </row>
    <row r="585" spans="1:1" ht="16.5" customHeight="1">
      <c r="A585" s="2"/>
    </row>
    <row r="586" spans="1:1" ht="16.5" customHeight="1">
      <c r="A586" s="2"/>
    </row>
    <row r="587" spans="1:1" ht="16.5" customHeight="1">
      <c r="A587" s="2"/>
    </row>
    <row r="588" spans="1:1" ht="16.5" customHeight="1">
      <c r="A588" s="2"/>
    </row>
    <row r="589" spans="1:1" ht="16.5" customHeight="1">
      <c r="A589" s="2"/>
    </row>
    <row r="590" spans="1:1" ht="16.5" customHeight="1">
      <c r="A590" s="2"/>
    </row>
    <row r="591" spans="1:1" ht="16.5" customHeight="1">
      <c r="A591" s="2"/>
    </row>
    <row r="592" spans="1:1" ht="16.5" customHeight="1">
      <c r="A592" s="2"/>
    </row>
    <row r="593" spans="1:1" ht="16.5" customHeight="1">
      <c r="A593" s="2"/>
    </row>
    <row r="594" spans="1:1" ht="16.5" customHeight="1">
      <c r="A594" s="2"/>
    </row>
    <row r="595" spans="1:1" ht="16.5" customHeight="1">
      <c r="A595" s="2"/>
    </row>
    <row r="596" spans="1:1" ht="16.5" customHeight="1">
      <c r="A596" s="2"/>
    </row>
    <row r="597" spans="1:1" ht="16.5" customHeight="1">
      <c r="A597" s="2"/>
    </row>
    <row r="598" spans="1:1" ht="16.5" customHeight="1">
      <c r="A598" s="2"/>
    </row>
    <row r="599" spans="1:1" ht="16.5" customHeight="1">
      <c r="A599" s="2"/>
    </row>
    <row r="600" spans="1:1" ht="16.5" customHeight="1">
      <c r="A600" s="2"/>
    </row>
    <row r="601" spans="1:1" ht="16.5" customHeight="1">
      <c r="A601" s="2"/>
    </row>
    <row r="602" spans="1:1" ht="16.5" customHeight="1">
      <c r="A602" s="2"/>
    </row>
    <row r="603" spans="1:1" ht="16.5" customHeight="1">
      <c r="A603" s="2"/>
    </row>
    <row r="604" spans="1:1" ht="16.5" customHeight="1">
      <c r="A604" s="2"/>
    </row>
    <row r="605" spans="1:1" ht="16.5" customHeight="1">
      <c r="A605" s="2"/>
    </row>
    <row r="606" spans="1:1" ht="16.5" customHeight="1">
      <c r="A606" s="2"/>
    </row>
    <row r="607" spans="1:1" ht="16.5" customHeight="1">
      <c r="A607" s="2"/>
    </row>
    <row r="608" spans="1:1" ht="16.5" customHeight="1">
      <c r="A608" s="2"/>
    </row>
    <row r="609" spans="1:1" ht="16.5" customHeight="1">
      <c r="A609" s="2"/>
    </row>
    <row r="610" spans="1:1" ht="16.5" customHeight="1">
      <c r="A610" s="2"/>
    </row>
    <row r="611" spans="1:1" ht="16.5" customHeight="1">
      <c r="A611" s="2"/>
    </row>
    <row r="612" spans="1:1" ht="16.5" customHeight="1">
      <c r="A612" s="2"/>
    </row>
    <row r="613" spans="1:1" ht="16.5" customHeight="1">
      <c r="A613" s="2"/>
    </row>
    <row r="614" spans="1:1" ht="16.5" customHeight="1">
      <c r="A614" s="2"/>
    </row>
    <row r="615" spans="1:1" ht="16.5" customHeight="1">
      <c r="A615" s="2"/>
    </row>
    <row r="616" spans="1:1" ht="16.5" customHeight="1">
      <c r="A616" s="2"/>
    </row>
    <row r="617" spans="1:1" ht="16.5" customHeight="1">
      <c r="A617" s="2"/>
    </row>
    <row r="618" spans="1:1" ht="16.5" customHeight="1">
      <c r="A618" s="2"/>
    </row>
    <row r="619" spans="1:1" ht="16.5" customHeight="1">
      <c r="A619" s="2"/>
    </row>
    <row r="620" spans="1:1" ht="16.5" customHeight="1">
      <c r="A620" s="2"/>
    </row>
    <row r="621" spans="1:1" ht="16.5" customHeight="1">
      <c r="A621" s="2"/>
    </row>
    <row r="622" spans="1:1" ht="16.5" customHeight="1">
      <c r="A622" s="2"/>
    </row>
    <row r="623" spans="1:1" ht="16.5" customHeight="1">
      <c r="A623" s="2"/>
    </row>
    <row r="624" spans="1:1" ht="16.5" customHeight="1">
      <c r="A624" s="2"/>
    </row>
    <row r="625" spans="1:1" ht="16.5" customHeight="1">
      <c r="A625" s="2"/>
    </row>
    <row r="626" spans="1:1" ht="16.5" customHeight="1">
      <c r="A626" s="2"/>
    </row>
    <row r="627" spans="1:1" ht="16.5" customHeight="1">
      <c r="A627" s="2"/>
    </row>
    <row r="628" spans="1:1" ht="16.5" customHeight="1">
      <c r="A628" s="2"/>
    </row>
    <row r="629" spans="1:1" ht="16.5" customHeight="1">
      <c r="A629" s="2"/>
    </row>
    <row r="630" spans="1:1" ht="16.5" customHeight="1">
      <c r="A630" s="2"/>
    </row>
    <row r="631" spans="1:1" ht="16.5" customHeight="1">
      <c r="A631" s="2"/>
    </row>
    <row r="632" spans="1:1" ht="16.5" customHeight="1">
      <c r="A632" s="2"/>
    </row>
    <row r="633" spans="1:1" ht="16.5" customHeight="1">
      <c r="A633" s="2"/>
    </row>
    <row r="634" spans="1:1" ht="16.5" customHeight="1">
      <c r="A634" s="2"/>
    </row>
    <row r="635" spans="1:1" ht="16.5" customHeight="1">
      <c r="A635" s="2"/>
    </row>
    <row r="636" spans="1:1" ht="16.5" customHeight="1">
      <c r="A636" s="2"/>
    </row>
    <row r="637" spans="1:1" ht="16.5" customHeight="1">
      <c r="A637" s="2"/>
    </row>
    <row r="638" spans="1:1" ht="16.5" customHeight="1">
      <c r="A638" s="2"/>
    </row>
    <row r="639" spans="1:1" ht="16.5" customHeight="1">
      <c r="A639" s="2"/>
    </row>
    <row r="640" spans="1:1" ht="16.5" customHeight="1">
      <c r="A640" s="2"/>
    </row>
    <row r="641" spans="1:1" ht="16.5" customHeight="1">
      <c r="A641" s="2"/>
    </row>
    <row r="642" spans="1:1" ht="16.5" customHeight="1">
      <c r="A642" s="2"/>
    </row>
    <row r="643" spans="1:1" ht="16.5" customHeight="1">
      <c r="A643" s="2"/>
    </row>
    <row r="644" spans="1:1" ht="16.5" customHeight="1">
      <c r="A644" s="2"/>
    </row>
    <row r="645" spans="1:1" ht="16.5" customHeight="1">
      <c r="A645" s="2"/>
    </row>
    <row r="646" spans="1:1" ht="16.5" customHeight="1">
      <c r="A646" s="2"/>
    </row>
    <row r="647" spans="1:1" ht="16.5" customHeight="1">
      <c r="A647" s="2"/>
    </row>
    <row r="648" spans="1:1" ht="16.5" customHeight="1">
      <c r="A648" s="2"/>
    </row>
    <row r="649" spans="1:1" ht="16.5" customHeight="1">
      <c r="A649" s="2"/>
    </row>
    <row r="650" spans="1:1" ht="16.5" customHeight="1">
      <c r="A650" s="2"/>
    </row>
    <row r="651" spans="1:1" ht="16.5" customHeight="1">
      <c r="A651" s="2"/>
    </row>
    <row r="652" spans="1:1" ht="16.5" customHeight="1">
      <c r="A652" s="2"/>
    </row>
    <row r="653" spans="1:1" ht="16.5" customHeight="1">
      <c r="A653" s="2"/>
    </row>
    <row r="654" spans="1:1" ht="16.5" customHeight="1">
      <c r="A654" s="2"/>
    </row>
    <row r="655" spans="1:1" ht="16.5" customHeight="1">
      <c r="A655" s="2"/>
    </row>
    <row r="656" spans="1:1" ht="16.5" customHeight="1">
      <c r="A656" s="2"/>
    </row>
    <row r="657" spans="1:1" ht="16.5" customHeight="1">
      <c r="A657" s="2"/>
    </row>
    <row r="658" spans="1:1" ht="16.5" customHeight="1">
      <c r="A658" s="2"/>
    </row>
    <row r="659" spans="1:1" ht="16.5" customHeight="1">
      <c r="A659" s="2"/>
    </row>
    <row r="660" spans="1:1" ht="16.5" customHeight="1">
      <c r="A660" s="2"/>
    </row>
    <row r="661" spans="1:1" ht="16.5" customHeight="1">
      <c r="A661" s="2"/>
    </row>
    <row r="662" spans="1:1" ht="16.5" customHeight="1">
      <c r="A662" s="2"/>
    </row>
    <row r="663" spans="1:1" ht="16.5" customHeight="1">
      <c r="A663" s="2"/>
    </row>
    <row r="664" spans="1:1" ht="16.5" customHeight="1">
      <c r="A664" s="2"/>
    </row>
    <row r="665" spans="1:1" ht="16.5" customHeight="1">
      <c r="A665" s="2"/>
    </row>
    <row r="666" spans="1:1" ht="16.5" customHeight="1">
      <c r="A666" s="2"/>
    </row>
    <row r="667" spans="1:1" ht="16.5" customHeight="1">
      <c r="A667" s="2"/>
    </row>
    <row r="668" spans="1:1" ht="16.5" customHeight="1">
      <c r="A668" s="2"/>
    </row>
    <row r="669" spans="1:1" ht="16.5" customHeight="1">
      <c r="A669" s="2"/>
    </row>
    <row r="670" spans="1:1" ht="16.5" customHeight="1">
      <c r="A670" s="2"/>
    </row>
    <row r="671" spans="1:1" ht="16.5" customHeight="1">
      <c r="A671" s="2"/>
    </row>
    <row r="672" spans="1:1" ht="16.5" customHeight="1">
      <c r="A672" s="2"/>
    </row>
    <row r="673" spans="1:1" ht="16.5" customHeight="1">
      <c r="A673" s="2"/>
    </row>
    <row r="674" spans="1:1" ht="16.5" customHeight="1">
      <c r="A674" s="2"/>
    </row>
    <row r="675" spans="1:1" ht="16.5" customHeight="1">
      <c r="A675" s="2"/>
    </row>
    <row r="676" spans="1:1" ht="16.5" customHeight="1">
      <c r="A676" s="2"/>
    </row>
    <row r="677" spans="1:1" ht="16.5" customHeight="1">
      <c r="A677" s="2"/>
    </row>
    <row r="678" spans="1:1" ht="16.5" customHeight="1">
      <c r="A678" s="2"/>
    </row>
    <row r="679" spans="1:1" ht="16.5" customHeight="1">
      <c r="A679" s="2"/>
    </row>
    <row r="680" spans="1:1" ht="16.5" customHeight="1">
      <c r="A680" s="2"/>
    </row>
    <row r="681" spans="1:1" ht="16.5" customHeight="1">
      <c r="A681" s="2"/>
    </row>
    <row r="682" spans="1:1" ht="16.5" customHeight="1">
      <c r="A682" s="2"/>
    </row>
    <row r="683" spans="1:1" ht="16.5" customHeight="1">
      <c r="A683" s="2"/>
    </row>
    <row r="684" spans="1:1" ht="16.5" customHeight="1">
      <c r="A684" s="2"/>
    </row>
    <row r="685" spans="1:1" ht="16.5" customHeight="1">
      <c r="A685" s="2"/>
    </row>
    <row r="686" spans="1:1" ht="16.5" customHeight="1">
      <c r="A686" s="2"/>
    </row>
    <row r="687" spans="1:1" ht="16.5" customHeight="1">
      <c r="A687" s="2"/>
    </row>
    <row r="688" spans="1:1" ht="16.5" customHeight="1">
      <c r="A688" s="2"/>
    </row>
    <row r="689" spans="1:1" ht="16.5" customHeight="1">
      <c r="A689" s="2"/>
    </row>
    <row r="690" spans="1:1" ht="16.5" customHeight="1">
      <c r="A690" s="2"/>
    </row>
    <row r="691" spans="1:1" ht="16.5" customHeight="1">
      <c r="A691" s="2"/>
    </row>
    <row r="692" spans="1:1" ht="16.5" customHeight="1">
      <c r="A692" s="2"/>
    </row>
    <row r="693" spans="1:1" ht="16.5" customHeight="1">
      <c r="A693" s="2"/>
    </row>
    <row r="694" spans="1:1" ht="16.5" customHeight="1">
      <c r="A694" s="2"/>
    </row>
    <row r="695" spans="1:1" ht="16.5" customHeight="1">
      <c r="A695" s="2"/>
    </row>
    <row r="696" spans="1:1" ht="16.5" customHeight="1">
      <c r="A696" s="2"/>
    </row>
    <row r="697" spans="1:1" ht="16.5" customHeight="1">
      <c r="A697" s="2"/>
    </row>
    <row r="698" spans="1:1" ht="16.5" customHeight="1">
      <c r="A698" s="2"/>
    </row>
    <row r="699" spans="1:1" ht="16.5" customHeight="1">
      <c r="A699" s="2"/>
    </row>
    <row r="700" spans="1:1" ht="16.5" customHeight="1">
      <c r="A700" s="2"/>
    </row>
    <row r="701" spans="1:1" ht="16.5" customHeight="1">
      <c r="A701" s="2"/>
    </row>
    <row r="702" spans="1:1" ht="16.5" customHeight="1">
      <c r="A702" s="2"/>
    </row>
    <row r="703" spans="1:1" ht="16.5" customHeight="1">
      <c r="A703" s="2"/>
    </row>
    <row r="704" spans="1:1" ht="16.5" customHeight="1">
      <c r="A704" s="2"/>
    </row>
    <row r="705" spans="1:1" ht="16.5" customHeight="1">
      <c r="A705" s="2"/>
    </row>
    <row r="706" spans="1:1" ht="16.5" customHeight="1">
      <c r="A706" s="2"/>
    </row>
    <row r="707" spans="1:1" ht="16.5" customHeight="1">
      <c r="A707" s="2"/>
    </row>
    <row r="708" spans="1:1" ht="16.5" customHeight="1">
      <c r="A708" s="2"/>
    </row>
    <row r="709" spans="1:1" ht="16.5" customHeight="1">
      <c r="A709" s="2"/>
    </row>
    <row r="710" spans="1:1" ht="16.5" customHeight="1">
      <c r="A710" s="2"/>
    </row>
    <row r="711" spans="1:1" ht="16.5" customHeight="1">
      <c r="A711" s="2"/>
    </row>
    <row r="712" spans="1:1" ht="16.5" customHeight="1">
      <c r="A712" s="2"/>
    </row>
    <row r="713" spans="1:1" ht="16.5" customHeight="1">
      <c r="A713" s="2"/>
    </row>
    <row r="714" spans="1:1" ht="16.5" customHeight="1">
      <c r="A714" s="2"/>
    </row>
    <row r="715" spans="1:1" ht="16.5" customHeight="1">
      <c r="A715" s="2"/>
    </row>
    <row r="716" spans="1:1" ht="16.5" customHeight="1">
      <c r="A716" s="2"/>
    </row>
    <row r="717" spans="1:1" ht="16.5" customHeight="1">
      <c r="A717" s="2"/>
    </row>
    <row r="718" spans="1:1" ht="16.5" customHeight="1">
      <c r="A718" s="2"/>
    </row>
    <row r="719" spans="1:1" ht="16.5" customHeight="1">
      <c r="A719" s="2"/>
    </row>
    <row r="720" spans="1:1" ht="16.5" customHeight="1">
      <c r="A720" s="2"/>
    </row>
    <row r="721" spans="1:1" ht="16.5" customHeight="1">
      <c r="A721" s="2"/>
    </row>
    <row r="722" spans="1:1" ht="16.5" customHeight="1">
      <c r="A722" s="2"/>
    </row>
    <row r="723" spans="1:1" ht="16.5" customHeight="1">
      <c r="A723" s="2"/>
    </row>
    <row r="724" spans="1:1" ht="16.5" customHeight="1">
      <c r="A724" s="2"/>
    </row>
    <row r="725" spans="1:1" ht="16.5" customHeight="1">
      <c r="A725" s="2"/>
    </row>
    <row r="726" spans="1:1" ht="16.5" customHeight="1">
      <c r="A726" s="2"/>
    </row>
    <row r="727" spans="1:1" ht="16.5" customHeight="1">
      <c r="A727" s="2"/>
    </row>
    <row r="728" spans="1:1" ht="16.5" customHeight="1">
      <c r="A728" s="2"/>
    </row>
    <row r="729" spans="1:1" ht="16.5" customHeight="1">
      <c r="A729" s="2"/>
    </row>
    <row r="730" spans="1:1" ht="16.5" customHeight="1">
      <c r="A730" s="2"/>
    </row>
    <row r="731" spans="1:1" ht="16.5" customHeight="1">
      <c r="A731" s="2"/>
    </row>
    <row r="732" spans="1:1" ht="16.5" customHeight="1">
      <c r="A732" s="2"/>
    </row>
    <row r="733" spans="1:1" ht="16.5" customHeight="1">
      <c r="A733" s="2"/>
    </row>
    <row r="734" spans="1:1" ht="16.5" customHeight="1">
      <c r="A734" s="2"/>
    </row>
    <row r="735" spans="1:1" ht="16.5" customHeight="1">
      <c r="A735" s="2"/>
    </row>
    <row r="736" spans="1:1" ht="16.5" customHeight="1">
      <c r="A736" s="2"/>
    </row>
    <row r="737" spans="1:1" ht="16.5" customHeight="1">
      <c r="A737" s="2"/>
    </row>
    <row r="738" spans="1:1" ht="16.5" customHeight="1">
      <c r="A738" s="2"/>
    </row>
    <row r="739" spans="1:1" ht="16.5" customHeight="1">
      <c r="A739" s="2"/>
    </row>
    <row r="740" spans="1:1" ht="16.5" customHeight="1">
      <c r="A740" s="2"/>
    </row>
    <row r="741" spans="1:1" ht="16.5" customHeight="1">
      <c r="A741" s="2"/>
    </row>
    <row r="742" spans="1:1" ht="16.5" customHeight="1">
      <c r="A742" s="2"/>
    </row>
    <row r="743" spans="1:1" ht="16.5" customHeight="1">
      <c r="A743" s="2"/>
    </row>
    <row r="744" spans="1:1" ht="16.5" customHeight="1">
      <c r="A744" s="2"/>
    </row>
    <row r="745" spans="1:1" ht="16.5" customHeight="1">
      <c r="A745" s="2"/>
    </row>
    <row r="746" spans="1:1" ht="16.5" customHeight="1">
      <c r="A746" s="2"/>
    </row>
    <row r="747" spans="1:1" ht="16.5" customHeight="1">
      <c r="A747" s="2"/>
    </row>
    <row r="748" spans="1:1" ht="16.5" customHeight="1">
      <c r="A748" s="2"/>
    </row>
    <row r="749" spans="1:1" ht="16.5" customHeight="1">
      <c r="A749" s="2"/>
    </row>
    <row r="750" spans="1:1" ht="16.5" customHeight="1">
      <c r="A750" s="2"/>
    </row>
    <row r="751" spans="1:1" ht="16.5" customHeight="1">
      <c r="A751" s="2"/>
    </row>
    <row r="752" spans="1:1" ht="16.5" customHeight="1">
      <c r="A752" s="2"/>
    </row>
    <row r="753" spans="1:1" ht="16.5" customHeight="1">
      <c r="A753" s="2"/>
    </row>
    <row r="754" spans="1:1" ht="16.5" customHeight="1">
      <c r="A754" s="2"/>
    </row>
    <row r="755" spans="1:1" ht="16.5" customHeight="1">
      <c r="A755" s="2"/>
    </row>
    <row r="756" spans="1:1" ht="16.5" customHeight="1">
      <c r="A756" s="2"/>
    </row>
    <row r="757" spans="1:1" ht="16.5" customHeight="1">
      <c r="A757" s="2"/>
    </row>
    <row r="758" spans="1:1" ht="16.5" customHeight="1">
      <c r="A758" s="2"/>
    </row>
    <row r="759" spans="1:1" ht="16.5" customHeight="1">
      <c r="A759" s="2"/>
    </row>
    <row r="760" spans="1:1" ht="16.5" customHeight="1">
      <c r="A760" s="2"/>
    </row>
    <row r="761" spans="1:1" ht="16.5" customHeight="1">
      <c r="A761" s="2"/>
    </row>
    <row r="762" spans="1:1" ht="16.5" customHeight="1">
      <c r="A762" s="2"/>
    </row>
    <row r="763" spans="1:1" ht="16.5" customHeight="1">
      <c r="A763" s="2"/>
    </row>
    <row r="764" spans="1:1" ht="16.5" customHeight="1">
      <c r="A764" s="2"/>
    </row>
    <row r="765" spans="1:1" ht="16.5" customHeight="1">
      <c r="A765" s="2"/>
    </row>
    <row r="766" spans="1:1" ht="16.5" customHeight="1">
      <c r="A766" s="2"/>
    </row>
    <row r="767" spans="1:1" ht="16.5" customHeight="1">
      <c r="A767" s="2"/>
    </row>
    <row r="768" spans="1:1" ht="16.5" customHeight="1">
      <c r="A768" s="2"/>
    </row>
    <row r="769" spans="1:1" ht="16.5" customHeight="1">
      <c r="A769" s="2"/>
    </row>
    <row r="770" spans="1:1" ht="16.5" customHeight="1">
      <c r="A770" s="2"/>
    </row>
    <row r="771" spans="1:1" ht="16.5" customHeight="1">
      <c r="A771" s="2"/>
    </row>
    <row r="772" spans="1:1" ht="16.5" customHeight="1">
      <c r="A772" s="2"/>
    </row>
    <row r="773" spans="1:1" ht="16.5" customHeight="1">
      <c r="A773" s="2"/>
    </row>
    <row r="774" spans="1:1" ht="16.5" customHeight="1">
      <c r="A774" s="2"/>
    </row>
    <row r="775" spans="1:1" ht="16.5" customHeight="1">
      <c r="A775" s="2"/>
    </row>
    <row r="776" spans="1:1" ht="16.5" customHeight="1">
      <c r="A776" s="2"/>
    </row>
    <row r="777" spans="1:1" ht="16.5" customHeight="1">
      <c r="A777" s="2"/>
    </row>
    <row r="778" spans="1:1" ht="16.5" customHeight="1">
      <c r="A778" s="2"/>
    </row>
    <row r="779" spans="1:1" ht="16.5" customHeight="1">
      <c r="A779" s="2"/>
    </row>
    <row r="780" spans="1:1" ht="16.5" customHeight="1">
      <c r="A780" s="2"/>
    </row>
    <row r="781" spans="1:1" ht="16.5" customHeight="1">
      <c r="A781" s="2"/>
    </row>
    <row r="782" spans="1:1" ht="16.5" customHeight="1">
      <c r="A782" s="2"/>
    </row>
    <row r="783" spans="1:1" ht="16.5" customHeight="1">
      <c r="A783" s="2"/>
    </row>
    <row r="784" spans="1:1" ht="16.5" customHeight="1">
      <c r="A784" s="2"/>
    </row>
    <row r="785" spans="1:1" ht="16.5" customHeight="1">
      <c r="A785" s="2"/>
    </row>
    <row r="786" spans="1:1" ht="16.5" customHeight="1">
      <c r="A786" s="2"/>
    </row>
    <row r="787" spans="1:1" ht="16.5" customHeight="1">
      <c r="A787" s="2"/>
    </row>
    <row r="788" spans="1:1" ht="16.5" customHeight="1">
      <c r="A788" s="2"/>
    </row>
    <row r="789" spans="1:1" ht="16.5" customHeight="1">
      <c r="A789" s="2"/>
    </row>
    <row r="790" spans="1:1" ht="16.5" customHeight="1">
      <c r="A790" s="2"/>
    </row>
    <row r="791" spans="1:1" ht="16.5" customHeight="1">
      <c r="A791" s="2"/>
    </row>
    <row r="792" spans="1:1" ht="16.5" customHeight="1">
      <c r="A792" s="2"/>
    </row>
    <row r="793" spans="1:1" ht="16.5" customHeight="1">
      <c r="A793" s="2"/>
    </row>
    <row r="794" spans="1:1" ht="16.5" customHeight="1">
      <c r="A794" s="2"/>
    </row>
    <row r="795" spans="1:1" ht="16.5" customHeight="1">
      <c r="A795" s="2"/>
    </row>
    <row r="796" spans="1:1" ht="16.5" customHeight="1">
      <c r="A796" s="2"/>
    </row>
    <row r="797" spans="1:1" ht="16.5" customHeight="1">
      <c r="A797" s="2"/>
    </row>
    <row r="798" spans="1:1" ht="16.5" customHeight="1">
      <c r="A798" s="2"/>
    </row>
    <row r="799" spans="1:1" ht="16.5" customHeight="1">
      <c r="A799" s="2"/>
    </row>
    <row r="800" spans="1:1" ht="16.5" customHeight="1">
      <c r="A800" s="2"/>
    </row>
    <row r="801" spans="1:1" ht="16.5" customHeight="1">
      <c r="A801" s="2"/>
    </row>
    <row r="802" spans="1:1" ht="16.5" customHeight="1">
      <c r="A802" s="2"/>
    </row>
    <row r="803" spans="1:1" ht="16.5" customHeight="1">
      <c r="A803" s="2"/>
    </row>
    <row r="804" spans="1:1" ht="16.5" customHeight="1">
      <c r="A804" s="2"/>
    </row>
    <row r="805" spans="1:1" ht="16.5" customHeight="1">
      <c r="A805" s="2"/>
    </row>
    <row r="806" spans="1:1" ht="16.5" customHeight="1">
      <c r="A806" s="2"/>
    </row>
    <row r="807" spans="1:1" ht="16.5" customHeight="1">
      <c r="A807" s="2"/>
    </row>
    <row r="808" spans="1:1" ht="16.5" customHeight="1">
      <c r="A808" s="2"/>
    </row>
    <row r="809" spans="1:1" ht="16.5" customHeight="1">
      <c r="A809" s="2"/>
    </row>
    <row r="810" spans="1:1" ht="16.5" customHeight="1">
      <c r="A810" s="2"/>
    </row>
    <row r="811" spans="1:1" ht="16.5" customHeight="1">
      <c r="A811" s="2"/>
    </row>
    <row r="812" spans="1:1" ht="16.5" customHeight="1">
      <c r="A812" s="2"/>
    </row>
    <row r="813" spans="1:1" ht="16.5" customHeight="1">
      <c r="A813" s="2"/>
    </row>
    <row r="814" spans="1:1" ht="16.5" customHeight="1">
      <c r="A814" s="2"/>
    </row>
    <row r="815" spans="1:1" ht="16.5" customHeight="1">
      <c r="A815" s="2"/>
    </row>
    <row r="816" spans="1:1" ht="16.5" customHeight="1">
      <c r="A816" s="2"/>
    </row>
    <row r="817" spans="1:1" ht="16.5" customHeight="1">
      <c r="A817" s="2"/>
    </row>
    <row r="818" spans="1:1" ht="16.5" customHeight="1">
      <c r="A818" s="2"/>
    </row>
    <row r="819" spans="1:1" ht="16.5" customHeight="1">
      <c r="A819" s="2"/>
    </row>
    <row r="820" spans="1:1" ht="16.5" customHeight="1">
      <c r="A820" s="2"/>
    </row>
    <row r="821" spans="1:1" ht="16.5" customHeight="1">
      <c r="A821" s="2"/>
    </row>
    <row r="822" spans="1:1" ht="16.5" customHeight="1">
      <c r="A822" s="2"/>
    </row>
    <row r="823" spans="1:1" ht="16.5" customHeight="1">
      <c r="A823" s="2"/>
    </row>
    <row r="824" spans="1:1" ht="16.5" customHeight="1">
      <c r="A824" s="2"/>
    </row>
    <row r="825" spans="1:1" ht="16.5" customHeight="1">
      <c r="A825" s="2"/>
    </row>
    <row r="826" spans="1:1" ht="16.5" customHeight="1">
      <c r="A826" s="2"/>
    </row>
    <row r="827" spans="1:1" ht="16.5" customHeight="1">
      <c r="A827" s="2"/>
    </row>
    <row r="828" spans="1:1" ht="16.5" customHeight="1">
      <c r="A828" s="2"/>
    </row>
    <row r="829" spans="1:1" ht="16.5" customHeight="1">
      <c r="A829" s="2"/>
    </row>
    <row r="830" spans="1:1" ht="16.5" customHeight="1">
      <c r="A830" s="2"/>
    </row>
    <row r="831" spans="1:1" ht="16.5" customHeight="1">
      <c r="A831" s="2"/>
    </row>
    <row r="832" spans="1:1" ht="16.5" customHeight="1">
      <c r="A832" s="2"/>
    </row>
    <row r="833" spans="1:1" ht="16.5" customHeight="1">
      <c r="A833" s="2"/>
    </row>
    <row r="834" spans="1:1" ht="16.5" customHeight="1">
      <c r="A834" s="2"/>
    </row>
    <row r="835" spans="1:1" ht="16.5" customHeight="1">
      <c r="A835" s="2"/>
    </row>
    <row r="836" spans="1:1" ht="16.5" customHeight="1">
      <c r="A836" s="2"/>
    </row>
    <row r="837" spans="1:1" ht="16.5" customHeight="1">
      <c r="A837" s="2"/>
    </row>
    <row r="838" spans="1:1" ht="16.5" customHeight="1">
      <c r="A838" s="2"/>
    </row>
    <row r="839" spans="1:1" ht="16.5" customHeight="1">
      <c r="A839" s="2"/>
    </row>
    <row r="840" spans="1:1" ht="16.5" customHeight="1">
      <c r="A840" s="2"/>
    </row>
    <row r="841" spans="1:1" ht="16.5" customHeight="1">
      <c r="A841" s="2"/>
    </row>
    <row r="842" spans="1:1" ht="16.5" customHeight="1">
      <c r="A842" s="2"/>
    </row>
    <row r="843" spans="1:1" ht="16.5" customHeight="1">
      <c r="A843" s="2"/>
    </row>
    <row r="844" spans="1:1" ht="16.5" customHeight="1">
      <c r="A844" s="2"/>
    </row>
    <row r="845" spans="1:1" ht="16.5" customHeight="1">
      <c r="A845" s="2"/>
    </row>
    <row r="846" spans="1:1" ht="16.5" customHeight="1">
      <c r="A846" s="2"/>
    </row>
    <row r="847" spans="1:1" ht="16.5" customHeight="1">
      <c r="A847" s="2"/>
    </row>
    <row r="848" spans="1:1" ht="16.5" customHeight="1">
      <c r="A848" s="2"/>
    </row>
    <row r="849" spans="1:1" ht="16.5" customHeight="1">
      <c r="A849" s="2"/>
    </row>
    <row r="850" spans="1:1" ht="16.5" customHeight="1">
      <c r="A850" s="2"/>
    </row>
    <row r="851" spans="1:1" ht="16.5" customHeight="1">
      <c r="A851" s="2"/>
    </row>
    <row r="852" spans="1:1" ht="16.5" customHeight="1">
      <c r="A852" s="2"/>
    </row>
    <row r="853" spans="1:1" ht="16.5" customHeight="1">
      <c r="A853" s="2"/>
    </row>
    <row r="854" spans="1:1" ht="16.5" customHeight="1">
      <c r="A854" s="2"/>
    </row>
    <row r="855" spans="1:1" ht="16.5" customHeight="1">
      <c r="A855" s="2"/>
    </row>
    <row r="856" spans="1:1" ht="16.5" customHeight="1">
      <c r="A856" s="2"/>
    </row>
    <row r="857" spans="1:1" ht="16.5" customHeight="1">
      <c r="A857" s="2"/>
    </row>
    <row r="858" spans="1:1" ht="16.5" customHeight="1">
      <c r="A858" s="2"/>
    </row>
    <row r="859" spans="1:1" ht="16.5" customHeight="1">
      <c r="A859" s="2"/>
    </row>
    <row r="860" spans="1:1" ht="16.5" customHeight="1">
      <c r="A860" s="2"/>
    </row>
    <row r="861" spans="1:1" ht="16.5" customHeight="1">
      <c r="A861" s="2"/>
    </row>
    <row r="862" spans="1:1" ht="16.5" customHeight="1">
      <c r="A862" s="2"/>
    </row>
    <row r="863" spans="1:1" ht="16.5" customHeight="1">
      <c r="A863" s="2"/>
    </row>
    <row r="864" spans="1:1" ht="16.5" customHeight="1">
      <c r="A864" s="2"/>
    </row>
    <row r="865" spans="1:1" ht="16.5" customHeight="1">
      <c r="A865" s="2"/>
    </row>
    <row r="866" spans="1:1" ht="16.5" customHeight="1">
      <c r="A866" s="2"/>
    </row>
    <row r="867" spans="1:1" ht="16.5" customHeight="1">
      <c r="A867" s="2"/>
    </row>
    <row r="868" spans="1:1" ht="16.5" customHeight="1">
      <c r="A868" s="2"/>
    </row>
    <row r="869" spans="1:1" ht="16.5" customHeight="1">
      <c r="A869" s="2"/>
    </row>
    <row r="870" spans="1:1" ht="16.5" customHeight="1">
      <c r="A870" s="2"/>
    </row>
    <row r="871" spans="1:1" ht="16.5" customHeight="1">
      <c r="A871" s="2"/>
    </row>
    <row r="872" spans="1:1" ht="16.5" customHeight="1">
      <c r="A872" s="2"/>
    </row>
    <row r="873" spans="1:1" ht="16.5" customHeight="1">
      <c r="A873" s="2"/>
    </row>
    <row r="874" spans="1:1" ht="16.5" customHeight="1">
      <c r="A874" s="2"/>
    </row>
    <row r="875" spans="1:1" ht="16.5" customHeight="1">
      <c r="A875" s="2"/>
    </row>
    <row r="876" spans="1:1" ht="16.5" customHeight="1">
      <c r="A876" s="2"/>
    </row>
    <row r="877" spans="1:1" ht="16.5" customHeight="1">
      <c r="A877" s="2"/>
    </row>
    <row r="878" spans="1:1" ht="16.5" customHeight="1">
      <c r="A878" s="2"/>
    </row>
    <row r="879" spans="1:1" ht="16.5" customHeight="1">
      <c r="A879" s="2"/>
    </row>
    <row r="880" spans="1:1" ht="16.5" customHeight="1">
      <c r="A880" s="2"/>
    </row>
    <row r="881" spans="1:1" ht="16.5" customHeight="1">
      <c r="A881" s="2"/>
    </row>
    <row r="882" spans="1:1" ht="16.5" customHeight="1">
      <c r="A882" s="2"/>
    </row>
    <row r="883" spans="1:1" ht="16.5" customHeight="1">
      <c r="A883" s="2"/>
    </row>
    <row r="884" spans="1:1" ht="16.5" customHeight="1">
      <c r="A884" s="2"/>
    </row>
    <row r="885" spans="1:1" ht="16.5" customHeight="1">
      <c r="A885" s="2"/>
    </row>
    <row r="886" spans="1:1" ht="16.5" customHeight="1">
      <c r="A886" s="2"/>
    </row>
    <row r="887" spans="1:1" ht="16.5" customHeight="1">
      <c r="A887" s="2"/>
    </row>
    <row r="888" spans="1:1" ht="16.5" customHeight="1">
      <c r="A888" s="2"/>
    </row>
    <row r="889" spans="1:1" ht="16.5" customHeight="1">
      <c r="A889" s="2"/>
    </row>
    <row r="890" spans="1:1" ht="16.5" customHeight="1">
      <c r="A890" s="2"/>
    </row>
    <row r="891" spans="1:1" ht="16.5" customHeight="1">
      <c r="A891" s="2"/>
    </row>
    <row r="892" spans="1:1" ht="16.5" customHeight="1">
      <c r="A892" s="2"/>
    </row>
    <row r="893" spans="1:1" ht="16.5" customHeight="1">
      <c r="A893" s="2"/>
    </row>
    <row r="894" spans="1:1" ht="16.5" customHeight="1">
      <c r="A894" s="2"/>
    </row>
    <row r="895" spans="1:1" ht="16.5" customHeight="1">
      <c r="A895" s="2"/>
    </row>
    <row r="896" spans="1:1" ht="16.5" customHeight="1">
      <c r="A896" s="2"/>
    </row>
    <row r="897" spans="1:1" ht="16.5" customHeight="1">
      <c r="A897" s="2"/>
    </row>
    <row r="898" spans="1:1" ht="16.5" customHeight="1">
      <c r="A898" s="2"/>
    </row>
    <row r="899" spans="1:1" ht="16.5" customHeight="1">
      <c r="A899" s="2"/>
    </row>
    <row r="900" spans="1:1" ht="16.5" customHeight="1">
      <c r="A900" s="2"/>
    </row>
    <row r="901" spans="1:1" ht="16.5" customHeight="1">
      <c r="A901" s="2"/>
    </row>
    <row r="902" spans="1:1" ht="16.5" customHeight="1">
      <c r="A902" s="2"/>
    </row>
    <row r="903" spans="1:1" ht="16.5" customHeight="1">
      <c r="A903" s="2"/>
    </row>
    <row r="904" spans="1:1" ht="16.5" customHeight="1">
      <c r="A904" s="2"/>
    </row>
    <row r="905" spans="1:1" ht="16.5" customHeight="1">
      <c r="A905" s="2"/>
    </row>
    <row r="906" spans="1:1" ht="16.5" customHeight="1">
      <c r="A906" s="2"/>
    </row>
    <row r="907" spans="1:1" ht="16.5" customHeight="1">
      <c r="A907" s="2"/>
    </row>
    <row r="908" spans="1:1" ht="16.5" customHeight="1">
      <c r="A908" s="2"/>
    </row>
    <row r="909" spans="1:1" ht="16.5" customHeight="1">
      <c r="A909" s="2"/>
    </row>
    <row r="910" spans="1:1" ht="16.5" customHeight="1">
      <c r="A910" s="2"/>
    </row>
    <row r="911" spans="1:1" ht="16.5" customHeight="1">
      <c r="A911" s="2"/>
    </row>
    <row r="912" spans="1:1" ht="16.5" customHeight="1">
      <c r="A912" s="2"/>
    </row>
    <row r="913" spans="1:1" ht="16.5" customHeight="1">
      <c r="A913" s="2"/>
    </row>
    <row r="914" spans="1:1" ht="16.5" customHeight="1">
      <c r="A914" s="2"/>
    </row>
    <row r="915" spans="1:1" ht="16.5" customHeight="1">
      <c r="A915" s="2"/>
    </row>
    <row r="916" spans="1:1" ht="16.5" customHeight="1">
      <c r="A916" s="2"/>
    </row>
    <row r="917" spans="1:1" ht="16.5" customHeight="1">
      <c r="A917" s="2"/>
    </row>
    <row r="918" spans="1:1" ht="16.5" customHeight="1">
      <c r="A918" s="2"/>
    </row>
    <row r="919" spans="1:1" ht="16.5" customHeight="1">
      <c r="A919" s="2"/>
    </row>
    <row r="920" spans="1:1" ht="16.5" customHeight="1">
      <c r="A920" s="2"/>
    </row>
    <row r="921" spans="1:1" ht="16.5" customHeight="1">
      <c r="A921" s="2"/>
    </row>
    <row r="922" spans="1:1" ht="16.5" customHeight="1">
      <c r="A922" s="2"/>
    </row>
    <row r="923" spans="1:1" ht="16.5" customHeight="1">
      <c r="A923" s="2"/>
    </row>
    <row r="924" spans="1:1" ht="16.5" customHeight="1">
      <c r="A924" s="2"/>
    </row>
    <row r="925" spans="1:1" ht="16.5" customHeight="1">
      <c r="A925" s="2"/>
    </row>
    <row r="926" spans="1:1" ht="16.5" customHeight="1">
      <c r="A926" s="2"/>
    </row>
    <row r="927" spans="1:1" ht="16.5" customHeight="1">
      <c r="A927" s="2"/>
    </row>
    <row r="928" spans="1:1" ht="16.5" customHeight="1">
      <c r="A928" s="2"/>
    </row>
    <row r="929" spans="1:1" ht="16.5" customHeight="1">
      <c r="A929" s="2"/>
    </row>
    <row r="930" spans="1:1" ht="16.5" customHeight="1">
      <c r="A930" s="2"/>
    </row>
    <row r="931" spans="1:1" ht="16.5" customHeight="1">
      <c r="A931" s="2"/>
    </row>
    <row r="932" spans="1:1" ht="16.5" customHeight="1">
      <c r="A932" s="2"/>
    </row>
    <row r="933" spans="1:1" ht="16.5" customHeight="1">
      <c r="A933" s="2"/>
    </row>
    <row r="934" spans="1:1" ht="16.5" customHeight="1">
      <c r="A934" s="2"/>
    </row>
    <row r="935" spans="1:1" ht="16.5" customHeight="1">
      <c r="A935" s="2"/>
    </row>
    <row r="936" spans="1:1" ht="16.5" customHeight="1">
      <c r="A936" s="2"/>
    </row>
    <row r="937" spans="1:1" ht="16.5" customHeight="1">
      <c r="A937" s="2"/>
    </row>
    <row r="938" spans="1:1" ht="16.5" customHeight="1">
      <c r="A938" s="2"/>
    </row>
    <row r="939" spans="1:1" ht="16.5" customHeight="1">
      <c r="A939" s="2"/>
    </row>
    <row r="940" spans="1:1" ht="16.5" customHeight="1">
      <c r="A940" s="2"/>
    </row>
    <row r="941" spans="1:1" ht="16.5" customHeight="1">
      <c r="A941" s="2"/>
    </row>
    <row r="942" spans="1:1" ht="16.5" customHeight="1">
      <c r="A942" s="2"/>
    </row>
    <row r="943" spans="1:1" ht="16.5" customHeight="1">
      <c r="A943" s="2"/>
    </row>
    <row r="944" spans="1:1" ht="16.5" customHeight="1">
      <c r="A944" s="2"/>
    </row>
    <row r="945" spans="1:1" ht="16.5" customHeight="1">
      <c r="A945" s="2"/>
    </row>
    <row r="946" spans="1:1" ht="16.5" customHeight="1">
      <c r="A946" s="2"/>
    </row>
    <row r="947" spans="1:1" ht="16.5" customHeight="1">
      <c r="A947" s="2"/>
    </row>
    <row r="948" spans="1:1" ht="16.5" customHeight="1">
      <c r="A948" s="2"/>
    </row>
    <row r="949" spans="1:1" ht="16.5" customHeight="1">
      <c r="A949" s="2"/>
    </row>
    <row r="950" spans="1:1" ht="16.5" customHeight="1">
      <c r="A950" s="2"/>
    </row>
    <row r="951" spans="1:1" ht="16.5" customHeight="1">
      <c r="A951" s="2"/>
    </row>
    <row r="952" spans="1:1" ht="16.5" customHeight="1">
      <c r="A952" s="2"/>
    </row>
    <row r="953" spans="1:1" ht="16.5" customHeight="1">
      <c r="A953" s="2"/>
    </row>
    <row r="954" spans="1:1" ht="16.5" customHeight="1">
      <c r="A954" s="2"/>
    </row>
    <row r="955" spans="1:1" ht="16.5" customHeight="1">
      <c r="A955" s="2"/>
    </row>
    <row r="956" spans="1:1" ht="16.5" customHeight="1">
      <c r="A956" s="2"/>
    </row>
    <row r="957" spans="1:1" ht="16.5" customHeight="1">
      <c r="A957" s="2"/>
    </row>
    <row r="958" spans="1:1" ht="16.5" customHeight="1">
      <c r="A958" s="2"/>
    </row>
    <row r="959" spans="1:1" ht="16.5" customHeight="1">
      <c r="A959" s="2"/>
    </row>
    <row r="960" spans="1:1" ht="16.5" customHeight="1">
      <c r="A960" s="2"/>
    </row>
    <row r="961" spans="1:1" ht="16.5" customHeight="1">
      <c r="A961" s="2"/>
    </row>
    <row r="962" spans="1:1" ht="16.5" customHeight="1">
      <c r="A962" s="2"/>
    </row>
    <row r="963" spans="1:1" ht="16.5" customHeight="1">
      <c r="A963" s="2"/>
    </row>
    <row r="964" spans="1:1" ht="16.5" customHeight="1">
      <c r="A964" s="2"/>
    </row>
    <row r="965" spans="1:1" ht="16.5" customHeight="1">
      <c r="A965" s="2"/>
    </row>
    <row r="966" spans="1:1" ht="16.5" customHeight="1">
      <c r="A966" s="2"/>
    </row>
    <row r="967" spans="1:1" ht="16.5" customHeight="1">
      <c r="A967" s="2"/>
    </row>
    <row r="968" spans="1:1" ht="16.5" customHeight="1">
      <c r="A968" s="2"/>
    </row>
    <row r="969" spans="1:1" ht="16.5" customHeight="1">
      <c r="A969" s="2"/>
    </row>
    <row r="970" spans="1:1" ht="16.5" customHeight="1">
      <c r="A970" s="2"/>
    </row>
    <row r="971" spans="1:1" ht="16.5" customHeight="1">
      <c r="A971" s="2"/>
    </row>
    <row r="972" spans="1:1" ht="16.5" customHeight="1">
      <c r="A972" s="2"/>
    </row>
    <row r="973" spans="1:1" ht="16.5" customHeight="1">
      <c r="A973" s="2"/>
    </row>
    <row r="974" spans="1:1" ht="16.5" customHeight="1">
      <c r="A974" s="2"/>
    </row>
    <row r="975" spans="1:1" ht="16.5" customHeight="1">
      <c r="A975" s="2"/>
    </row>
    <row r="976" spans="1:1" ht="16.5" customHeight="1">
      <c r="A976" s="2"/>
    </row>
    <row r="977" spans="1:1" ht="16.5" customHeight="1">
      <c r="A977" s="2"/>
    </row>
    <row r="978" spans="1:1" ht="16.5" customHeight="1">
      <c r="A978" s="2"/>
    </row>
    <row r="979" spans="1:1" ht="16.5" customHeight="1">
      <c r="A979" s="2"/>
    </row>
    <row r="980" spans="1:1" ht="16.5" customHeight="1">
      <c r="A980" s="2"/>
    </row>
    <row r="981" spans="1:1" ht="16.5" customHeight="1">
      <c r="A981" s="2"/>
    </row>
    <row r="982" spans="1:1" ht="16.5" customHeight="1">
      <c r="A982" s="2"/>
    </row>
    <row r="983" spans="1:1" ht="16.5" customHeight="1">
      <c r="A983" s="2"/>
    </row>
    <row r="984" spans="1:1" ht="16.5" customHeight="1">
      <c r="A984" s="2"/>
    </row>
    <row r="985" spans="1:1" ht="16.5" customHeight="1">
      <c r="A985" s="2"/>
    </row>
    <row r="986" spans="1:1" ht="16.5" customHeight="1">
      <c r="A986" s="2"/>
    </row>
    <row r="987" spans="1:1" ht="16.5" customHeight="1">
      <c r="A987" s="2"/>
    </row>
    <row r="988" spans="1:1" ht="16.5" customHeight="1">
      <c r="A988" s="2"/>
    </row>
    <row r="989" spans="1:1" ht="16.5" customHeight="1">
      <c r="A989" s="2"/>
    </row>
    <row r="990" spans="1:1" ht="16.5" customHeight="1">
      <c r="A990" s="2"/>
    </row>
    <row r="991" spans="1:1" ht="16.5" customHeight="1">
      <c r="A991" s="2"/>
    </row>
    <row r="992" spans="1:1" ht="16.5" customHeight="1">
      <c r="A992" s="2"/>
    </row>
    <row r="993" spans="1:1" ht="16.5" customHeight="1">
      <c r="A993" s="2"/>
    </row>
    <row r="994" spans="1:1" ht="16.5" customHeight="1">
      <c r="A994" s="2"/>
    </row>
    <row r="995" spans="1:1" ht="16.5" customHeight="1">
      <c r="A995" s="2"/>
    </row>
    <row r="996" spans="1:1" ht="16.5" customHeight="1">
      <c r="A996" s="2"/>
    </row>
    <row r="997" spans="1:1" ht="16.5" customHeight="1">
      <c r="A997" s="2"/>
    </row>
    <row r="998" spans="1:1" ht="16.5" customHeight="1">
      <c r="A998" s="2"/>
    </row>
    <row r="999" spans="1:1" ht="16.5" customHeight="1">
      <c r="A999" s="2"/>
    </row>
    <row r="1000" spans="1:1" ht="16.5" customHeight="1">
      <c r="A1000" s="2"/>
    </row>
  </sheetData>
  <phoneticPr fontId="12" type="noConversion"/>
  <pageMargins left="0.7" right="0.7" top="0.75" bottom="0.75" header="0" footer="0"/>
  <pageSetup orientation="landscape"/>
  <headerFooter>
    <oddHeader>&amp;LCTCI Corp. Process Dept.&amp;CPSV Inlet &amp;&amp; Outlet Pipe Line Sizing Parameters&amp;RRev. 1.0 Beta 8</oddHeader>
    <oddFooter>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pane xSplit="3" ySplit="2" topLeftCell="D6" activePane="bottomRight" state="frozen"/>
      <selection pane="topRight" activeCell="D1" sqref="D1"/>
      <selection pane="bottomLeft" activeCell="A3" sqref="A3"/>
      <selection pane="bottomRight" activeCell="F15" sqref="F15"/>
    </sheetView>
  </sheetViews>
  <sheetFormatPr defaultColWidth="11.25" defaultRowHeight="15" customHeight="1" outlineLevelRow="2"/>
  <cols>
    <col min="1" max="1" width="30.25" customWidth="1"/>
    <col min="2" max="2" width="35" customWidth="1"/>
    <col min="3" max="5" width="18.875" customWidth="1"/>
    <col min="6" max="23" width="16.625" customWidth="1"/>
    <col min="24" max="26" width="8" customWidth="1"/>
  </cols>
  <sheetData>
    <row r="1" spans="1:26" ht="45.75" customHeight="1">
      <c r="A1" s="15"/>
      <c r="B1" s="15" t="s">
        <v>42</v>
      </c>
      <c r="C1" s="16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8"/>
      <c r="Z1" s="18"/>
    </row>
    <row r="2" spans="1:26" ht="45.75" customHeight="1">
      <c r="A2" s="16" t="s">
        <v>43</v>
      </c>
      <c r="B2" s="16" t="s">
        <v>44</v>
      </c>
      <c r="C2" s="16"/>
      <c r="D2" s="108"/>
      <c r="E2" s="108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7"/>
      <c r="Z2" s="17"/>
    </row>
    <row r="3" spans="1:26" ht="16.5" customHeight="1">
      <c r="A3" s="16" t="s">
        <v>45</v>
      </c>
      <c r="B3" s="16" t="s">
        <v>46</v>
      </c>
      <c r="C3" s="20"/>
      <c r="D3" s="109"/>
      <c r="E3" s="109"/>
      <c r="F3" s="23"/>
      <c r="G3" s="23"/>
      <c r="H3" s="23"/>
      <c r="I3" s="19"/>
      <c r="J3" s="22"/>
      <c r="K3" s="19"/>
      <c r="L3" s="23"/>
      <c r="M3" s="19"/>
      <c r="N3" s="22"/>
      <c r="O3" s="19"/>
      <c r="P3" s="23"/>
      <c r="Q3" s="19"/>
      <c r="R3" s="22"/>
      <c r="S3" s="19"/>
      <c r="T3" s="19"/>
      <c r="U3" s="19"/>
      <c r="V3" s="23"/>
      <c r="W3" s="22"/>
      <c r="X3" s="19"/>
      <c r="Y3" s="17"/>
      <c r="Z3" s="17"/>
    </row>
    <row r="4" spans="1:26" ht="16.5" customHeight="1">
      <c r="A4" s="24" t="s">
        <v>47</v>
      </c>
      <c r="B4" s="24" t="s">
        <v>48</v>
      </c>
      <c r="C4" s="25"/>
      <c r="D4" s="109"/>
      <c r="E4" s="109"/>
      <c r="F4" s="21"/>
      <c r="G4" s="21"/>
      <c r="H4" s="21"/>
      <c r="I4" s="21"/>
      <c r="J4" s="21"/>
      <c r="K4" s="21"/>
      <c r="L4" s="21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7"/>
      <c r="Z4" s="27"/>
    </row>
    <row r="5" spans="1:26" ht="16.5" customHeight="1">
      <c r="A5" s="15" t="s">
        <v>49</v>
      </c>
      <c r="B5" s="15" t="s">
        <v>50</v>
      </c>
      <c r="C5" s="16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18"/>
      <c r="Z5" s="18"/>
    </row>
    <row r="6" spans="1:26" ht="16.5" customHeight="1">
      <c r="A6" s="15" t="s">
        <v>51</v>
      </c>
      <c r="B6" s="15" t="s">
        <v>52</v>
      </c>
      <c r="C6" s="16" t="s">
        <v>53</v>
      </c>
      <c r="D6" s="109"/>
      <c r="E6" s="109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8"/>
      <c r="R6" s="28"/>
      <c r="S6" s="28"/>
      <c r="T6" s="21"/>
      <c r="U6" s="21"/>
      <c r="V6" s="21"/>
      <c r="W6" s="21"/>
      <c r="X6" s="21"/>
      <c r="Y6" s="18"/>
      <c r="Z6" s="18"/>
    </row>
    <row r="7" spans="1:26" ht="16.5" customHeight="1" outlineLevel="1">
      <c r="A7" s="29" t="s">
        <v>54</v>
      </c>
      <c r="B7" s="29" t="s">
        <v>55</v>
      </c>
      <c r="C7" s="30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2"/>
      <c r="R7" s="32"/>
      <c r="S7" s="32"/>
      <c r="T7" s="31"/>
      <c r="U7" s="31"/>
      <c r="V7" s="31"/>
      <c r="W7" s="31"/>
      <c r="X7" s="31"/>
      <c r="Y7" s="33"/>
      <c r="Z7" s="33"/>
    </row>
    <row r="8" spans="1:26" ht="16.5" customHeight="1">
      <c r="A8" s="15" t="s">
        <v>56</v>
      </c>
      <c r="B8" s="15" t="s">
        <v>57</v>
      </c>
      <c r="C8" s="16"/>
      <c r="D8" s="109"/>
      <c r="E8" s="109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18"/>
      <c r="Z8" s="18"/>
    </row>
    <row r="9" spans="1:26" ht="16.5" customHeight="1">
      <c r="A9" s="15" t="s">
        <v>58</v>
      </c>
      <c r="B9" s="15" t="s">
        <v>59</v>
      </c>
      <c r="C9" s="16" t="s">
        <v>60</v>
      </c>
      <c r="D9" s="109"/>
      <c r="E9" s="109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18"/>
      <c r="Z9" s="18"/>
    </row>
    <row r="10" spans="1:26" ht="16.5" hidden="1" customHeight="1">
      <c r="A10" s="15" t="s">
        <v>61</v>
      </c>
      <c r="B10" s="15" t="s">
        <v>62</v>
      </c>
      <c r="C10" s="16" t="s">
        <v>63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18"/>
      <c r="Z10" s="18"/>
    </row>
    <row r="11" spans="1:26" ht="16.5" customHeight="1">
      <c r="A11" s="15"/>
      <c r="B11" s="34" t="s">
        <v>64</v>
      </c>
      <c r="C11" s="16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35"/>
      <c r="Z11" s="35"/>
    </row>
    <row r="12" spans="1:26" ht="16.5" customHeight="1">
      <c r="A12" s="16" t="s">
        <v>65</v>
      </c>
      <c r="B12" s="16" t="s">
        <v>65</v>
      </c>
      <c r="C12" s="16"/>
      <c r="D12" s="108"/>
      <c r="E12" s="108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7"/>
      <c r="Z12" s="17"/>
    </row>
    <row r="13" spans="1:26" ht="16.5" customHeight="1">
      <c r="A13" s="15" t="s">
        <v>66</v>
      </c>
      <c r="B13" s="15" t="s">
        <v>67</v>
      </c>
      <c r="C13" s="16"/>
      <c r="D13" s="109"/>
      <c r="E13" s="109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18"/>
      <c r="Z13" s="18"/>
    </row>
    <row r="14" spans="1:26" ht="16.5" customHeight="1">
      <c r="A14" s="36" t="s">
        <v>68</v>
      </c>
      <c r="B14" s="36" t="s">
        <v>69</v>
      </c>
      <c r="C14" s="37" t="s">
        <v>70</v>
      </c>
      <c r="D14" s="38"/>
      <c r="E14" s="38"/>
      <c r="F14" s="38"/>
      <c r="G14" s="39"/>
      <c r="H14" s="39"/>
      <c r="I14" s="38"/>
      <c r="J14" s="39"/>
      <c r="K14" s="40"/>
      <c r="L14" s="39"/>
      <c r="M14" s="38"/>
      <c r="N14" s="39"/>
      <c r="O14" s="40"/>
      <c r="P14" s="39"/>
      <c r="Q14" s="38"/>
      <c r="R14" s="39"/>
      <c r="S14" s="40"/>
      <c r="T14" s="40"/>
      <c r="U14" s="39"/>
      <c r="V14" s="39"/>
      <c r="W14" s="39"/>
      <c r="X14" s="39"/>
      <c r="Y14" s="41"/>
      <c r="Z14" s="41"/>
    </row>
    <row r="15" spans="1:26" ht="16.5" customHeight="1">
      <c r="A15" s="29" t="s">
        <v>71</v>
      </c>
      <c r="B15" s="29" t="s">
        <v>71</v>
      </c>
      <c r="C15" s="30" t="s">
        <v>72</v>
      </c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3"/>
      <c r="Z15" s="33"/>
    </row>
    <row r="16" spans="1:26" ht="16.5" customHeight="1">
      <c r="A16" s="15" t="s">
        <v>73</v>
      </c>
      <c r="B16" s="15" t="s">
        <v>74</v>
      </c>
      <c r="C16" s="16" t="s">
        <v>75</v>
      </c>
      <c r="D16" s="42"/>
      <c r="E16" s="42"/>
      <c r="F16" s="42"/>
      <c r="G16" s="42"/>
      <c r="H16" s="42"/>
      <c r="I16" s="43"/>
      <c r="J16" s="42"/>
      <c r="K16" s="42"/>
      <c r="L16" s="42"/>
      <c r="M16" s="43"/>
      <c r="N16" s="43"/>
      <c r="O16" s="42"/>
      <c r="P16" s="42"/>
      <c r="Q16" s="43"/>
      <c r="R16" s="42"/>
      <c r="S16" s="42"/>
      <c r="T16" s="44"/>
      <c r="U16" s="42"/>
      <c r="V16" s="21"/>
      <c r="W16" s="42"/>
      <c r="X16" s="21"/>
      <c r="Y16" s="18"/>
      <c r="Z16" s="18"/>
    </row>
    <row r="17" spans="1:26" ht="16.5" customHeight="1">
      <c r="A17" s="29" t="s">
        <v>76</v>
      </c>
      <c r="B17" s="29" t="s">
        <v>77</v>
      </c>
      <c r="C17" s="30"/>
      <c r="D17" s="40"/>
      <c r="E17" s="40"/>
      <c r="F17" s="40"/>
      <c r="G17" s="40"/>
      <c r="H17" s="40"/>
      <c r="I17" s="40"/>
      <c r="J17" s="40"/>
      <c r="K17" s="40"/>
      <c r="L17" s="40"/>
      <c r="M17" s="31"/>
      <c r="N17" s="40"/>
      <c r="O17" s="40"/>
      <c r="P17" s="40"/>
      <c r="Q17" s="31"/>
      <c r="R17" s="40"/>
      <c r="S17" s="31"/>
      <c r="T17" s="31"/>
      <c r="U17" s="31"/>
      <c r="V17" s="31"/>
      <c r="W17" s="31"/>
      <c r="X17" s="31"/>
      <c r="Y17" s="33"/>
      <c r="Z17" s="33"/>
    </row>
    <row r="18" spans="1:26" ht="16.5" customHeight="1">
      <c r="A18" s="45" t="s">
        <v>78</v>
      </c>
      <c r="B18" s="45" t="s">
        <v>79</v>
      </c>
      <c r="C18" s="46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31"/>
      <c r="Y18" s="47"/>
      <c r="Z18" s="47"/>
    </row>
    <row r="19" spans="1:26" ht="16.5" customHeight="1">
      <c r="A19" s="45" t="s">
        <v>80</v>
      </c>
      <c r="B19" s="45" t="s">
        <v>81</v>
      </c>
      <c r="C19" s="46"/>
      <c r="D19" s="31"/>
      <c r="E19" s="31"/>
      <c r="F19" s="31"/>
      <c r="G19" s="31"/>
      <c r="H19" s="31"/>
      <c r="I19" s="43"/>
      <c r="J19" s="31"/>
      <c r="K19" s="31"/>
      <c r="L19" s="31"/>
      <c r="M19" s="43"/>
      <c r="N19" s="43"/>
      <c r="O19" s="31"/>
      <c r="P19" s="31"/>
      <c r="Q19" s="43"/>
      <c r="R19" s="43"/>
      <c r="S19" s="43"/>
      <c r="T19" s="43"/>
      <c r="U19" s="43"/>
      <c r="V19" s="31"/>
      <c r="W19" s="43"/>
      <c r="X19" s="31"/>
      <c r="Y19" s="47"/>
      <c r="Z19" s="47"/>
    </row>
    <row r="20" spans="1:26" ht="16.5" customHeight="1">
      <c r="A20" s="15"/>
      <c r="B20" s="34" t="s">
        <v>82</v>
      </c>
      <c r="C20" s="16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35"/>
      <c r="Z20" s="35"/>
    </row>
    <row r="21" spans="1:26" ht="16.5" customHeight="1">
      <c r="A21" s="29" t="s">
        <v>83</v>
      </c>
      <c r="B21" s="29" t="s">
        <v>84</v>
      </c>
      <c r="C21" s="30" t="s">
        <v>85</v>
      </c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3"/>
      <c r="Z21" s="33"/>
    </row>
    <row r="22" spans="1:26" ht="16.5" customHeight="1">
      <c r="A22" s="15" t="s">
        <v>86</v>
      </c>
      <c r="B22" s="110" t="s">
        <v>503</v>
      </c>
      <c r="C22" s="16" t="s">
        <v>87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18"/>
      <c r="Z22" s="18"/>
    </row>
    <row r="23" spans="1:26" ht="16.5" customHeight="1">
      <c r="A23" s="15" t="s">
        <v>88</v>
      </c>
      <c r="B23" s="15" t="s">
        <v>89</v>
      </c>
      <c r="C23" s="20" t="s">
        <v>90</v>
      </c>
      <c r="D23" s="44"/>
      <c r="E23" s="44"/>
      <c r="F23" s="44"/>
      <c r="G23" s="44"/>
      <c r="H23" s="44"/>
      <c r="I23" s="21"/>
      <c r="J23" s="21"/>
      <c r="K23" s="44"/>
      <c r="L23" s="44"/>
      <c r="M23" s="21"/>
      <c r="N23" s="21"/>
      <c r="O23" s="21"/>
      <c r="P23" s="21"/>
      <c r="Q23" s="21"/>
      <c r="R23" s="44"/>
      <c r="S23" s="21"/>
      <c r="T23" s="21"/>
      <c r="U23" s="21"/>
      <c r="V23" s="21"/>
      <c r="W23" s="21"/>
      <c r="X23" s="21"/>
      <c r="Y23" s="18"/>
      <c r="Z23" s="18"/>
    </row>
    <row r="24" spans="1:26" ht="16.5" customHeight="1">
      <c r="A24" s="29" t="s">
        <v>91</v>
      </c>
      <c r="B24" s="29" t="s">
        <v>92</v>
      </c>
      <c r="C24" s="30" t="s">
        <v>85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3"/>
      <c r="Z24" s="33"/>
    </row>
    <row r="25" spans="1:26" ht="16.5" customHeight="1">
      <c r="A25" s="29" t="s">
        <v>93</v>
      </c>
      <c r="B25" s="29" t="s">
        <v>94</v>
      </c>
      <c r="C25" s="30" t="s">
        <v>85</v>
      </c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3"/>
      <c r="Z25" s="33"/>
    </row>
    <row r="26" spans="1:26" ht="16.5" customHeight="1">
      <c r="A26" s="15"/>
      <c r="B26" s="34" t="s">
        <v>95</v>
      </c>
      <c r="C26" s="16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35"/>
      <c r="Z26" s="35"/>
    </row>
    <row r="27" spans="1:26" ht="16.5" customHeight="1">
      <c r="A27" s="45" t="s">
        <v>96</v>
      </c>
      <c r="B27" s="45" t="s">
        <v>97</v>
      </c>
      <c r="C27" s="46" t="s">
        <v>98</v>
      </c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6.5" hidden="1" customHeight="1" outlineLevel="1">
      <c r="A28" s="45" t="s">
        <v>3</v>
      </c>
      <c r="B28" s="45" t="s">
        <v>99</v>
      </c>
      <c r="C28" s="46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6.5" hidden="1" customHeight="1" outlineLevel="1">
      <c r="A29" s="45" t="s">
        <v>100</v>
      </c>
      <c r="B29" s="45" t="s">
        <v>101</v>
      </c>
      <c r="C29" s="46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6.5" hidden="1" customHeight="1" outlineLevel="1">
      <c r="A30" s="45" t="s">
        <v>102</v>
      </c>
      <c r="B30" s="45" t="s">
        <v>103</v>
      </c>
      <c r="C30" s="46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6.5" hidden="1" customHeight="1" outlineLevel="1">
      <c r="A31" s="45" t="s">
        <v>104</v>
      </c>
      <c r="B31" s="45" t="s">
        <v>105</v>
      </c>
      <c r="C31" s="46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6.5" hidden="1" customHeight="1" outlineLevel="1">
      <c r="A32" s="45" t="s">
        <v>106</v>
      </c>
      <c r="B32" s="45" t="s">
        <v>107</v>
      </c>
      <c r="C32" s="4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6.5" hidden="1" customHeight="1" outlineLevel="1">
      <c r="A33" s="45" t="s">
        <v>108</v>
      </c>
      <c r="B33" s="45" t="s">
        <v>109</v>
      </c>
      <c r="C33" s="46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6.5" hidden="1" customHeight="1" outlineLevel="1">
      <c r="A34" s="45" t="s">
        <v>110</v>
      </c>
      <c r="B34" s="45" t="s">
        <v>111</v>
      </c>
      <c r="C34" s="46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6.5" hidden="1" customHeight="1" outlineLevel="1">
      <c r="A35" s="45" t="s">
        <v>112</v>
      </c>
      <c r="B35" s="45" t="s">
        <v>113</v>
      </c>
      <c r="C35" s="46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6.5" customHeight="1" collapsed="1">
      <c r="A36" s="45" t="s">
        <v>114</v>
      </c>
      <c r="B36" s="45" t="s">
        <v>115</v>
      </c>
      <c r="C36" s="46" t="s">
        <v>116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6.5" customHeight="1">
      <c r="A37" s="24" t="s">
        <v>117</v>
      </c>
      <c r="B37" s="24" t="s">
        <v>118</v>
      </c>
      <c r="C37" s="25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6.5" customHeight="1">
      <c r="A38" s="24" t="s">
        <v>119</v>
      </c>
      <c r="B38" s="24" t="s">
        <v>120</v>
      </c>
      <c r="C38" s="25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6.5" customHeight="1">
      <c r="A39" s="36" t="s">
        <v>121</v>
      </c>
      <c r="B39" s="36" t="s">
        <v>122</v>
      </c>
      <c r="C39" s="37" t="s">
        <v>70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6.5" customHeight="1" outlineLevel="1">
      <c r="A40" s="15"/>
      <c r="B40" s="34" t="s">
        <v>123</v>
      </c>
      <c r="C40" s="16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35"/>
      <c r="Z40" s="35"/>
    </row>
    <row r="41" spans="1:26" ht="16.5" customHeight="1" outlineLevel="1">
      <c r="A41" s="15" t="s">
        <v>124</v>
      </c>
      <c r="B41" s="15" t="s">
        <v>28</v>
      </c>
      <c r="C41" s="16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18"/>
      <c r="Z41" s="18"/>
    </row>
    <row r="42" spans="1:26" ht="16.5" customHeight="1" outlineLevel="1">
      <c r="A42" s="15" t="s">
        <v>125</v>
      </c>
      <c r="B42" s="15" t="s">
        <v>126</v>
      </c>
      <c r="C42" s="16" t="s">
        <v>127</v>
      </c>
      <c r="D42" s="21"/>
      <c r="E42" s="21"/>
      <c r="F42" s="21"/>
      <c r="G42" s="48"/>
      <c r="H42" s="48"/>
      <c r="I42" s="28"/>
      <c r="J42" s="21"/>
      <c r="K42" s="21"/>
      <c r="L42" s="48"/>
      <c r="M42" s="21"/>
      <c r="N42" s="21"/>
      <c r="O42" s="21"/>
      <c r="P42" s="48"/>
      <c r="Q42" s="28"/>
      <c r="R42" s="28"/>
      <c r="S42" s="28"/>
      <c r="T42" s="48"/>
      <c r="U42" s="48"/>
      <c r="V42" s="21"/>
      <c r="W42" s="21"/>
      <c r="X42" s="48"/>
      <c r="Y42" s="18"/>
      <c r="Z42" s="18"/>
    </row>
    <row r="43" spans="1:26" ht="16.5" customHeight="1" outlineLevel="1">
      <c r="A43" s="45" t="s">
        <v>128</v>
      </c>
      <c r="B43" s="45" t="s">
        <v>129</v>
      </c>
      <c r="C43" s="46" t="s">
        <v>127</v>
      </c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6.5" hidden="1" customHeight="1" outlineLevel="1">
      <c r="A44" s="45" t="s">
        <v>130</v>
      </c>
      <c r="B44" s="45" t="s">
        <v>131</v>
      </c>
      <c r="C44" s="46" t="s">
        <v>60</v>
      </c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7"/>
      <c r="Z44" s="47"/>
    </row>
    <row r="45" spans="1:26" ht="16.5" customHeight="1" outlineLevel="2">
      <c r="A45" s="15" t="s">
        <v>132</v>
      </c>
      <c r="B45" s="15" t="s">
        <v>133</v>
      </c>
      <c r="C45" s="16" t="s">
        <v>134</v>
      </c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18"/>
      <c r="Z45" s="18"/>
    </row>
    <row r="46" spans="1:26" ht="16.5" customHeight="1" outlineLevel="2">
      <c r="A46" s="15" t="s">
        <v>135</v>
      </c>
      <c r="B46" s="15" t="s">
        <v>136</v>
      </c>
      <c r="C46" s="16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18"/>
      <c r="Z46" s="18"/>
    </row>
    <row r="47" spans="1:26" ht="16.5" customHeight="1" outlineLevel="2">
      <c r="A47" s="15" t="s">
        <v>137</v>
      </c>
      <c r="B47" s="15" t="s">
        <v>138</v>
      </c>
      <c r="C47" s="16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18"/>
      <c r="Z47" s="18"/>
    </row>
    <row r="48" spans="1:26" ht="16.5" customHeight="1" outlineLevel="2">
      <c r="A48" s="15" t="s">
        <v>139</v>
      </c>
      <c r="B48" s="15" t="s">
        <v>140</v>
      </c>
      <c r="C48" s="16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18"/>
      <c r="Z48" s="18"/>
    </row>
    <row r="49" spans="1:26" ht="16.5" customHeight="1" outlineLevel="2">
      <c r="A49" s="15" t="s">
        <v>141</v>
      </c>
      <c r="B49" s="15" t="s">
        <v>142</v>
      </c>
      <c r="C49" s="16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18"/>
      <c r="Z49" s="18"/>
    </row>
    <row r="50" spans="1:26" ht="16.5" customHeight="1" outlineLevel="2">
      <c r="A50" s="15" t="s">
        <v>143</v>
      </c>
      <c r="B50" s="15" t="s">
        <v>144</v>
      </c>
      <c r="C50" s="16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18"/>
      <c r="Z50" s="18"/>
    </row>
    <row r="51" spans="1:26" ht="16.5" customHeight="1" outlineLevel="2">
      <c r="A51" s="15" t="s">
        <v>145</v>
      </c>
      <c r="B51" s="15" t="s">
        <v>146</v>
      </c>
      <c r="C51" s="16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18"/>
      <c r="Z51" s="18"/>
    </row>
    <row r="52" spans="1:26" ht="16.5" customHeight="1" outlineLevel="2">
      <c r="A52" s="15" t="s">
        <v>147</v>
      </c>
      <c r="B52" s="15" t="s">
        <v>148</v>
      </c>
      <c r="C52" s="16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18"/>
      <c r="Z52" s="18"/>
    </row>
    <row r="53" spans="1:26" ht="16.5" customHeight="1" outlineLevel="1">
      <c r="A53" s="49" t="s">
        <v>149</v>
      </c>
      <c r="B53" s="49" t="s">
        <v>150</v>
      </c>
      <c r="C53" s="50" t="s">
        <v>134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</row>
    <row r="54" spans="1:26" ht="16.5" customHeight="1" outlineLevel="1">
      <c r="A54" s="45" t="s">
        <v>151</v>
      </c>
      <c r="B54" s="45" t="s">
        <v>152</v>
      </c>
      <c r="C54" s="46" t="s">
        <v>153</v>
      </c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6.5" customHeight="1" outlineLevel="1">
      <c r="A55" s="45" t="s">
        <v>154</v>
      </c>
      <c r="B55" s="45" t="s">
        <v>155</v>
      </c>
      <c r="C55" s="46" t="s">
        <v>156</v>
      </c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6.5" customHeight="1" outlineLevel="1">
      <c r="A56" s="45" t="s">
        <v>157</v>
      </c>
      <c r="B56" s="45" t="s">
        <v>158</v>
      </c>
      <c r="C56" s="46" t="s">
        <v>156</v>
      </c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6.5" customHeight="1" outlineLevel="1">
      <c r="A57" s="29" t="s">
        <v>159</v>
      </c>
      <c r="B57" s="29" t="s">
        <v>160</v>
      </c>
      <c r="C57" s="30" t="s">
        <v>161</v>
      </c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spans="1:26" ht="16.5" hidden="1" customHeight="1" outlineLevel="1">
      <c r="A58" s="49" t="s">
        <v>162</v>
      </c>
      <c r="B58" s="49" t="s">
        <v>163</v>
      </c>
      <c r="C58" s="50" t="s">
        <v>134</v>
      </c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</row>
    <row r="59" spans="1:26" ht="16.5" hidden="1" customHeight="1" outlineLevel="1">
      <c r="A59" s="16" t="s">
        <v>164</v>
      </c>
      <c r="B59" s="16" t="s">
        <v>165</v>
      </c>
      <c r="C59" s="16"/>
      <c r="D59" s="17"/>
      <c r="E59" s="17"/>
      <c r="F59" s="17"/>
      <c r="G59" s="52"/>
      <c r="H59" s="17"/>
      <c r="I59" s="17"/>
      <c r="J59" s="17"/>
      <c r="K59" s="17"/>
      <c r="L59" s="52"/>
      <c r="M59" s="17"/>
      <c r="N59" s="17"/>
      <c r="O59" s="17"/>
      <c r="P59" s="52"/>
      <c r="Q59" s="17"/>
      <c r="R59" s="17"/>
      <c r="S59" s="17"/>
      <c r="T59" s="52"/>
      <c r="U59" s="17"/>
      <c r="V59" s="17"/>
      <c r="W59" s="17"/>
      <c r="X59" s="52"/>
      <c r="Y59" s="17"/>
      <c r="Z59" s="17"/>
    </row>
    <row r="60" spans="1:26" ht="16.5" customHeight="1" outlineLevel="1">
      <c r="A60" s="15"/>
      <c r="B60" s="34" t="s">
        <v>166</v>
      </c>
      <c r="C60" s="16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35"/>
      <c r="Z60" s="35"/>
    </row>
    <row r="61" spans="1:26" ht="16.5" customHeight="1" outlineLevel="1">
      <c r="A61" s="15" t="s">
        <v>167</v>
      </c>
      <c r="B61" s="15" t="s">
        <v>28</v>
      </c>
      <c r="C61" s="16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18"/>
      <c r="Z61" s="18"/>
    </row>
    <row r="62" spans="1:26" ht="16.5" customHeight="1" outlineLevel="1">
      <c r="A62" s="15" t="s">
        <v>168</v>
      </c>
      <c r="B62" s="15" t="s">
        <v>126</v>
      </c>
      <c r="C62" s="16" t="s">
        <v>127</v>
      </c>
      <c r="D62" s="21"/>
      <c r="E62" s="21"/>
      <c r="F62" s="21"/>
      <c r="G62" s="48"/>
      <c r="H62" s="21"/>
      <c r="I62" s="21"/>
      <c r="J62" s="21"/>
      <c r="K62" s="21"/>
      <c r="L62" s="48"/>
      <c r="M62" s="21"/>
      <c r="N62" s="21"/>
      <c r="O62" s="21"/>
      <c r="P62" s="48"/>
      <c r="Q62" s="21"/>
      <c r="R62" s="21"/>
      <c r="S62" s="21"/>
      <c r="T62" s="48"/>
      <c r="U62" s="21"/>
      <c r="V62" s="21"/>
      <c r="W62" s="21"/>
      <c r="X62" s="48"/>
      <c r="Y62" s="18"/>
      <c r="Z62" s="18"/>
    </row>
    <row r="63" spans="1:26" ht="16.5" customHeight="1" outlineLevel="1">
      <c r="A63" s="45" t="s">
        <v>169</v>
      </c>
      <c r="B63" s="45" t="s">
        <v>129</v>
      </c>
      <c r="C63" s="46" t="s">
        <v>127</v>
      </c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6.5" hidden="1" customHeight="1" outlineLevel="1">
      <c r="A64" s="45" t="s">
        <v>170</v>
      </c>
      <c r="B64" s="45" t="s">
        <v>171</v>
      </c>
      <c r="C64" s="46" t="s">
        <v>60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7"/>
      <c r="Z64" s="47"/>
    </row>
    <row r="65" spans="1:26" ht="16.5" hidden="1" customHeight="1" outlineLevel="1">
      <c r="A65" s="45" t="s">
        <v>172</v>
      </c>
      <c r="B65" s="45" t="s">
        <v>131</v>
      </c>
      <c r="C65" s="46" t="s">
        <v>60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7"/>
      <c r="Z65" s="47"/>
    </row>
    <row r="66" spans="1:26" ht="16.5" customHeight="1" outlineLevel="2">
      <c r="A66" s="15" t="s">
        <v>173</v>
      </c>
      <c r="B66" s="15" t="s">
        <v>133</v>
      </c>
      <c r="C66" s="50" t="s">
        <v>134</v>
      </c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18"/>
      <c r="Z66" s="18"/>
    </row>
    <row r="67" spans="1:26" ht="16.5" customHeight="1" outlineLevel="2">
      <c r="A67" s="15" t="s">
        <v>174</v>
      </c>
      <c r="B67" s="15" t="s">
        <v>175</v>
      </c>
      <c r="C67" s="16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18"/>
      <c r="Z67" s="18"/>
    </row>
    <row r="68" spans="1:26" ht="16.5" customHeight="1" outlineLevel="2">
      <c r="A68" s="15" t="s">
        <v>176</v>
      </c>
      <c r="B68" s="15" t="s">
        <v>177</v>
      </c>
      <c r="C68" s="16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18"/>
      <c r="Z68" s="18"/>
    </row>
    <row r="69" spans="1:26" ht="16.5" customHeight="1" outlineLevel="2">
      <c r="A69" s="15" t="s">
        <v>178</v>
      </c>
      <c r="B69" s="15" t="s">
        <v>140</v>
      </c>
      <c r="C69" s="16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18"/>
      <c r="Z69" s="18"/>
    </row>
    <row r="70" spans="1:26" ht="16.5" customHeight="1" outlineLevel="2">
      <c r="A70" s="15" t="s">
        <v>179</v>
      </c>
      <c r="B70" s="15" t="s">
        <v>142</v>
      </c>
      <c r="C70" s="16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18"/>
      <c r="Z70" s="18"/>
    </row>
    <row r="71" spans="1:26" ht="16.5" customHeight="1" outlineLevel="2">
      <c r="A71" s="15" t="s">
        <v>180</v>
      </c>
      <c r="B71" s="15" t="s">
        <v>144</v>
      </c>
      <c r="C71" s="16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18"/>
      <c r="Z71" s="18"/>
    </row>
    <row r="72" spans="1:26" ht="16.5" customHeight="1" outlineLevel="2">
      <c r="A72" s="15" t="s">
        <v>181</v>
      </c>
      <c r="B72" s="15" t="s">
        <v>146</v>
      </c>
      <c r="C72" s="16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18"/>
      <c r="Z72" s="18"/>
    </row>
    <row r="73" spans="1:26" ht="16.5" customHeight="1" outlineLevel="1">
      <c r="A73" s="49" t="s">
        <v>182</v>
      </c>
      <c r="B73" s="49" t="s">
        <v>150</v>
      </c>
      <c r="C73" s="50" t="s">
        <v>134</v>
      </c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</row>
    <row r="74" spans="1:26" ht="16.5" customHeight="1" outlineLevel="1">
      <c r="A74" s="45" t="s">
        <v>183</v>
      </c>
      <c r="B74" s="45" t="s">
        <v>152</v>
      </c>
      <c r="C74" s="46" t="s">
        <v>153</v>
      </c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6.5" customHeight="1" outlineLevel="1">
      <c r="A75" s="45" t="s">
        <v>184</v>
      </c>
      <c r="B75" s="45" t="s">
        <v>155</v>
      </c>
      <c r="C75" s="46" t="s">
        <v>156</v>
      </c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6.5" customHeight="1" outlineLevel="1">
      <c r="A76" s="45" t="s">
        <v>185</v>
      </c>
      <c r="B76" s="45" t="s">
        <v>186</v>
      </c>
      <c r="C76" s="46" t="s">
        <v>85</v>
      </c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6.5" customHeight="1" outlineLevel="1">
      <c r="A77" s="45" t="s">
        <v>187</v>
      </c>
      <c r="B77" s="45" t="s">
        <v>188</v>
      </c>
      <c r="C77" s="46" t="s">
        <v>85</v>
      </c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6.5" customHeight="1" outlineLevel="1">
      <c r="A78" s="29" t="s">
        <v>189</v>
      </c>
      <c r="B78" s="29" t="s">
        <v>190</v>
      </c>
      <c r="C78" s="30" t="s">
        <v>161</v>
      </c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ht="16.5" customHeight="1" outlineLevel="1">
      <c r="A79" s="29" t="s">
        <v>191</v>
      </c>
      <c r="B79" s="29" t="s">
        <v>192</v>
      </c>
      <c r="C79" s="30" t="s">
        <v>161</v>
      </c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spans="1:26" ht="16.5" hidden="1" customHeight="1" outlineLevel="1">
      <c r="A80" s="29"/>
      <c r="B80" s="29" t="s">
        <v>193</v>
      </c>
      <c r="C80" s="30" t="s">
        <v>161</v>
      </c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spans="1:26" ht="16.5" customHeight="1" outlineLevel="1">
      <c r="A81" s="29" t="s">
        <v>194</v>
      </c>
      <c r="B81" s="29" t="s">
        <v>195</v>
      </c>
      <c r="C81" s="30" t="s">
        <v>161</v>
      </c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spans="1:26" ht="16.5" customHeight="1" outlineLevel="1">
      <c r="A82" s="29" t="s">
        <v>196</v>
      </c>
      <c r="B82" s="29" t="s">
        <v>197</v>
      </c>
      <c r="C82" s="30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 ht="15" customHeight="1" outlineLevel="1">
      <c r="A83" s="49" t="s">
        <v>198</v>
      </c>
      <c r="B83" s="49" t="s">
        <v>163</v>
      </c>
      <c r="C83" s="50" t="s">
        <v>134</v>
      </c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</row>
    <row r="84" spans="1:26" ht="15" customHeight="1" outlineLevel="1">
      <c r="A84" s="16" t="s">
        <v>199</v>
      </c>
      <c r="B84" s="16" t="s">
        <v>165</v>
      </c>
      <c r="C84" s="16"/>
      <c r="D84" s="17"/>
      <c r="E84" s="17"/>
      <c r="F84" s="17"/>
      <c r="G84" s="52"/>
      <c r="H84" s="17"/>
      <c r="I84" s="52"/>
      <c r="J84" s="17"/>
      <c r="K84" s="17"/>
      <c r="L84" s="52"/>
      <c r="M84" s="52"/>
      <c r="N84" s="17"/>
      <c r="O84" s="17"/>
      <c r="P84" s="52"/>
      <c r="Q84" s="52"/>
      <c r="R84" s="52"/>
      <c r="S84" s="52"/>
      <c r="T84" s="52"/>
      <c r="U84" s="17"/>
      <c r="V84" s="17"/>
      <c r="W84" s="17"/>
      <c r="X84" s="52"/>
      <c r="Y84" s="17"/>
      <c r="Z84" s="17"/>
    </row>
    <row r="85" spans="1:26" ht="15" customHeight="1">
      <c r="A85" s="15"/>
      <c r="B85" s="15" t="s">
        <v>200</v>
      </c>
      <c r="C85" s="16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53"/>
      <c r="Z85" s="53"/>
    </row>
    <row r="86" spans="1:26" ht="16.5" customHeight="1">
      <c r="A86" s="54"/>
      <c r="B86" s="55"/>
      <c r="C86" s="56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6.5" customHeight="1">
      <c r="A87" s="54"/>
      <c r="B87" s="55"/>
      <c r="C87" s="56"/>
      <c r="D87" s="57"/>
      <c r="E87" s="57"/>
      <c r="F87" s="57"/>
      <c r="G87" s="57"/>
      <c r="H87" s="57"/>
      <c r="I87" s="53"/>
      <c r="J87" s="57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6.5" customHeight="1">
      <c r="A88" s="54"/>
      <c r="B88" s="55"/>
      <c r="C88" s="56"/>
      <c r="D88" s="57"/>
      <c r="E88" s="57"/>
      <c r="F88" s="57"/>
      <c r="G88" s="57"/>
      <c r="H88" s="57"/>
      <c r="I88" s="53"/>
      <c r="J88" s="57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6.5" customHeight="1">
      <c r="A89" s="54"/>
      <c r="B89" s="55"/>
      <c r="C89" s="56"/>
      <c r="D89" s="57"/>
      <c r="E89" s="57"/>
      <c r="F89" s="57"/>
      <c r="G89" s="57"/>
      <c r="H89" s="57"/>
      <c r="I89" s="53"/>
      <c r="J89" s="57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6.5" customHeight="1">
      <c r="A90" s="54"/>
      <c r="B90" s="55"/>
      <c r="C90" s="56"/>
      <c r="D90" s="57"/>
      <c r="E90" s="57"/>
      <c r="F90" s="57"/>
      <c r="G90" s="57"/>
      <c r="H90" s="57"/>
      <c r="I90" s="53"/>
      <c r="J90" s="57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6.5" customHeight="1">
      <c r="A91" s="54"/>
      <c r="B91" s="55"/>
      <c r="C91" s="56"/>
      <c r="D91" s="57"/>
      <c r="E91" s="57"/>
      <c r="F91" s="57"/>
      <c r="G91" s="57"/>
      <c r="H91" s="57"/>
      <c r="I91" s="53"/>
      <c r="J91" s="57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6.5" customHeight="1">
      <c r="A92" s="54"/>
      <c r="B92" s="55"/>
      <c r="C92" s="56"/>
      <c r="D92" s="57"/>
      <c r="E92" s="57"/>
      <c r="F92" s="57"/>
      <c r="G92" s="57"/>
      <c r="H92" s="57"/>
      <c r="I92" s="53"/>
      <c r="J92" s="57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6.5" customHeight="1">
      <c r="A93" s="54"/>
      <c r="B93" s="55"/>
      <c r="C93" s="56"/>
      <c r="D93" s="57"/>
      <c r="E93" s="57"/>
      <c r="F93" s="57"/>
      <c r="G93" s="57"/>
      <c r="H93" s="57"/>
      <c r="I93" s="53"/>
      <c r="J93" s="57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6.5" customHeight="1">
      <c r="A94" s="54"/>
      <c r="B94" s="55"/>
      <c r="C94" s="56"/>
      <c r="D94" s="57"/>
      <c r="E94" s="57"/>
      <c r="F94" s="57"/>
      <c r="G94" s="57"/>
      <c r="H94" s="57"/>
      <c r="I94" s="53"/>
      <c r="J94" s="57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6.5" customHeight="1">
      <c r="A95" s="54"/>
      <c r="B95" s="55"/>
      <c r="C95" s="56"/>
      <c r="D95" s="57"/>
      <c r="E95" s="57"/>
      <c r="F95" s="57"/>
      <c r="G95" s="57"/>
      <c r="H95" s="57"/>
      <c r="I95" s="53"/>
      <c r="J95" s="57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6.5" customHeight="1">
      <c r="A96" s="54"/>
      <c r="B96" s="55"/>
      <c r="C96" s="56"/>
      <c r="D96" s="57"/>
      <c r="E96" s="57"/>
      <c r="F96" s="57"/>
      <c r="G96" s="57"/>
      <c r="H96" s="57"/>
      <c r="I96" s="53"/>
      <c r="J96" s="57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6.5" customHeight="1">
      <c r="A97" s="54"/>
      <c r="B97" s="55"/>
      <c r="C97" s="56"/>
      <c r="D97" s="57"/>
      <c r="E97" s="57"/>
      <c r="F97" s="57"/>
      <c r="G97" s="57"/>
      <c r="H97" s="57"/>
      <c r="I97" s="53"/>
      <c r="J97" s="57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6.5" customHeight="1">
      <c r="A98" s="54"/>
      <c r="B98" s="55"/>
      <c r="C98" s="56"/>
      <c r="D98" s="57"/>
      <c r="E98" s="57"/>
      <c r="F98" s="57"/>
      <c r="G98" s="57"/>
      <c r="H98" s="57"/>
      <c r="I98" s="53"/>
      <c r="J98" s="57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6.5" customHeight="1">
      <c r="A99" s="54"/>
      <c r="B99" s="55"/>
      <c r="C99" s="56"/>
      <c r="D99" s="57"/>
      <c r="E99" s="57"/>
      <c r="F99" s="57"/>
      <c r="G99" s="57"/>
      <c r="H99" s="57"/>
      <c r="I99" s="53"/>
      <c r="J99" s="57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6.5" customHeight="1">
      <c r="A100" s="54"/>
      <c r="B100" s="55"/>
      <c r="C100" s="56"/>
      <c r="D100" s="57"/>
      <c r="E100" s="57"/>
      <c r="F100" s="57"/>
      <c r="G100" s="57"/>
      <c r="H100" s="57"/>
      <c r="I100" s="53"/>
      <c r="J100" s="57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6.5" customHeight="1">
      <c r="A101" s="54"/>
      <c r="B101" s="55"/>
      <c r="C101" s="56"/>
      <c r="D101" s="57"/>
      <c r="E101" s="57"/>
      <c r="F101" s="57"/>
      <c r="G101" s="57"/>
      <c r="H101" s="57"/>
      <c r="I101" s="53"/>
      <c r="J101" s="57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6.5" customHeight="1">
      <c r="A102" s="54"/>
      <c r="B102" s="55"/>
      <c r="C102" s="56"/>
      <c r="D102" s="57"/>
      <c r="E102" s="57"/>
      <c r="F102" s="57"/>
      <c r="G102" s="57"/>
      <c r="H102" s="57"/>
      <c r="I102" s="53"/>
      <c r="J102" s="57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6.5" customHeight="1">
      <c r="A103" s="54"/>
      <c r="B103" s="55"/>
      <c r="C103" s="56"/>
      <c r="D103" s="57"/>
      <c r="E103" s="57"/>
      <c r="F103" s="57"/>
      <c r="G103" s="57"/>
      <c r="H103" s="57"/>
      <c r="I103" s="53"/>
      <c r="J103" s="57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6.5" customHeight="1">
      <c r="A104" s="54"/>
      <c r="B104" s="55"/>
      <c r="C104" s="56"/>
      <c r="D104" s="57"/>
      <c r="E104" s="57"/>
      <c r="F104" s="57"/>
      <c r="G104" s="57"/>
      <c r="H104" s="57"/>
      <c r="I104" s="53"/>
      <c r="J104" s="57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6.5" customHeight="1">
      <c r="A105" s="54"/>
      <c r="B105" s="55"/>
      <c r="C105" s="56"/>
      <c r="D105" s="57"/>
      <c r="E105" s="57"/>
      <c r="F105" s="57"/>
      <c r="G105" s="57"/>
      <c r="H105" s="57"/>
      <c r="I105" s="53"/>
      <c r="J105" s="57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6.5" customHeight="1">
      <c r="A106" s="54"/>
      <c r="B106" s="55"/>
      <c r="C106" s="56"/>
      <c r="D106" s="57"/>
      <c r="E106" s="57"/>
      <c r="F106" s="57"/>
      <c r="G106" s="57"/>
      <c r="H106" s="57"/>
      <c r="I106" s="53"/>
      <c r="J106" s="57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6.5" customHeight="1">
      <c r="A107" s="54"/>
      <c r="B107" s="55"/>
      <c r="C107" s="56"/>
      <c r="D107" s="57"/>
      <c r="E107" s="57"/>
      <c r="F107" s="57"/>
      <c r="G107" s="57"/>
      <c r="H107" s="57"/>
      <c r="I107" s="53"/>
      <c r="J107" s="57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6.5" customHeight="1">
      <c r="A108" s="54"/>
      <c r="B108" s="55"/>
      <c r="C108" s="56"/>
      <c r="D108" s="57"/>
      <c r="E108" s="57"/>
      <c r="F108" s="57"/>
      <c r="G108" s="57"/>
      <c r="H108" s="57"/>
      <c r="I108" s="53"/>
      <c r="J108" s="57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6.5" customHeight="1">
      <c r="A109" s="54"/>
      <c r="B109" s="55"/>
      <c r="C109" s="56"/>
      <c r="D109" s="57"/>
      <c r="E109" s="57"/>
      <c r="F109" s="57"/>
      <c r="G109" s="57"/>
      <c r="H109" s="57"/>
      <c r="I109" s="53"/>
      <c r="J109" s="57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6.5" customHeight="1">
      <c r="A110" s="54"/>
      <c r="B110" s="55"/>
      <c r="C110" s="56"/>
      <c r="D110" s="57"/>
      <c r="E110" s="57"/>
      <c r="F110" s="57"/>
      <c r="G110" s="57"/>
      <c r="H110" s="57"/>
      <c r="I110" s="53"/>
      <c r="J110" s="57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6.5" customHeight="1">
      <c r="A111" s="54"/>
      <c r="B111" s="55"/>
      <c r="C111" s="56"/>
      <c r="D111" s="57"/>
      <c r="E111" s="57"/>
      <c r="F111" s="57"/>
      <c r="G111" s="57"/>
      <c r="H111" s="57"/>
      <c r="I111" s="53"/>
      <c r="J111" s="57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6.5" customHeight="1">
      <c r="A112" s="54"/>
      <c r="B112" s="55"/>
      <c r="C112" s="56"/>
      <c r="D112" s="57"/>
      <c r="E112" s="57"/>
      <c r="F112" s="57"/>
      <c r="G112" s="57"/>
      <c r="H112" s="57"/>
      <c r="I112" s="53"/>
      <c r="J112" s="57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6.5" customHeight="1">
      <c r="A113" s="54"/>
      <c r="B113" s="55"/>
      <c r="C113" s="56"/>
      <c r="D113" s="57"/>
      <c r="E113" s="57"/>
      <c r="F113" s="57"/>
      <c r="G113" s="57"/>
      <c r="H113" s="57"/>
      <c r="I113" s="53"/>
      <c r="J113" s="57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6.5" customHeight="1">
      <c r="A114" s="54"/>
      <c r="B114" s="55"/>
      <c r="C114" s="56"/>
      <c r="D114" s="57"/>
      <c r="E114" s="57"/>
      <c r="F114" s="57"/>
      <c r="G114" s="57"/>
      <c r="H114" s="57"/>
      <c r="I114" s="53"/>
      <c r="J114" s="57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6.5" customHeight="1">
      <c r="A115" s="54"/>
      <c r="B115" s="55"/>
      <c r="C115" s="56"/>
      <c r="D115" s="57"/>
      <c r="E115" s="57"/>
      <c r="F115" s="57"/>
      <c r="G115" s="57"/>
      <c r="H115" s="57"/>
      <c r="I115" s="53"/>
      <c r="J115" s="57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6.5" customHeight="1">
      <c r="A116" s="54"/>
      <c r="B116" s="55"/>
      <c r="C116" s="56"/>
      <c r="D116" s="57"/>
      <c r="E116" s="57"/>
      <c r="F116" s="57"/>
      <c r="G116" s="57"/>
      <c r="H116" s="57"/>
      <c r="I116" s="53"/>
      <c r="J116" s="57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6.5" customHeight="1">
      <c r="A117" s="54"/>
      <c r="B117" s="55"/>
      <c r="C117" s="56"/>
      <c r="D117" s="57"/>
      <c r="E117" s="57"/>
      <c r="F117" s="57"/>
      <c r="G117" s="57"/>
      <c r="H117" s="57"/>
      <c r="I117" s="53"/>
      <c r="J117" s="57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6.5" customHeight="1">
      <c r="A118" s="54"/>
      <c r="B118" s="55"/>
      <c r="C118" s="56"/>
      <c r="D118" s="57"/>
      <c r="E118" s="57"/>
      <c r="F118" s="57"/>
      <c r="G118" s="57"/>
      <c r="H118" s="57"/>
      <c r="I118" s="53"/>
      <c r="J118" s="57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6.5" customHeight="1">
      <c r="A119" s="54"/>
      <c r="B119" s="55"/>
      <c r="C119" s="56"/>
      <c r="D119" s="57"/>
      <c r="E119" s="57"/>
      <c r="F119" s="57"/>
      <c r="G119" s="57"/>
      <c r="H119" s="57"/>
      <c r="I119" s="53"/>
      <c r="J119" s="57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6.5" customHeight="1">
      <c r="A120" s="54"/>
      <c r="B120" s="55"/>
      <c r="C120" s="56"/>
      <c r="D120" s="57"/>
      <c r="E120" s="57"/>
      <c r="F120" s="57"/>
      <c r="G120" s="57"/>
      <c r="H120" s="57"/>
      <c r="I120" s="53"/>
      <c r="J120" s="57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6.5" customHeight="1">
      <c r="A121" s="54"/>
      <c r="B121" s="55"/>
      <c r="C121" s="56"/>
      <c r="D121" s="57"/>
      <c r="E121" s="57"/>
      <c r="F121" s="57"/>
      <c r="G121" s="57"/>
      <c r="H121" s="57"/>
      <c r="I121" s="53"/>
      <c r="J121" s="57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6.5" customHeight="1">
      <c r="A122" s="54"/>
      <c r="B122" s="55"/>
      <c r="C122" s="56"/>
      <c r="D122" s="57"/>
      <c r="E122" s="57"/>
      <c r="F122" s="57"/>
      <c r="G122" s="57"/>
      <c r="H122" s="57"/>
      <c r="I122" s="53"/>
      <c r="J122" s="57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6.5" customHeight="1">
      <c r="A123" s="54"/>
      <c r="B123" s="55"/>
      <c r="C123" s="56"/>
      <c r="D123" s="57"/>
      <c r="E123" s="57"/>
      <c r="F123" s="57"/>
      <c r="G123" s="57"/>
      <c r="H123" s="57"/>
      <c r="I123" s="53"/>
      <c r="J123" s="57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6.5" customHeight="1">
      <c r="A124" s="54"/>
      <c r="B124" s="55"/>
      <c r="C124" s="56"/>
      <c r="D124" s="57"/>
      <c r="E124" s="57"/>
      <c r="F124" s="57"/>
      <c r="G124" s="57"/>
      <c r="H124" s="57"/>
      <c r="I124" s="53"/>
      <c r="J124" s="57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6.5" customHeight="1">
      <c r="A125" s="54"/>
      <c r="B125" s="55"/>
      <c r="C125" s="56"/>
      <c r="D125" s="57"/>
      <c r="E125" s="57"/>
      <c r="F125" s="57"/>
      <c r="G125" s="57"/>
      <c r="H125" s="57"/>
      <c r="I125" s="53"/>
      <c r="J125" s="57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6.5" customHeight="1">
      <c r="A126" s="54"/>
      <c r="B126" s="55"/>
      <c r="C126" s="56"/>
      <c r="D126" s="57"/>
      <c r="E126" s="57"/>
      <c r="F126" s="57"/>
      <c r="G126" s="57"/>
      <c r="H126" s="57"/>
      <c r="I126" s="53"/>
      <c r="J126" s="57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6.5" customHeight="1">
      <c r="A127" s="54"/>
      <c r="B127" s="55"/>
      <c r="C127" s="56"/>
      <c r="D127" s="57"/>
      <c r="E127" s="57"/>
      <c r="F127" s="57"/>
      <c r="G127" s="57"/>
      <c r="H127" s="57"/>
      <c r="I127" s="53"/>
      <c r="J127" s="5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6.5" customHeight="1">
      <c r="A128" s="54"/>
      <c r="B128" s="55"/>
      <c r="C128" s="56"/>
      <c r="D128" s="57"/>
      <c r="E128" s="57"/>
      <c r="F128" s="57"/>
      <c r="G128" s="57"/>
      <c r="H128" s="57"/>
      <c r="I128" s="53"/>
      <c r="J128" s="57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6.5" customHeight="1">
      <c r="A129" s="54"/>
      <c r="B129" s="55"/>
      <c r="C129" s="56"/>
      <c r="D129" s="57"/>
      <c r="E129" s="57"/>
      <c r="F129" s="57"/>
      <c r="G129" s="57"/>
      <c r="H129" s="57"/>
      <c r="I129" s="53"/>
      <c r="J129" s="57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6.5" customHeight="1">
      <c r="A130" s="54"/>
      <c r="B130" s="55"/>
      <c r="C130" s="56"/>
      <c r="D130" s="57"/>
      <c r="E130" s="57"/>
      <c r="F130" s="57"/>
      <c r="G130" s="57"/>
      <c r="H130" s="57"/>
      <c r="I130" s="53"/>
      <c r="J130" s="57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6.5" customHeight="1">
      <c r="A131" s="54"/>
      <c r="B131" s="55"/>
      <c r="C131" s="56"/>
      <c r="D131" s="57"/>
      <c r="E131" s="57"/>
      <c r="F131" s="57"/>
      <c r="G131" s="57"/>
      <c r="H131" s="57"/>
      <c r="I131" s="53"/>
      <c r="J131" s="57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6.5" customHeight="1">
      <c r="A132" s="54"/>
      <c r="B132" s="55"/>
      <c r="C132" s="56"/>
      <c r="D132" s="57"/>
      <c r="E132" s="57"/>
      <c r="F132" s="57"/>
      <c r="G132" s="57"/>
      <c r="H132" s="57"/>
      <c r="I132" s="53"/>
      <c r="J132" s="57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6.5" customHeight="1">
      <c r="A133" s="54"/>
      <c r="B133" s="55"/>
      <c r="C133" s="56"/>
      <c r="D133" s="57"/>
      <c r="E133" s="57"/>
      <c r="F133" s="57"/>
      <c r="G133" s="57"/>
      <c r="H133" s="57"/>
      <c r="I133" s="53"/>
      <c r="J133" s="57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6.5" customHeight="1">
      <c r="A134" s="54"/>
      <c r="B134" s="55"/>
      <c r="C134" s="56"/>
      <c r="D134" s="57"/>
      <c r="E134" s="57"/>
      <c r="F134" s="57"/>
      <c r="G134" s="57"/>
      <c r="H134" s="57"/>
      <c r="I134" s="53"/>
      <c r="J134" s="57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6.5" customHeight="1">
      <c r="A135" s="54"/>
      <c r="B135" s="55"/>
      <c r="C135" s="56"/>
      <c r="D135" s="57"/>
      <c r="E135" s="57"/>
      <c r="F135" s="57"/>
      <c r="G135" s="57"/>
      <c r="H135" s="57"/>
      <c r="I135" s="53"/>
      <c r="J135" s="57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6.5" customHeight="1">
      <c r="A136" s="54"/>
      <c r="B136" s="55"/>
      <c r="C136" s="56"/>
      <c r="D136" s="57"/>
      <c r="E136" s="57"/>
      <c r="F136" s="57"/>
      <c r="G136" s="57"/>
      <c r="H136" s="57"/>
      <c r="I136" s="53"/>
      <c r="J136" s="57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6.5" customHeight="1">
      <c r="A137" s="54"/>
      <c r="B137" s="55"/>
      <c r="C137" s="56"/>
      <c r="D137" s="57"/>
      <c r="E137" s="57"/>
      <c r="F137" s="57"/>
      <c r="G137" s="57"/>
      <c r="H137" s="57"/>
      <c r="I137" s="53"/>
      <c r="J137" s="5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6.5" customHeight="1">
      <c r="A138" s="54"/>
      <c r="B138" s="55"/>
      <c r="C138" s="56"/>
      <c r="D138" s="57"/>
      <c r="E138" s="57"/>
      <c r="F138" s="57"/>
      <c r="G138" s="57"/>
      <c r="H138" s="57"/>
      <c r="I138" s="53"/>
      <c r="J138" s="57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6.5" customHeight="1">
      <c r="A139" s="54"/>
      <c r="B139" s="55"/>
      <c r="C139" s="56"/>
      <c r="D139" s="57"/>
      <c r="E139" s="57"/>
      <c r="F139" s="57"/>
      <c r="G139" s="57"/>
      <c r="H139" s="57"/>
      <c r="I139" s="53"/>
      <c r="J139" s="57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6.5" customHeight="1">
      <c r="A140" s="54"/>
      <c r="B140" s="55"/>
      <c r="C140" s="56"/>
      <c r="D140" s="57"/>
      <c r="E140" s="57"/>
      <c r="F140" s="57"/>
      <c r="G140" s="57"/>
      <c r="H140" s="57"/>
      <c r="I140" s="53"/>
      <c r="J140" s="57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6.5" customHeight="1">
      <c r="A141" s="54"/>
      <c r="B141" s="55"/>
      <c r="C141" s="56"/>
      <c r="D141" s="57"/>
      <c r="E141" s="57"/>
      <c r="F141" s="57"/>
      <c r="G141" s="57"/>
      <c r="H141" s="57"/>
      <c r="I141" s="53"/>
      <c r="J141" s="57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6.5" customHeight="1">
      <c r="A142" s="54"/>
      <c r="B142" s="55"/>
      <c r="C142" s="56"/>
      <c r="D142" s="57"/>
      <c r="E142" s="57"/>
      <c r="F142" s="57"/>
      <c r="G142" s="57"/>
      <c r="H142" s="57"/>
      <c r="I142" s="53"/>
      <c r="J142" s="57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6.5" customHeight="1">
      <c r="A143" s="54"/>
      <c r="B143" s="55"/>
      <c r="C143" s="56"/>
      <c r="D143" s="57"/>
      <c r="E143" s="57"/>
      <c r="F143" s="57"/>
      <c r="G143" s="57"/>
      <c r="H143" s="57"/>
      <c r="I143" s="53"/>
      <c r="J143" s="57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6.5" customHeight="1">
      <c r="A144" s="54"/>
      <c r="B144" s="55"/>
      <c r="C144" s="56"/>
      <c r="D144" s="57"/>
      <c r="E144" s="57"/>
      <c r="F144" s="57"/>
      <c r="G144" s="57"/>
      <c r="H144" s="57"/>
      <c r="I144" s="53"/>
      <c r="J144" s="57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6.5" customHeight="1">
      <c r="A145" s="54"/>
      <c r="B145" s="55"/>
      <c r="C145" s="56"/>
      <c r="D145" s="57"/>
      <c r="E145" s="57"/>
      <c r="F145" s="57"/>
      <c r="G145" s="57"/>
      <c r="H145" s="57"/>
      <c r="I145" s="53"/>
      <c r="J145" s="57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6.5" customHeight="1">
      <c r="A146" s="54"/>
      <c r="B146" s="55"/>
      <c r="C146" s="56"/>
      <c r="D146" s="57"/>
      <c r="E146" s="57"/>
      <c r="F146" s="57"/>
      <c r="G146" s="57"/>
      <c r="H146" s="57"/>
      <c r="I146" s="53"/>
      <c r="J146" s="57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6.5" customHeight="1">
      <c r="A147" s="54"/>
      <c r="B147" s="55"/>
      <c r="C147" s="56"/>
      <c r="D147" s="57"/>
      <c r="E147" s="57"/>
      <c r="F147" s="57"/>
      <c r="G147" s="57"/>
      <c r="H147" s="57"/>
      <c r="I147" s="53"/>
      <c r="J147" s="5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6.5" customHeight="1">
      <c r="A148" s="54"/>
      <c r="B148" s="55"/>
      <c r="C148" s="56"/>
      <c r="D148" s="57"/>
      <c r="E148" s="57"/>
      <c r="F148" s="57"/>
      <c r="G148" s="57"/>
      <c r="H148" s="57"/>
      <c r="I148" s="53"/>
      <c r="J148" s="57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6.5" customHeight="1">
      <c r="A149" s="54"/>
      <c r="B149" s="55"/>
      <c r="C149" s="56"/>
      <c r="D149" s="57"/>
      <c r="E149" s="57"/>
      <c r="F149" s="57"/>
      <c r="G149" s="57"/>
      <c r="H149" s="57"/>
      <c r="I149" s="53"/>
      <c r="J149" s="57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6.5" customHeight="1">
      <c r="A150" s="54"/>
      <c r="B150" s="55"/>
      <c r="C150" s="56"/>
      <c r="D150" s="57"/>
      <c r="E150" s="57"/>
      <c r="F150" s="57"/>
      <c r="G150" s="57"/>
      <c r="H150" s="57"/>
      <c r="I150" s="53"/>
      <c r="J150" s="57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6.5" customHeight="1">
      <c r="A151" s="54"/>
      <c r="B151" s="55"/>
      <c r="C151" s="56"/>
      <c r="D151" s="57"/>
      <c r="E151" s="57"/>
      <c r="F151" s="57"/>
      <c r="G151" s="57"/>
      <c r="H151" s="57"/>
      <c r="I151" s="53"/>
      <c r="J151" s="57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6.5" customHeight="1">
      <c r="A152" s="54"/>
      <c r="B152" s="55"/>
      <c r="C152" s="56"/>
      <c r="D152" s="57"/>
      <c r="E152" s="57"/>
      <c r="F152" s="57"/>
      <c r="G152" s="57"/>
      <c r="H152" s="57"/>
      <c r="I152" s="53"/>
      <c r="J152" s="57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6.5" customHeight="1">
      <c r="A153" s="54"/>
      <c r="B153" s="55"/>
      <c r="C153" s="56"/>
      <c r="D153" s="57"/>
      <c r="E153" s="57"/>
      <c r="F153" s="57"/>
      <c r="G153" s="57"/>
      <c r="H153" s="57"/>
      <c r="I153" s="53"/>
      <c r="J153" s="57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6.5" customHeight="1">
      <c r="A154" s="54"/>
      <c r="B154" s="55"/>
      <c r="C154" s="56"/>
      <c r="D154" s="57"/>
      <c r="E154" s="57"/>
      <c r="F154" s="57"/>
      <c r="G154" s="57"/>
      <c r="H154" s="57"/>
      <c r="I154" s="53"/>
      <c r="J154" s="57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6.5" customHeight="1">
      <c r="A155" s="54"/>
      <c r="B155" s="55"/>
      <c r="C155" s="56"/>
      <c r="D155" s="57"/>
      <c r="E155" s="57"/>
      <c r="F155" s="57"/>
      <c r="G155" s="57"/>
      <c r="H155" s="57"/>
      <c r="I155" s="53"/>
      <c r="J155" s="57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6.5" customHeight="1">
      <c r="A156" s="54"/>
      <c r="B156" s="55"/>
      <c r="C156" s="56"/>
      <c r="D156" s="57"/>
      <c r="E156" s="57"/>
      <c r="F156" s="57"/>
      <c r="G156" s="57"/>
      <c r="H156" s="57"/>
      <c r="I156" s="53"/>
      <c r="J156" s="57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6.5" customHeight="1">
      <c r="A157" s="54"/>
      <c r="B157" s="55"/>
      <c r="C157" s="56"/>
      <c r="D157" s="57"/>
      <c r="E157" s="57"/>
      <c r="F157" s="57"/>
      <c r="G157" s="57"/>
      <c r="H157" s="57"/>
      <c r="I157" s="53"/>
      <c r="J157" s="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6.5" customHeight="1">
      <c r="A158" s="54"/>
      <c r="B158" s="55"/>
      <c r="C158" s="56"/>
      <c r="D158" s="57"/>
      <c r="E158" s="57"/>
      <c r="F158" s="57"/>
      <c r="G158" s="57"/>
      <c r="H158" s="57"/>
      <c r="I158" s="53"/>
      <c r="J158" s="57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6.5" customHeight="1">
      <c r="A159" s="54"/>
      <c r="B159" s="55"/>
      <c r="C159" s="56"/>
      <c r="D159" s="57"/>
      <c r="E159" s="57"/>
      <c r="F159" s="57"/>
      <c r="G159" s="57"/>
      <c r="H159" s="57"/>
      <c r="I159" s="53"/>
      <c r="J159" s="57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6.5" customHeight="1">
      <c r="A160" s="54"/>
      <c r="B160" s="55"/>
      <c r="C160" s="56"/>
      <c r="D160" s="57"/>
      <c r="E160" s="57"/>
      <c r="F160" s="57"/>
      <c r="G160" s="57"/>
      <c r="H160" s="57"/>
      <c r="I160" s="53"/>
      <c r="J160" s="57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6.5" customHeight="1">
      <c r="A161" s="54"/>
      <c r="B161" s="55"/>
      <c r="C161" s="56"/>
      <c r="D161" s="57"/>
      <c r="E161" s="57"/>
      <c r="F161" s="57"/>
      <c r="G161" s="57"/>
      <c r="H161" s="57"/>
      <c r="I161" s="53"/>
      <c r="J161" s="57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6.5" customHeight="1">
      <c r="A162" s="54"/>
      <c r="B162" s="55"/>
      <c r="C162" s="56"/>
      <c r="D162" s="57"/>
      <c r="E162" s="57"/>
      <c r="F162" s="57"/>
      <c r="G162" s="57"/>
      <c r="H162" s="57"/>
      <c r="I162" s="53"/>
      <c r="J162" s="57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6.5" customHeight="1">
      <c r="A163" s="54"/>
      <c r="B163" s="55"/>
      <c r="C163" s="56"/>
      <c r="D163" s="57"/>
      <c r="E163" s="57"/>
      <c r="F163" s="57"/>
      <c r="G163" s="57"/>
      <c r="H163" s="57"/>
      <c r="I163" s="53"/>
      <c r="J163" s="57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6.5" customHeight="1">
      <c r="A164" s="54"/>
      <c r="B164" s="55"/>
      <c r="C164" s="56"/>
      <c r="D164" s="57"/>
      <c r="E164" s="57"/>
      <c r="F164" s="57"/>
      <c r="G164" s="57"/>
      <c r="H164" s="57"/>
      <c r="I164" s="53"/>
      <c r="J164" s="57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6.5" customHeight="1">
      <c r="A165" s="54"/>
      <c r="B165" s="55"/>
      <c r="C165" s="56"/>
      <c r="D165" s="57"/>
      <c r="E165" s="57"/>
      <c r="F165" s="57"/>
      <c r="G165" s="57"/>
      <c r="H165" s="57"/>
      <c r="I165" s="53"/>
      <c r="J165" s="57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6.5" customHeight="1">
      <c r="A166" s="54"/>
      <c r="B166" s="55"/>
      <c r="C166" s="56"/>
      <c r="D166" s="57"/>
      <c r="E166" s="57"/>
      <c r="F166" s="57"/>
      <c r="G166" s="57"/>
      <c r="H166" s="57"/>
      <c r="I166" s="53"/>
      <c r="J166" s="57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6.5" customHeight="1">
      <c r="A167" s="54"/>
      <c r="B167" s="55"/>
      <c r="C167" s="56"/>
      <c r="D167" s="57"/>
      <c r="E167" s="57"/>
      <c r="F167" s="57"/>
      <c r="G167" s="57"/>
      <c r="H167" s="57"/>
      <c r="I167" s="53"/>
      <c r="J167" s="5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6.5" customHeight="1">
      <c r="A168" s="54"/>
      <c r="B168" s="55"/>
      <c r="C168" s="56"/>
      <c r="D168" s="57"/>
      <c r="E168" s="57"/>
      <c r="F168" s="57"/>
      <c r="G168" s="57"/>
      <c r="H168" s="57"/>
      <c r="I168" s="53"/>
      <c r="J168" s="57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6.5" customHeight="1">
      <c r="A169" s="54"/>
      <c r="B169" s="55"/>
      <c r="C169" s="56"/>
      <c r="D169" s="57"/>
      <c r="E169" s="57"/>
      <c r="F169" s="57"/>
      <c r="G169" s="57"/>
      <c r="H169" s="57"/>
      <c r="I169" s="53"/>
      <c r="J169" s="57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6.5" customHeight="1">
      <c r="A170" s="54"/>
      <c r="B170" s="55"/>
      <c r="C170" s="56"/>
      <c r="D170" s="57"/>
      <c r="E170" s="57"/>
      <c r="F170" s="57"/>
      <c r="G170" s="57"/>
      <c r="H170" s="57"/>
      <c r="I170" s="53"/>
      <c r="J170" s="57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6.5" customHeight="1">
      <c r="A171" s="54"/>
      <c r="B171" s="55"/>
      <c r="C171" s="56"/>
      <c r="D171" s="57"/>
      <c r="E171" s="57"/>
      <c r="F171" s="57"/>
      <c r="G171" s="57"/>
      <c r="H171" s="57"/>
      <c r="I171" s="53"/>
      <c r="J171" s="57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6.5" customHeight="1">
      <c r="A172" s="54"/>
      <c r="B172" s="55"/>
      <c r="C172" s="56"/>
      <c r="D172" s="57"/>
      <c r="E172" s="57"/>
      <c r="F172" s="57"/>
      <c r="G172" s="57"/>
      <c r="H172" s="57"/>
      <c r="I172" s="53"/>
      <c r="J172" s="57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6.5" customHeight="1">
      <c r="A173" s="54"/>
      <c r="B173" s="55"/>
      <c r="C173" s="56"/>
      <c r="D173" s="57"/>
      <c r="E173" s="57"/>
      <c r="F173" s="57"/>
      <c r="G173" s="57"/>
      <c r="H173" s="57"/>
      <c r="I173" s="53"/>
      <c r="J173" s="57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6.5" customHeight="1">
      <c r="A174" s="54"/>
      <c r="B174" s="55"/>
      <c r="C174" s="56"/>
      <c r="D174" s="57"/>
      <c r="E174" s="57"/>
      <c r="F174" s="57"/>
      <c r="G174" s="57"/>
      <c r="H174" s="57"/>
      <c r="I174" s="53"/>
      <c r="J174" s="57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6.5" customHeight="1">
      <c r="A175" s="54"/>
      <c r="B175" s="55"/>
      <c r="C175" s="56"/>
      <c r="D175" s="57"/>
      <c r="E175" s="57"/>
      <c r="F175" s="57"/>
      <c r="G175" s="57"/>
      <c r="H175" s="57"/>
      <c r="I175" s="53"/>
      <c r="J175" s="57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6.5" customHeight="1">
      <c r="A176" s="54"/>
      <c r="B176" s="55"/>
      <c r="C176" s="56"/>
      <c r="D176" s="57"/>
      <c r="E176" s="57"/>
      <c r="F176" s="57"/>
      <c r="G176" s="57"/>
      <c r="H176" s="57"/>
      <c r="I176" s="53"/>
      <c r="J176" s="57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6.5" customHeight="1">
      <c r="A177" s="54"/>
      <c r="B177" s="55"/>
      <c r="C177" s="56"/>
      <c r="D177" s="57"/>
      <c r="E177" s="57"/>
      <c r="F177" s="57"/>
      <c r="G177" s="57"/>
      <c r="H177" s="57"/>
      <c r="I177" s="53"/>
      <c r="J177" s="5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6.5" customHeight="1">
      <c r="A178" s="54"/>
      <c r="B178" s="55"/>
      <c r="C178" s="56"/>
      <c r="D178" s="57"/>
      <c r="E178" s="57"/>
      <c r="F178" s="57"/>
      <c r="G178" s="57"/>
      <c r="H178" s="57"/>
      <c r="I178" s="53"/>
      <c r="J178" s="57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6.5" customHeight="1">
      <c r="A179" s="54"/>
      <c r="B179" s="55"/>
      <c r="C179" s="56"/>
      <c r="D179" s="57"/>
      <c r="E179" s="57"/>
      <c r="F179" s="57"/>
      <c r="G179" s="57"/>
      <c r="H179" s="57"/>
      <c r="I179" s="53"/>
      <c r="J179" s="57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6.5" customHeight="1">
      <c r="A180" s="54"/>
      <c r="B180" s="55"/>
      <c r="C180" s="56"/>
      <c r="D180" s="57"/>
      <c r="E180" s="57"/>
      <c r="F180" s="57"/>
      <c r="G180" s="57"/>
      <c r="H180" s="57"/>
      <c r="I180" s="53"/>
      <c r="J180" s="57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6.5" customHeight="1">
      <c r="A181" s="54"/>
      <c r="B181" s="55"/>
      <c r="C181" s="56"/>
      <c r="D181" s="57"/>
      <c r="E181" s="57"/>
      <c r="F181" s="57"/>
      <c r="G181" s="57"/>
      <c r="H181" s="57"/>
      <c r="I181" s="53"/>
      <c r="J181" s="57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6.5" customHeight="1">
      <c r="A182" s="54"/>
      <c r="B182" s="55"/>
      <c r="C182" s="56"/>
      <c r="D182" s="57"/>
      <c r="E182" s="57"/>
      <c r="F182" s="57"/>
      <c r="G182" s="57"/>
      <c r="H182" s="57"/>
      <c r="I182" s="53"/>
      <c r="J182" s="57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6.5" customHeight="1">
      <c r="A183" s="54"/>
      <c r="B183" s="55"/>
      <c r="C183" s="56"/>
      <c r="D183" s="57"/>
      <c r="E183" s="57"/>
      <c r="F183" s="57"/>
      <c r="G183" s="57"/>
      <c r="H183" s="57"/>
      <c r="I183" s="53"/>
      <c r="J183" s="57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6.5" customHeight="1">
      <c r="A184" s="54"/>
      <c r="B184" s="55"/>
      <c r="C184" s="56"/>
      <c r="D184" s="57"/>
      <c r="E184" s="57"/>
      <c r="F184" s="57"/>
      <c r="G184" s="57"/>
      <c r="H184" s="57"/>
      <c r="I184" s="53"/>
      <c r="J184" s="57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6.5" customHeight="1">
      <c r="A185" s="54"/>
      <c r="B185" s="55"/>
      <c r="C185" s="56"/>
      <c r="D185" s="57"/>
      <c r="E185" s="57"/>
      <c r="F185" s="57"/>
      <c r="G185" s="57"/>
      <c r="H185" s="57"/>
      <c r="I185" s="53"/>
      <c r="J185" s="57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6.5" customHeight="1">
      <c r="A186" s="54"/>
      <c r="B186" s="55"/>
      <c r="C186" s="56"/>
      <c r="D186" s="57"/>
      <c r="E186" s="57"/>
      <c r="F186" s="57"/>
      <c r="G186" s="57"/>
      <c r="H186" s="57"/>
      <c r="I186" s="53"/>
      <c r="J186" s="57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6.5" customHeight="1">
      <c r="A187" s="54"/>
      <c r="B187" s="55"/>
      <c r="C187" s="56"/>
      <c r="D187" s="57"/>
      <c r="E187" s="57"/>
      <c r="F187" s="57"/>
      <c r="G187" s="57"/>
      <c r="H187" s="57"/>
      <c r="I187" s="53"/>
      <c r="J187" s="5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6.5" customHeight="1">
      <c r="A188" s="54"/>
      <c r="B188" s="55"/>
      <c r="C188" s="56"/>
      <c r="D188" s="57"/>
      <c r="E188" s="57"/>
      <c r="F188" s="57"/>
      <c r="G188" s="57"/>
      <c r="H188" s="57"/>
      <c r="I188" s="53"/>
      <c r="J188" s="57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6.5" customHeight="1">
      <c r="A189" s="54"/>
      <c r="B189" s="55"/>
      <c r="C189" s="56"/>
      <c r="D189" s="57"/>
      <c r="E189" s="57"/>
      <c r="F189" s="57"/>
      <c r="G189" s="57"/>
      <c r="H189" s="57"/>
      <c r="I189" s="53"/>
      <c r="J189" s="57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6.5" customHeight="1">
      <c r="A190" s="54"/>
      <c r="B190" s="55"/>
      <c r="C190" s="56"/>
      <c r="D190" s="57"/>
      <c r="E190" s="57"/>
      <c r="F190" s="57"/>
      <c r="G190" s="57"/>
      <c r="H190" s="57"/>
      <c r="I190" s="53"/>
      <c r="J190" s="57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6.5" customHeight="1">
      <c r="A191" s="54"/>
      <c r="B191" s="55"/>
      <c r="C191" s="56"/>
      <c r="D191" s="57"/>
      <c r="E191" s="57"/>
      <c r="F191" s="57"/>
      <c r="G191" s="57"/>
      <c r="H191" s="57"/>
      <c r="I191" s="53"/>
      <c r="J191" s="57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6.5" customHeight="1">
      <c r="A192" s="54"/>
      <c r="B192" s="55"/>
      <c r="C192" s="56"/>
      <c r="D192" s="57"/>
      <c r="E192" s="57"/>
      <c r="F192" s="57"/>
      <c r="G192" s="57"/>
      <c r="H192" s="57"/>
      <c r="I192" s="53"/>
      <c r="J192" s="57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6.5" customHeight="1">
      <c r="A193" s="54"/>
      <c r="B193" s="55"/>
      <c r="C193" s="56"/>
      <c r="D193" s="57"/>
      <c r="E193" s="57"/>
      <c r="F193" s="57"/>
      <c r="G193" s="57"/>
      <c r="H193" s="57"/>
      <c r="I193" s="53"/>
      <c r="J193" s="57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6.5" customHeight="1">
      <c r="A194" s="54"/>
      <c r="B194" s="55"/>
      <c r="C194" s="56"/>
      <c r="D194" s="57"/>
      <c r="E194" s="57"/>
      <c r="F194" s="57"/>
      <c r="G194" s="57"/>
      <c r="H194" s="57"/>
      <c r="I194" s="53"/>
      <c r="J194" s="57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6.5" customHeight="1">
      <c r="A195" s="54"/>
      <c r="B195" s="55"/>
      <c r="C195" s="56"/>
      <c r="D195" s="57"/>
      <c r="E195" s="57"/>
      <c r="F195" s="57"/>
      <c r="G195" s="57"/>
      <c r="H195" s="57"/>
      <c r="I195" s="53"/>
      <c r="J195" s="57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6.5" customHeight="1">
      <c r="A196" s="54"/>
      <c r="B196" s="55"/>
      <c r="C196" s="56"/>
      <c r="D196" s="57"/>
      <c r="E196" s="57"/>
      <c r="F196" s="57"/>
      <c r="G196" s="57"/>
      <c r="H196" s="57"/>
      <c r="I196" s="53"/>
      <c r="J196" s="57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6.5" customHeight="1">
      <c r="A197" s="54"/>
      <c r="B197" s="55"/>
      <c r="C197" s="56"/>
      <c r="D197" s="57"/>
      <c r="E197" s="57"/>
      <c r="F197" s="57"/>
      <c r="G197" s="57"/>
      <c r="H197" s="57"/>
      <c r="I197" s="53"/>
      <c r="J197" s="5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6.5" customHeight="1">
      <c r="A198" s="54"/>
      <c r="B198" s="55"/>
      <c r="C198" s="56"/>
      <c r="D198" s="57"/>
      <c r="E198" s="57"/>
      <c r="F198" s="57"/>
      <c r="G198" s="57"/>
      <c r="H198" s="57"/>
      <c r="I198" s="53"/>
      <c r="J198" s="57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6.5" customHeight="1">
      <c r="A199" s="54"/>
      <c r="B199" s="55"/>
      <c r="C199" s="56"/>
      <c r="D199" s="57"/>
      <c r="E199" s="57"/>
      <c r="F199" s="57"/>
      <c r="G199" s="57"/>
      <c r="H199" s="57"/>
      <c r="I199" s="53"/>
      <c r="J199" s="57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6.5" customHeight="1">
      <c r="A200" s="54"/>
      <c r="B200" s="55"/>
      <c r="C200" s="56"/>
      <c r="D200" s="57"/>
      <c r="E200" s="57"/>
      <c r="F200" s="57"/>
      <c r="G200" s="57"/>
      <c r="H200" s="57"/>
      <c r="I200" s="53"/>
      <c r="J200" s="57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6.5" customHeight="1">
      <c r="A201" s="54"/>
      <c r="B201" s="55"/>
      <c r="C201" s="56"/>
      <c r="D201" s="57"/>
      <c r="E201" s="57"/>
      <c r="F201" s="57"/>
      <c r="G201" s="57"/>
      <c r="H201" s="57"/>
      <c r="I201" s="53"/>
      <c r="J201" s="57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6.5" customHeight="1">
      <c r="A202" s="54"/>
      <c r="B202" s="55"/>
      <c r="C202" s="56"/>
      <c r="D202" s="57"/>
      <c r="E202" s="57"/>
      <c r="F202" s="57"/>
      <c r="G202" s="57"/>
      <c r="H202" s="57"/>
      <c r="I202" s="53"/>
      <c r="J202" s="57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6.5" customHeight="1">
      <c r="A203" s="54"/>
      <c r="B203" s="55"/>
      <c r="C203" s="56"/>
      <c r="D203" s="57"/>
      <c r="E203" s="57"/>
      <c r="F203" s="57"/>
      <c r="G203" s="57"/>
      <c r="H203" s="57"/>
      <c r="I203" s="53"/>
      <c r="J203" s="57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6.5" customHeight="1">
      <c r="A204" s="54"/>
      <c r="B204" s="55"/>
      <c r="C204" s="56"/>
      <c r="D204" s="57"/>
      <c r="E204" s="57"/>
      <c r="F204" s="57"/>
      <c r="G204" s="57"/>
      <c r="H204" s="57"/>
      <c r="I204" s="53"/>
      <c r="J204" s="57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6.5" customHeight="1">
      <c r="A205" s="54"/>
      <c r="B205" s="55"/>
      <c r="C205" s="56"/>
      <c r="D205" s="57"/>
      <c r="E205" s="57"/>
      <c r="F205" s="57"/>
      <c r="G205" s="57"/>
      <c r="H205" s="57"/>
      <c r="I205" s="53"/>
      <c r="J205" s="57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6.5" customHeight="1">
      <c r="A206" s="54"/>
      <c r="B206" s="55"/>
      <c r="C206" s="56"/>
      <c r="D206" s="57"/>
      <c r="E206" s="57"/>
      <c r="F206" s="57"/>
      <c r="G206" s="57"/>
      <c r="H206" s="57"/>
      <c r="I206" s="53"/>
      <c r="J206" s="57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6.5" customHeight="1">
      <c r="A207" s="54"/>
      <c r="B207" s="55"/>
      <c r="C207" s="56"/>
      <c r="D207" s="57"/>
      <c r="E207" s="57"/>
      <c r="F207" s="57"/>
      <c r="G207" s="57"/>
      <c r="H207" s="57"/>
      <c r="I207" s="53"/>
      <c r="J207" s="5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6.5" customHeight="1">
      <c r="A208" s="54"/>
      <c r="B208" s="55"/>
      <c r="C208" s="56"/>
      <c r="D208" s="57"/>
      <c r="E208" s="57"/>
      <c r="F208" s="57"/>
      <c r="G208" s="57"/>
      <c r="H208" s="57"/>
      <c r="I208" s="53"/>
      <c r="J208" s="57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6.5" customHeight="1">
      <c r="A209" s="54"/>
      <c r="B209" s="55"/>
      <c r="C209" s="56"/>
      <c r="D209" s="57"/>
      <c r="E209" s="57"/>
      <c r="F209" s="57"/>
      <c r="G209" s="57"/>
      <c r="H209" s="57"/>
      <c r="I209" s="53"/>
      <c r="J209" s="57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6.5" customHeight="1">
      <c r="A210" s="54"/>
      <c r="B210" s="55"/>
      <c r="C210" s="56"/>
      <c r="D210" s="57"/>
      <c r="E210" s="57"/>
      <c r="F210" s="57"/>
      <c r="G210" s="57"/>
      <c r="H210" s="57"/>
      <c r="I210" s="53"/>
      <c r="J210" s="57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6.5" customHeight="1">
      <c r="A211" s="54"/>
      <c r="B211" s="55"/>
      <c r="C211" s="56"/>
      <c r="D211" s="57"/>
      <c r="E211" s="57"/>
      <c r="F211" s="57"/>
      <c r="G211" s="57"/>
      <c r="H211" s="57"/>
      <c r="I211" s="53"/>
      <c r="J211" s="57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6.5" customHeight="1">
      <c r="A212" s="54"/>
      <c r="B212" s="55"/>
      <c r="C212" s="56"/>
      <c r="D212" s="57"/>
      <c r="E212" s="57"/>
      <c r="F212" s="57"/>
      <c r="G212" s="57"/>
      <c r="H212" s="57"/>
      <c r="I212" s="53"/>
      <c r="J212" s="57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6.5" customHeight="1">
      <c r="A213" s="54"/>
      <c r="B213" s="55"/>
      <c r="C213" s="56"/>
      <c r="D213" s="57"/>
      <c r="E213" s="57"/>
      <c r="F213" s="57"/>
      <c r="G213" s="57"/>
      <c r="H213" s="57"/>
      <c r="I213" s="53"/>
      <c r="J213" s="57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6.5" customHeight="1">
      <c r="A214" s="54"/>
      <c r="B214" s="55"/>
      <c r="C214" s="56"/>
      <c r="D214" s="57"/>
      <c r="E214" s="57"/>
      <c r="F214" s="57"/>
      <c r="G214" s="57"/>
      <c r="H214" s="57"/>
      <c r="I214" s="53"/>
      <c r="J214" s="57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6.5" customHeight="1">
      <c r="A215" s="54"/>
      <c r="B215" s="55"/>
      <c r="C215" s="56"/>
      <c r="D215" s="57"/>
      <c r="E215" s="57"/>
      <c r="F215" s="57"/>
      <c r="G215" s="57"/>
      <c r="H215" s="57"/>
      <c r="I215" s="53"/>
      <c r="J215" s="57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6.5" customHeight="1">
      <c r="A216" s="54"/>
      <c r="B216" s="55"/>
      <c r="C216" s="56"/>
      <c r="D216" s="57"/>
      <c r="E216" s="57"/>
      <c r="F216" s="57"/>
      <c r="G216" s="57"/>
      <c r="H216" s="57"/>
      <c r="I216" s="53"/>
      <c r="J216" s="57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6.5" customHeight="1">
      <c r="A217" s="54"/>
      <c r="B217" s="55"/>
      <c r="C217" s="56"/>
      <c r="D217" s="57"/>
      <c r="E217" s="57"/>
      <c r="F217" s="57"/>
      <c r="G217" s="57"/>
      <c r="H217" s="57"/>
      <c r="I217" s="53"/>
      <c r="J217" s="5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6.5" customHeight="1">
      <c r="A218" s="54"/>
      <c r="B218" s="55"/>
      <c r="C218" s="56"/>
      <c r="D218" s="57"/>
      <c r="E218" s="57"/>
      <c r="F218" s="57"/>
      <c r="G218" s="57"/>
      <c r="H218" s="57"/>
      <c r="I218" s="53"/>
      <c r="J218" s="57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6.5" customHeight="1">
      <c r="A219" s="54"/>
      <c r="B219" s="55"/>
      <c r="C219" s="56"/>
      <c r="D219" s="57"/>
      <c r="E219" s="57"/>
      <c r="F219" s="57"/>
      <c r="G219" s="57"/>
      <c r="H219" s="57"/>
      <c r="I219" s="53"/>
      <c r="J219" s="57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6.5" customHeight="1">
      <c r="A220" s="54"/>
      <c r="B220" s="55"/>
      <c r="C220" s="56"/>
      <c r="D220" s="57"/>
      <c r="E220" s="57"/>
      <c r="F220" s="57"/>
      <c r="G220" s="57"/>
      <c r="H220" s="57"/>
      <c r="I220" s="53"/>
      <c r="J220" s="57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6.5" customHeight="1">
      <c r="A221" s="54"/>
      <c r="B221" s="55"/>
      <c r="C221" s="56"/>
      <c r="D221" s="57"/>
      <c r="E221" s="57"/>
      <c r="F221" s="57"/>
      <c r="G221" s="57"/>
      <c r="H221" s="57"/>
      <c r="I221" s="53"/>
      <c r="J221" s="57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6.5" customHeight="1">
      <c r="A222" s="54"/>
      <c r="B222" s="55"/>
      <c r="C222" s="56"/>
      <c r="D222" s="57"/>
      <c r="E222" s="57"/>
      <c r="F222" s="57"/>
      <c r="G222" s="57"/>
      <c r="H222" s="57"/>
      <c r="I222" s="53"/>
      <c r="J222" s="57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6.5" customHeight="1">
      <c r="A223" s="54"/>
      <c r="B223" s="55"/>
      <c r="C223" s="56"/>
      <c r="D223" s="57"/>
      <c r="E223" s="57"/>
      <c r="F223" s="57"/>
      <c r="G223" s="57"/>
      <c r="H223" s="57"/>
      <c r="I223" s="53"/>
      <c r="J223" s="57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6.5" customHeight="1">
      <c r="A224" s="54"/>
      <c r="B224" s="55"/>
      <c r="C224" s="56"/>
      <c r="D224" s="57"/>
      <c r="E224" s="57"/>
      <c r="F224" s="57"/>
      <c r="G224" s="57"/>
      <c r="H224" s="57"/>
      <c r="I224" s="53"/>
      <c r="J224" s="57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6.5" customHeight="1">
      <c r="A225" s="54"/>
      <c r="B225" s="55"/>
      <c r="C225" s="56"/>
      <c r="D225" s="57"/>
      <c r="E225" s="57"/>
      <c r="F225" s="57"/>
      <c r="G225" s="57"/>
      <c r="H225" s="57"/>
      <c r="I225" s="53"/>
      <c r="J225" s="57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6.5" customHeight="1">
      <c r="A226" s="54"/>
      <c r="B226" s="55"/>
      <c r="C226" s="56"/>
      <c r="D226" s="57"/>
      <c r="E226" s="57"/>
      <c r="F226" s="57"/>
      <c r="G226" s="57"/>
      <c r="H226" s="57"/>
      <c r="I226" s="53"/>
      <c r="J226" s="57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6.5" customHeight="1">
      <c r="A227" s="54"/>
      <c r="B227" s="55"/>
      <c r="C227" s="56"/>
      <c r="D227" s="57"/>
      <c r="E227" s="57"/>
      <c r="F227" s="57"/>
      <c r="G227" s="57"/>
      <c r="H227" s="57"/>
      <c r="I227" s="53"/>
      <c r="J227" s="5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6.5" customHeight="1">
      <c r="A228" s="54"/>
      <c r="B228" s="55"/>
      <c r="C228" s="56"/>
      <c r="D228" s="57"/>
      <c r="E228" s="57"/>
      <c r="F228" s="57"/>
      <c r="G228" s="57"/>
      <c r="H228" s="57"/>
      <c r="I228" s="53"/>
      <c r="J228" s="57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6.5" customHeight="1">
      <c r="A229" s="54"/>
      <c r="B229" s="55"/>
      <c r="C229" s="56"/>
      <c r="D229" s="57"/>
      <c r="E229" s="57"/>
      <c r="F229" s="57"/>
      <c r="G229" s="57"/>
      <c r="H229" s="57"/>
      <c r="I229" s="53"/>
      <c r="J229" s="57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6.5" customHeight="1">
      <c r="A230" s="54"/>
      <c r="B230" s="55"/>
      <c r="C230" s="56"/>
      <c r="D230" s="57"/>
      <c r="E230" s="57"/>
      <c r="F230" s="57"/>
      <c r="G230" s="57"/>
      <c r="H230" s="57"/>
      <c r="I230" s="53"/>
      <c r="J230" s="57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6.5" customHeight="1">
      <c r="A231" s="54"/>
      <c r="B231" s="55"/>
      <c r="C231" s="56"/>
      <c r="D231" s="57"/>
      <c r="E231" s="57"/>
      <c r="F231" s="57"/>
      <c r="G231" s="57"/>
      <c r="H231" s="57"/>
      <c r="I231" s="53"/>
      <c r="J231" s="57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6.5" customHeight="1">
      <c r="A232" s="54"/>
      <c r="B232" s="55"/>
      <c r="C232" s="56"/>
      <c r="D232" s="57"/>
      <c r="E232" s="57"/>
      <c r="F232" s="57"/>
      <c r="G232" s="57"/>
      <c r="H232" s="57"/>
      <c r="I232" s="53"/>
      <c r="J232" s="57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6.5" customHeight="1">
      <c r="A233" s="54"/>
      <c r="B233" s="55"/>
      <c r="C233" s="56"/>
      <c r="D233" s="57"/>
      <c r="E233" s="57"/>
      <c r="F233" s="57"/>
      <c r="G233" s="57"/>
      <c r="H233" s="57"/>
      <c r="I233" s="53"/>
      <c r="J233" s="57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6.5" customHeight="1">
      <c r="A234" s="54"/>
      <c r="B234" s="55"/>
      <c r="C234" s="56"/>
      <c r="D234" s="57"/>
      <c r="E234" s="57"/>
      <c r="F234" s="57"/>
      <c r="G234" s="57"/>
      <c r="H234" s="57"/>
      <c r="I234" s="53"/>
      <c r="J234" s="57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6.5" customHeight="1">
      <c r="A235" s="54"/>
      <c r="B235" s="55"/>
      <c r="C235" s="56"/>
      <c r="D235" s="57"/>
      <c r="E235" s="57"/>
      <c r="F235" s="57"/>
      <c r="G235" s="57"/>
      <c r="H235" s="57"/>
      <c r="I235" s="53"/>
      <c r="J235" s="57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6.5" customHeight="1">
      <c r="A236" s="54"/>
      <c r="B236" s="55"/>
      <c r="C236" s="56"/>
      <c r="D236" s="57"/>
      <c r="E236" s="57"/>
      <c r="F236" s="57"/>
      <c r="G236" s="57"/>
      <c r="H236" s="57"/>
      <c r="I236" s="53"/>
      <c r="J236" s="57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6.5" customHeight="1">
      <c r="A237" s="54"/>
      <c r="B237" s="55"/>
      <c r="C237" s="56"/>
      <c r="D237" s="57"/>
      <c r="E237" s="57"/>
      <c r="F237" s="57"/>
      <c r="G237" s="57"/>
      <c r="H237" s="57"/>
      <c r="I237" s="53"/>
      <c r="J237" s="5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6.5" customHeight="1">
      <c r="A238" s="54"/>
      <c r="B238" s="55"/>
      <c r="C238" s="56"/>
      <c r="D238" s="57"/>
      <c r="E238" s="57"/>
      <c r="F238" s="57"/>
      <c r="G238" s="57"/>
      <c r="H238" s="57"/>
      <c r="I238" s="53"/>
      <c r="J238" s="57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6.5" customHeight="1">
      <c r="A239" s="54"/>
      <c r="B239" s="55"/>
      <c r="C239" s="56"/>
      <c r="D239" s="57"/>
      <c r="E239" s="57"/>
      <c r="F239" s="57"/>
      <c r="G239" s="57"/>
      <c r="H239" s="57"/>
      <c r="I239" s="53"/>
      <c r="J239" s="57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6.5" customHeight="1">
      <c r="A240" s="54"/>
      <c r="B240" s="55"/>
      <c r="C240" s="56"/>
      <c r="D240" s="57"/>
      <c r="E240" s="57"/>
      <c r="F240" s="57"/>
      <c r="G240" s="57"/>
      <c r="H240" s="57"/>
      <c r="I240" s="53"/>
      <c r="J240" s="57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6.5" customHeight="1">
      <c r="A241" s="54"/>
      <c r="B241" s="55"/>
      <c r="C241" s="56"/>
      <c r="D241" s="57"/>
      <c r="E241" s="57"/>
      <c r="F241" s="57"/>
      <c r="G241" s="57"/>
      <c r="H241" s="57"/>
      <c r="I241" s="53"/>
      <c r="J241" s="57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6.5" customHeight="1">
      <c r="A242" s="54"/>
      <c r="B242" s="55"/>
      <c r="C242" s="56"/>
      <c r="D242" s="57"/>
      <c r="E242" s="57"/>
      <c r="F242" s="57"/>
      <c r="G242" s="57"/>
      <c r="H242" s="57"/>
      <c r="I242" s="53"/>
      <c r="J242" s="57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6.5" customHeight="1">
      <c r="A243" s="54"/>
      <c r="B243" s="55"/>
      <c r="C243" s="56"/>
      <c r="D243" s="57"/>
      <c r="E243" s="57"/>
      <c r="F243" s="57"/>
      <c r="G243" s="57"/>
      <c r="H243" s="57"/>
      <c r="I243" s="53"/>
      <c r="J243" s="57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6.5" customHeight="1">
      <c r="A244" s="54"/>
      <c r="B244" s="55"/>
      <c r="C244" s="56"/>
      <c r="D244" s="57"/>
      <c r="E244" s="57"/>
      <c r="F244" s="57"/>
      <c r="G244" s="57"/>
      <c r="H244" s="57"/>
      <c r="I244" s="53"/>
      <c r="J244" s="57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6.5" customHeight="1">
      <c r="A245" s="54"/>
      <c r="B245" s="55"/>
      <c r="C245" s="56"/>
      <c r="D245" s="57"/>
      <c r="E245" s="57"/>
      <c r="F245" s="57"/>
      <c r="G245" s="57"/>
      <c r="H245" s="57"/>
      <c r="I245" s="53"/>
      <c r="J245" s="57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6.5" customHeight="1">
      <c r="A246" s="54"/>
      <c r="B246" s="55"/>
      <c r="C246" s="56"/>
      <c r="D246" s="57"/>
      <c r="E246" s="57"/>
      <c r="F246" s="57"/>
      <c r="G246" s="57"/>
      <c r="H246" s="57"/>
      <c r="I246" s="53"/>
      <c r="J246" s="57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6.5" customHeight="1">
      <c r="A247" s="54"/>
      <c r="B247" s="55"/>
      <c r="C247" s="56"/>
      <c r="D247" s="57"/>
      <c r="E247" s="57"/>
      <c r="F247" s="57"/>
      <c r="G247" s="57"/>
      <c r="H247" s="57"/>
      <c r="I247" s="53"/>
      <c r="J247" s="5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6.5" customHeight="1">
      <c r="A248" s="54"/>
      <c r="B248" s="55"/>
      <c r="C248" s="56"/>
      <c r="D248" s="57"/>
      <c r="E248" s="57"/>
      <c r="F248" s="57"/>
      <c r="G248" s="57"/>
      <c r="H248" s="57"/>
      <c r="I248" s="53"/>
      <c r="J248" s="57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6.5" customHeight="1">
      <c r="A249" s="54"/>
      <c r="B249" s="55"/>
      <c r="C249" s="56"/>
      <c r="D249" s="57"/>
      <c r="E249" s="57"/>
      <c r="F249" s="57"/>
      <c r="G249" s="57"/>
      <c r="H249" s="57"/>
      <c r="I249" s="53"/>
      <c r="J249" s="57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6.5" customHeight="1">
      <c r="A250" s="54"/>
      <c r="B250" s="55"/>
      <c r="C250" s="56"/>
      <c r="D250" s="57"/>
      <c r="E250" s="57"/>
      <c r="F250" s="57"/>
      <c r="G250" s="57"/>
      <c r="H250" s="57"/>
      <c r="I250" s="53"/>
      <c r="J250" s="57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6.5" customHeight="1">
      <c r="A251" s="54"/>
      <c r="B251" s="55"/>
      <c r="C251" s="56"/>
      <c r="D251" s="57"/>
      <c r="E251" s="57"/>
      <c r="F251" s="57"/>
      <c r="G251" s="57"/>
      <c r="H251" s="57"/>
      <c r="I251" s="53"/>
      <c r="J251" s="57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6.5" customHeight="1">
      <c r="A252" s="54"/>
      <c r="B252" s="55"/>
      <c r="C252" s="56"/>
      <c r="D252" s="57"/>
      <c r="E252" s="57"/>
      <c r="F252" s="57"/>
      <c r="G252" s="57"/>
      <c r="H252" s="57"/>
      <c r="I252" s="53"/>
      <c r="J252" s="57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6.5" customHeight="1">
      <c r="A253" s="54"/>
      <c r="B253" s="55"/>
      <c r="C253" s="56"/>
      <c r="D253" s="57"/>
      <c r="E253" s="57"/>
      <c r="F253" s="57"/>
      <c r="G253" s="57"/>
      <c r="H253" s="57"/>
      <c r="I253" s="53"/>
      <c r="J253" s="57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6.5" customHeight="1">
      <c r="A254" s="54"/>
      <c r="B254" s="55"/>
      <c r="C254" s="56"/>
      <c r="D254" s="57"/>
      <c r="E254" s="57"/>
      <c r="F254" s="57"/>
      <c r="G254" s="57"/>
      <c r="H254" s="57"/>
      <c r="I254" s="53"/>
      <c r="J254" s="57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ht="16.5" customHeight="1">
      <c r="A255" s="54"/>
      <c r="B255" s="55"/>
      <c r="C255" s="56"/>
      <c r="D255" s="57"/>
      <c r="E255" s="57"/>
      <c r="F255" s="57"/>
      <c r="G255" s="57"/>
      <c r="H255" s="57"/>
      <c r="I255" s="53"/>
      <c r="J255" s="57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ht="16.5" customHeight="1">
      <c r="A256" s="54"/>
      <c r="B256" s="55"/>
      <c r="C256" s="56"/>
      <c r="D256" s="57"/>
      <c r="E256" s="57"/>
      <c r="F256" s="57"/>
      <c r="G256" s="57"/>
      <c r="H256" s="57"/>
      <c r="I256" s="53"/>
      <c r="J256" s="57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ht="16.5" customHeight="1">
      <c r="A257" s="54"/>
      <c r="B257" s="55"/>
      <c r="C257" s="56"/>
      <c r="D257" s="57"/>
      <c r="E257" s="57"/>
      <c r="F257" s="57"/>
      <c r="G257" s="57"/>
      <c r="H257" s="57"/>
      <c r="I257" s="53"/>
      <c r="J257" s="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ht="16.5" customHeight="1">
      <c r="A258" s="54"/>
      <c r="B258" s="55"/>
      <c r="C258" s="56"/>
      <c r="D258" s="57"/>
      <c r="E258" s="57"/>
      <c r="F258" s="57"/>
      <c r="G258" s="57"/>
      <c r="H258" s="57"/>
      <c r="I258" s="53"/>
      <c r="J258" s="57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ht="16.5" customHeight="1">
      <c r="A259" s="54"/>
      <c r="B259" s="55"/>
      <c r="C259" s="56"/>
      <c r="D259" s="57"/>
      <c r="E259" s="57"/>
      <c r="F259" s="57"/>
      <c r="G259" s="57"/>
      <c r="H259" s="57"/>
      <c r="I259" s="53"/>
      <c r="J259" s="57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ht="16.5" customHeight="1">
      <c r="A260" s="54"/>
      <c r="B260" s="55"/>
      <c r="C260" s="56"/>
      <c r="D260" s="57"/>
      <c r="E260" s="57"/>
      <c r="F260" s="57"/>
      <c r="G260" s="57"/>
      <c r="H260" s="57"/>
      <c r="I260" s="53"/>
      <c r="J260" s="57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ht="16.5" customHeight="1">
      <c r="A261" s="54"/>
      <c r="B261" s="55"/>
      <c r="C261" s="56"/>
      <c r="D261" s="57"/>
      <c r="E261" s="57"/>
      <c r="F261" s="57"/>
      <c r="G261" s="57"/>
      <c r="H261" s="57"/>
      <c r="I261" s="53"/>
      <c r="J261" s="57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ht="16.5" customHeight="1">
      <c r="A262" s="54"/>
      <c r="B262" s="55"/>
      <c r="C262" s="56"/>
      <c r="D262" s="57"/>
      <c r="E262" s="57"/>
      <c r="F262" s="57"/>
      <c r="G262" s="57"/>
      <c r="H262" s="57"/>
      <c r="I262" s="53"/>
      <c r="J262" s="57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ht="16.5" customHeight="1">
      <c r="A263" s="54"/>
      <c r="B263" s="55"/>
      <c r="C263" s="56"/>
      <c r="D263" s="57"/>
      <c r="E263" s="57"/>
      <c r="F263" s="57"/>
      <c r="G263" s="57"/>
      <c r="H263" s="57"/>
      <c r="I263" s="53"/>
      <c r="J263" s="57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ht="16.5" customHeight="1">
      <c r="A264" s="54"/>
      <c r="B264" s="55"/>
      <c r="C264" s="56"/>
      <c r="D264" s="57"/>
      <c r="E264" s="57"/>
      <c r="F264" s="57"/>
      <c r="G264" s="57"/>
      <c r="H264" s="57"/>
      <c r="I264" s="53"/>
      <c r="J264" s="57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ht="16.5" customHeight="1">
      <c r="A265" s="54"/>
      <c r="B265" s="55"/>
      <c r="C265" s="56"/>
      <c r="D265" s="57"/>
      <c r="E265" s="57"/>
      <c r="F265" s="57"/>
      <c r="G265" s="57"/>
      <c r="H265" s="57"/>
      <c r="I265" s="53"/>
      <c r="J265" s="57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ht="16.5" customHeight="1">
      <c r="A266" s="54"/>
      <c r="B266" s="55"/>
      <c r="C266" s="56"/>
      <c r="D266" s="57"/>
      <c r="E266" s="57"/>
      <c r="F266" s="57"/>
      <c r="G266" s="57"/>
      <c r="H266" s="57"/>
      <c r="I266" s="53"/>
      <c r="J266" s="57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ht="16.5" customHeight="1">
      <c r="A267" s="54"/>
      <c r="B267" s="55"/>
      <c r="C267" s="56"/>
      <c r="D267" s="57"/>
      <c r="E267" s="57"/>
      <c r="F267" s="57"/>
      <c r="G267" s="57"/>
      <c r="H267" s="57"/>
      <c r="I267" s="53"/>
      <c r="J267" s="5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ht="16.5" customHeight="1">
      <c r="A268" s="54"/>
      <c r="B268" s="55"/>
      <c r="C268" s="56"/>
      <c r="D268" s="57"/>
      <c r="E268" s="57"/>
      <c r="F268" s="57"/>
      <c r="G268" s="57"/>
      <c r="H268" s="57"/>
      <c r="I268" s="53"/>
      <c r="J268" s="57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ht="16.5" customHeight="1">
      <c r="A269" s="54"/>
      <c r="B269" s="55"/>
      <c r="C269" s="56"/>
      <c r="D269" s="57"/>
      <c r="E269" s="57"/>
      <c r="F269" s="57"/>
      <c r="G269" s="57"/>
      <c r="H269" s="57"/>
      <c r="I269" s="53"/>
      <c r="J269" s="57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ht="16.5" customHeight="1">
      <c r="A270" s="54"/>
      <c r="B270" s="55"/>
      <c r="C270" s="56"/>
      <c r="D270" s="57"/>
      <c r="E270" s="57"/>
      <c r="F270" s="57"/>
      <c r="G270" s="57"/>
      <c r="H270" s="57"/>
      <c r="I270" s="53"/>
      <c r="J270" s="57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ht="16.5" customHeight="1">
      <c r="A271" s="54"/>
      <c r="B271" s="55"/>
      <c r="C271" s="56"/>
      <c r="D271" s="57"/>
      <c r="E271" s="57"/>
      <c r="F271" s="57"/>
      <c r="G271" s="57"/>
      <c r="H271" s="57"/>
      <c r="I271" s="53"/>
      <c r="J271" s="57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ht="16.5" customHeight="1">
      <c r="A272" s="54"/>
      <c r="B272" s="55"/>
      <c r="C272" s="56"/>
      <c r="D272" s="57"/>
      <c r="E272" s="57"/>
      <c r="F272" s="57"/>
      <c r="G272" s="57"/>
      <c r="H272" s="57"/>
      <c r="I272" s="53"/>
      <c r="J272" s="57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ht="16.5" customHeight="1">
      <c r="A273" s="54"/>
      <c r="B273" s="55"/>
      <c r="C273" s="56"/>
      <c r="D273" s="57"/>
      <c r="E273" s="57"/>
      <c r="F273" s="57"/>
      <c r="G273" s="57"/>
      <c r="H273" s="57"/>
      <c r="I273" s="53"/>
      <c r="J273" s="57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ht="16.5" customHeight="1">
      <c r="A274" s="54"/>
      <c r="B274" s="55"/>
      <c r="C274" s="56"/>
      <c r="D274" s="57"/>
      <c r="E274" s="57"/>
      <c r="F274" s="57"/>
      <c r="G274" s="57"/>
      <c r="H274" s="57"/>
      <c r="I274" s="53"/>
      <c r="J274" s="57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ht="16.5" customHeight="1">
      <c r="A275" s="54"/>
      <c r="B275" s="55"/>
      <c r="C275" s="56"/>
      <c r="D275" s="57"/>
      <c r="E275" s="57"/>
      <c r="F275" s="57"/>
      <c r="G275" s="57"/>
      <c r="H275" s="57"/>
      <c r="I275" s="53"/>
      <c r="J275" s="57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ht="16.5" customHeight="1">
      <c r="A276" s="54"/>
      <c r="B276" s="55"/>
      <c r="C276" s="56"/>
      <c r="D276" s="57"/>
      <c r="E276" s="57"/>
      <c r="F276" s="57"/>
      <c r="G276" s="57"/>
      <c r="H276" s="57"/>
      <c r="I276" s="53"/>
      <c r="J276" s="57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ht="16.5" customHeight="1">
      <c r="A277" s="54"/>
      <c r="B277" s="55"/>
      <c r="C277" s="56"/>
      <c r="D277" s="57"/>
      <c r="E277" s="57"/>
      <c r="F277" s="57"/>
      <c r="G277" s="57"/>
      <c r="H277" s="57"/>
      <c r="I277" s="53"/>
      <c r="J277" s="5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ht="16.5" customHeight="1">
      <c r="A278" s="54"/>
      <c r="B278" s="55"/>
      <c r="C278" s="56"/>
      <c r="D278" s="57"/>
      <c r="E278" s="57"/>
      <c r="F278" s="57"/>
      <c r="G278" s="57"/>
      <c r="H278" s="57"/>
      <c r="I278" s="53"/>
      <c r="J278" s="57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ht="16.5" customHeight="1">
      <c r="A279" s="54"/>
      <c r="B279" s="55"/>
      <c r="C279" s="56"/>
      <c r="D279" s="57"/>
      <c r="E279" s="57"/>
      <c r="F279" s="57"/>
      <c r="G279" s="57"/>
      <c r="H279" s="57"/>
      <c r="I279" s="53"/>
      <c r="J279" s="57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ht="16.5" customHeight="1">
      <c r="A280" s="54"/>
      <c r="B280" s="55"/>
      <c r="C280" s="56"/>
      <c r="D280" s="57"/>
      <c r="E280" s="57"/>
      <c r="F280" s="57"/>
      <c r="G280" s="57"/>
      <c r="H280" s="57"/>
      <c r="I280" s="53"/>
      <c r="J280" s="57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ht="16.5" customHeight="1">
      <c r="A281" s="54"/>
      <c r="B281" s="55"/>
      <c r="C281" s="56"/>
      <c r="D281" s="57"/>
      <c r="E281" s="57"/>
      <c r="F281" s="57"/>
      <c r="G281" s="57"/>
      <c r="H281" s="57"/>
      <c r="I281" s="53"/>
      <c r="J281" s="57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ht="16.5" customHeight="1">
      <c r="A282" s="54"/>
      <c r="B282" s="55"/>
      <c r="C282" s="56"/>
      <c r="D282" s="57"/>
      <c r="E282" s="57"/>
      <c r="F282" s="57"/>
      <c r="G282" s="57"/>
      <c r="H282" s="57"/>
      <c r="I282" s="53"/>
      <c r="J282" s="57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ht="16.5" customHeight="1">
      <c r="A283" s="54"/>
      <c r="B283" s="55"/>
      <c r="C283" s="56"/>
      <c r="D283" s="57"/>
      <c r="E283" s="57"/>
      <c r="F283" s="57"/>
      <c r="G283" s="57"/>
      <c r="H283" s="57"/>
      <c r="I283" s="53"/>
      <c r="J283" s="57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ht="16.5" customHeight="1">
      <c r="A284" s="54"/>
      <c r="B284" s="55"/>
      <c r="C284" s="56"/>
      <c r="D284" s="57"/>
      <c r="E284" s="57"/>
      <c r="F284" s="57"/>
      <c r="G284" s="57"/>
      <c r="H284" s="57"/>
      <c r="I284" s="53"/>
      <c r="J284" s="57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ht="16.5" customHeight="1">
      <c r="A285" s="54"/>
      <c r="B285" s="55"/>
      <c r="C285" s="56"/>
      <c r="D285" s="57"/>
      <c r="E285" s="57"/>
      <c r="F285" s="57"/>
      <c r="G285" s="57"/>
      <c r="H285" s="57"/>
      <c r="I285" s="53"/>
      <c r="J285" s="57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ht="16.5" customHeight="1">
      <c r="A286" s="54"/>
      <c r="B286" s="55"/>
      <c r="C286" s="56"/>
      <c r="D286" s="57"/>
      <c r="E286" s="57"/>
      <c r="F286" s="57"/>
      <c r="G286" s="57"/>
      <c r="H286" s="57"/>
      <c r="I286" s="53"/>
      <c r="J286" s="57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ht="16.5" customHeight="1">
      <c r="A287" s="54"/>
      <c r="B287" s="55"/>
      <c r="C287" s="56"/>
      <c r="D287" s="57"/>
      <c r="E287" s="57"/>
      <c r="F287" s="57"/>
      <c r="G287" s="57"/>
      <c r="H287" s="57"/>
      <c r="I287" s="53"/>
      <c r="J287" s="5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ht="16.5" customHeight="1">
      <c r="A288" s="54"/>
      <c r="B288" s="55"/>
      <c r="C288" s="56"/>
      <c r="D288" s="57"/>
      <c r="E288" s="57"/>
      <c r="F288" s="57"/>
      <c r="G288" s="57"/>
      <c r="H288" s="57"/>
      <c r="I288" s="53"/>
      <c r="J288" s="57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ht="16.5" customHeight="1">
      <c r="A289" s="54"/>
      <c r="B289" s="55"/>
      <c r="C289" s="56"/>
      <c r="D289" s="57"/>
      <c r="E289" s="57"/>
      <c r="F289" s="57"/>
      <c r="G289" s="57"/>
      <c r="H289" s="57"/>
      <c r="I289" s="53"/>
      <c r="J289" s="57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ht="16.5" customHeight="1">
      <c r="A290" s="54"/>
      <c r="B290" s="55"/>
      <c r="C290" s="56"/>
      <c r="D290" s="57"/>
      <c r="E290" s="57"/>
      <c r="F290" s="57"/>
      <c r="G290" s="57"/>
      <c r="H290" s="57"/>
      <c r="I290" s="53"/>
      <c r="J290" s="57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ht="16.5" customHeight="1">
      <c r="A291" s="54"/>
      <c r="B291" s="55"/>
      <c r="C291" s="56"/>
      <c r="D291" s="57"/>
      <c r="E291" s="57"/>
      <c r="F291" s="57"/>
      <c r="G291" s="57"/>
      <c r="H291" s="57"/>
      <c r="I291" s="53"/>
      <c r="J291" s="57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ht="16.5" customHeight="1">
      <c r="A292" s="54"/>
      <c r="B292" s="55"/>
      <c r="C292" s="56"/>
      <c r="D292" s="57"/>
      <c r="E292" s="57"/>
      <c r="F292" s="57"/>
      <c r="G292" s="57"/>
      <c r="H292" s="57"/>
      <c r="I292" s="53"/>
      <c r="J292" s="57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ht="16.5" customHeight="1">
      <c r="A293" s="54"/>
      <c r="B293" s="55"/>
      <c r="C293" s="56"/>
      <c r="D293" s="57"/>
      <c r="E293" s="57"/>
      <c r="F293" s="57"/>
      <c r="G293" s="57"/>
      <c r="H293" s="57"/>
      <c r="I293" s="53"/>
      <c r="J293" s="57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ht="16.5" customHeight="1">
      <c r="A294" s="54"/>
      <c r="B294" s="55"/>
      <c r="C294" s="56"/>
      <c r="D294" s="57"/>
      <c r="E294" s="57"/>
      <c r="F294" s="57"/>
      <c r="G294" s="57"/>
      <c r="H294" s="57"/>
      <c r="I294" s="53"/>
      <c r="J294" s="57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ht="16.5" customHeight="1">
      <c r="A295" s="54"/>
      <c r="B295" s="55"/>
      <c r="C295" s="56"/>
      <c r="D295" s="57"/>
      <c r="E295" s="57"/>
      <c r="F295" s="57"/>
      <c r="G295" s="57"/>
      <c r="H295" s="57"/>
      <c r="I295" s="53"/>
      <c r="J295" s="57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ht="16.5" customHeight="1">
      <c r="A296" s="54"/>
      <c r="B296" s="55"/>
      <c r="C296" s="56"/>
      <c r="D296" s="57"/>
      <c r="E296" s="57"/>
      <c r="F296" s="57"/>
      <c r="G296" s="57"/>
      <c r="H296" s="57"/>
      <c r="I296" s="53"/>
      <c r="J296" s="57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ht="16.5" customHeight="1">
      <c r="A297" s="54"/>
      <c r="B297" s="55"/>
      <c r="C297" s="56"/>
      <c r="D297" s="57"/>
      <c r="E297" s="57"/>
      <c r="F297" s="57"/>
      <c r="G297" s="57"/>
      <c r="H297" s="57"/>
      <c r="I297" s="53"/>
      <c r="J297" s="5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ht="16.5" customHeight="1">
      <c r="A298" s="54"/>
      <c r="B298" s="55"/>
      <c r="C298" s="56"/>
      <c r="D298" s="57"/>
      <c r="E298" s="57"/>
      <c r="F298" s="57"/>
      <c r="G298" s="57"/>
      <c r="H298" s="57"/>
      <c r="I298" s="53"/>
      <c r="J298" s="57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ht="16.5" customHeight="1">
      <c r="A299" s="54"/>
      <c r="B299" s="55"/>
      <c r="C299" s="56"/>
      <c r="D299" s="57"/>
      <c r="E299" s="57"/>
      <c r="F299" s="57"/>
      <c r="G299" s="57"/>
      <c r="H299" s="57"/>
      <c r="I299" s="53"/>
      <c r="J299" s="57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ht="16.5" customHeight="1">
      <c r="A300" s="54"/>
      <c r="B300" s="55"/>
      <c r="C300" s="56"/>
      <c r="D300" s="57"/>
      <c r="E300" s="57"/>
      <c r="F300" s="57"/>
      <c r="G300" s="57"/>
      <c r="H300" s="57"/>
      <c r="I300" s="53"/>
      <c r="J300" s="57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ht="16.5" customHeight="1">
      <c r="A301" s="54"/>
      <c r="B301" s="55"/>
      <c r="C301" s="56"/>
      <c r="D301" s="57"/>
      <c r="E301" s="57"/>
      <c r="F301" s="57"/>
      <c r="G301" s="57"/>
      <c r="H301" s="57"/>
      <c r="I301" s="53"/>
      <c r="J301" s="57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ht="16.5" customHeight="1">
      <c r="A302" s="54"/>
      <c r="B302" s="55"/>
      <c r="C302" s="56"/>
      <c r="D302" s="57"/>
      <c r="E302" s="57"/>
      <c r="F302" s="57"/>
      <c r="G302" s="57"/>
      <c r="H302" s="57"/>
      <c r="I302" s="53"/>
      <c r="J302" s="57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ht="16.5" customHeight="1">
      <c r="A303" s="54"/>
      <c r="B303" s="55"/>
      <c r="C303" s="56"/>
      <c r="D303" s="57"/>
      <c r="E303" s="57"/>
      <c r="F303" s="57"/>
      <c r="G303" s="57"/>
      <c r="H303" s="57"/>
      <c r="I303" s="53"/>
      <c r="J303" s="57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ht="16.5" customHeight="1">
      <c r="A304" s="54"/>
      <c r="B304" s="55"/>
      <c r="C304" s="56"/>
      <c r="D304" s="57"/>
      <c r="E304" s="57"/>
      <c r="F304" s="57"/>
      <c r="G304" s="57"/>
      <c r="H304" s="57"/>
      <c r="I304" s="53"/>
      <c r="J304" s="57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ht="16.5" customHeight="1">
      <c r="A305" s="54"/>
      <c r="B305" s="55"/>
      <c r="C305" s="56"/>
      <c r="D305" s="57"/>
      <c r="E305" s="57"/>
      <c r="F305" s="57"/>
      <c r="G305" s="57"/>
      <c r="H305" s="57"/>
      <c r="I305" s="53"/>
      <c r="J305" s="57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ht="16.5" customHeight="1">
      <c r="A306" s="54"/>
      <c r="B306" s="55"/>
      <c r="C306" s="56"/>
      <c r="D306" s="57"/>
      <c r="E306" s="57"/>
      <c r="F306" s="57"/>
      <c r="G306" s="57"/>
      <c r="H306" s="57"/>
      <c r="I306" s="53"/>
      <c r="J306" s="57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ht="16.5" customHeight="1">
      <c r="A307" s="54"/>
      <c r="B307" s="55"/>
      <c r="C307" s="56"/>
      <c r="D307" s="57"/>
      <c r="E307" s="57"/>
      <c r="F307" s="57"/>
      <c r="G307" s="57"/>
      <c r="H307" s="57"/>
      <c r="I307" s="53"/>
      <c r="J307" s="5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ht="16.5" customHeight="1">
      <c r="A308" s="54"/>
      <c r="B308" s="55"/>
      <c r="C308" s="56"/>
      <c r="D308" s="57"/>
      <c r="E308" s="57"/>
      <c r="F308" s="57"/>
      <c r="G308" s="57"/>
      <c r="H308" s="57"/>
      <c r="I308" s="53"/>
      <c r="J308" s="57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ht="16.5" customHeight="1">
      <c r="A309" s="54"/>
      <c r="B309" s="55"/>
      <c r="C309" s="56"/>
      <c r="D309" s="57"/>
      <c r="E309" s="57"/>
      <c r="F309" s="57"/>
      <c r="G309" s="57"/>
      <c r="H309" s="57"/>
      <c r="I309" s="53"/>
      <c r="J309" s="57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ht="16.5" customHeight="1">
      <c r="A310" s="54"/>
      <c r="B310" s="55"/>
      <c r="C310" s="56"/>
      <c r="D310" s="57"/>
      <c r="E310" s="57"/>
      <c r="F310" s="57"/>
      <c r="G310" s="57"/>
      <c r="H310" s="57"/>
      <c r="I310" s="53"/>
      <c r="J310" s="57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ht="16.5" customHeight="1">
      <c r="A311" s="54"/>
      <c r="B311" s="55"/>
      <c r="C311" s="56"/>
      <c r="D311" s="57"/>
      <c r="E311" s="57"/>
      <c r="F311" s="57"/>
      <c r="G311" s="57"/>
      <c r="H311" s="57"/>
      <c r="I311" s="53"/>
      <c r="J311" s="57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ht="16.5" customHeight="1">
      <c r="A312" s="54"/>
      <c r="B312" s="55"/>
      <c r="C312" s="56"/>
      <c r="D312" s="57"/>
      <c r="E312" s="57"/>
      <c r="F312" s="57"/>
      <c r="G312" s="57"/>
      <c r="H312" s="57"/>
      <c r="I312" s="53"/>
      <c r="J312" s="57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ht="16.5" customHeight="1">
      <c r="A313" s="54"/>
      <c r="B313" s="55"/>
      <c r="C313" s="56"/>
      <c r="D313" s="57"/>
      <c r="E313" s="57"/>
      <c r="F313" s="57"/>
      <c r="G313" s="57"/>
      <c r="H313" s="57"/>
      <c r="I313" s="53"/>
      <c r="J313" s="57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ht="16.5" customHeight="1">
      <c r="A314" s="54"/>
      <c r="B314" s="55"/>
      <c r="C314" s="56"/>
      <c r="D314" s="57"/>
      <c r="E314" s="57"/>
      <c r="F314" s="57"/>
      <c r="G314" s="57"/>
      <c r="H314" s="57"/>
      <c r="I314" s="53"/>
      <c r="J314" s="57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ht="16.5" customHeight="1">
      <c r="A315" s="54"/>
      <c r="B315" s="55"/>
      <c r="C315" s="56"/>
      <c r="D315" s="57"/>
      <c r="E315" s="57"/>
      <c r="F315" s="57"/>
      <c r="G315" s="57"/>
      <c r="H315" s="57"/>
      <c r="I315" s="53"/>
      <c r="J315" s="57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ht="16.5" customHeight="1">
      <c r="A316" s="54"/>
      <c r="B316" s="55"/>
      <c r="C316" s="56"/>
      <c r="D316" s="57"/>
      <c r="E316" s="57"/>
      <c r="F316" s="57"/>
      <c r="G316" s="57"/>
      <c r="H316" s="57"/>
      <c r="I316" s="53"/>
      <c r="J316" s="57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ht="16.5" customHeight="1">
      <c r="A317" s="54"/>
      <c r="B317" s="55"/>
      <c r="C317" s="56"/>
      <c r="D317" s="57"/>
      <c r="E317" s="57"/>
      <c r="F317" s="57"/>
      <c r="G317" s="57"/>
      <c r="H317" s="57"/>
      <c r="I317" s="53"/>
      <c r="J317" s="5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ht="16.5" customHeight="1">
      <c r="A318" s="54"/>
      <c r="B318" s="55"/>
      <c r="C318" s="56"/>
      <c r="D318" s="57"/>
      <c r="E318" s="57"/>
      <c r="F318" s="57"/>
      <c r="G318" s="57"/>
      <c r="H318" s="57"/>
      <c r="I318" s="53"/>
      <c r="J318" s="57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ht="16.5" customHeight="1">
      <c r="A319" s="54"/>
      <c r="B319" s="55"/>
      <c r="C319" s="56"/>
      <c r="D319" s="57"/>
      <c r="E319" s="57"/>
      <c r="F319" s="57"/>
      <c r="G319" s="57"/>
      <c r="H319" s="57"/>
      <c r="I319" s="53"/>
      <c r="J319" s="57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ht="16.5" customHeight="1">
      <c r="A320" s="54"/>
      <c r="B320" s="55"/>
      <c r="C320" s="56"/>
      <c r="D320" s="57"/>
      <c r="E320" s="57"/>
      <c r="F320" s="57"/>
      <c r="G320" s="57"/>
      <c r="H320" s="57"/>
      <c r="I320" s="53"/>
      <c r="J320" s="57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ht="16.5" customHeight="1">
      <c r="A321" s="54"/>
      <c r="B321" s="55"/>
      <c r="C321" s="56"/>
      <c r="D321" s="57"/>
      <c r="E321" s="57"/>
      <c r="F321" s="57"/>
      <c r="G321" s="57"/>
      <c r="H321" s="57"/>
      <c r="I321" s="53"/>
      <c r="J321" s="57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ht="16.5" customHeight="1">
      <c r="A322" s="54"/>
      <c r="B322" s="55"/>
      <c r="C322" s="56"/>
      <c r="D322" s="57"/>
      <c r="E322" s="57"/>
      <c r="F322" s="57"/>
      <c r="G322" s="57"/>
      <c r="H322" s="57"/>
      <c r="I322" s="53"/>
      <c r="J322" s="57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ht="16.5" customHeight="1">
      <c r="A323" s="54"/>
      <c r="B323" s="55"/>
      <c r="C323" s="56"/>
      <c r="D323" s="57"/>
      <c r="E323" s="57"/>
      <c r="F323" s="57"/>
      <c r="G323" s="57"/>
      <c r="H323" s="57"/>
      <c r="I323" s="53"/>
      <c r="J323" s="57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ht="16.5" customHeight="1">
      <c r="A324" s="54"/>
      <c r="B324" s="55"/>
      <c r="C324" s="56"/>
      <c r="D324" s="57"/>
      <c r="E324" s="57"/>
      <c r="F324" s="57"/>
      <c r="G324" s="57"/>
      <c r="H324" s="57"/>
      <c r="I324" s="53"/>
      <c r="J324" s="57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ht="16.5" customHeight="1">
      <c r="A325" s="54"/>
      <c r="B325" s="55"/>
      <c r="C325" s="56"/>
      <c r="D325" s="57"/>
      <c r="E325" s="57"/>
      <c r="F325" s="57"/>
      <c r="G325" s="57"/>
      <c r="H325" s="57"/>
      <c r="I325" s="53"/>
      <c r="J325" s="57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ht="16.5" customHeight="1">
      <c r="A326" s="54"/>
      <c r="B326" s="55"/>
      <c r="C326" s="56"/>
      <c r="D326" s="57"/>
      <c r="E326" s="57"/>
      <c r="F326" s="57"/>
      <c r="G326" s="57"/>
      <c r="H326" s="57"/>
      <c r="I326" s="53"/>
      <c r="J326" s="57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ht="16.5" customHeight="1">
      <c r="A327" s="54"/>
      <c r="B327" s="55"/>
      <c r="C327" s="56"/>
      <c r="D327" s="57"/>
      <c r="E327" s="57"/>
      <c r="F327" s="57"/>
      <c r="G327" s="57"/>
      <c r="H327" s="57"/>
      <c r="I327" s="53"/>
      <c r="J327" s="5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ht="16.5" customHeight="1">
      <c r="A328" s="54"/>
      <c r="B328" s="55"/>
      <c r="C328" s="56"/>
      <c r="D328" s="57"/>
      <c r="E328" s="57"/>
      <c r="F328" s="57"/>
      <c r="G328" s="57"/>
      <c r="H328" s="57"/>
      <c r="I328" s="53"/>
      <c r="J328" s="57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ht="16.5" customHeight="1">
      <c r="A329" s="54"/>
      <c r="B329" s="55"/>
      <c r="C329" s="56"/>
      <c r="D329" s="57"/>
      <c r="E329" s="57"/>
      <c r="F329" s="57"/>
      <c r="G329" s="57"/>
      <c r="H329" s="57"/>
      <c r="I329" s="53"/>
      <c r="J329" s="57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ht="16.5" customHeight="1">
      <c r="A330" s="54"/>
      <c r="B330" s="55"/>
      <c r="C330" s="56"/>
      <c r="D330" s="57"/>
      <c r="E330" s="57"/>
      <c r="F330" s="57"/>
      <c r="G330" s="57"/>
      <c r="H330" s="57"/>
      <c r="I330" s="53"/>
      <c r="J330" s="57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ht="16.5" customHeight="1">
      <c r="A331" s="54"/>
      <c r="B331" s="55"/>
      <c r="C331" s="56"/>
      <c r="D331" s="57"/>
      <c r="E331" s="57"/>
      <c r="F331" s="57"/>
      <c r="G331" s="57"/>
      <c r="H331" s="57"/>
      <c r="I331" s="53"/>
      <c r="J331" s="57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ht="16.5" customHeight="1">
      <c r="A332" s="54"/>
      <c r="B332" s="55"/>
      <c r="C332" s="56"/>
      <c r="D332" s="57"/>
      <c r="E332" s="57"/>
      <c r="F332" s="57"/>
      <c r="G332" s="57"/>
      <c r="H332" s="57"/>
      <c r="I332" s="53"/>
      <c r="J332" s="57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ht="16.5" customHeight="1">
      <c r="A333" s="54"/>
      <c r="B333" s="55"/>
      <c r="C333" s="56"/>
      <c r="D333" s="57"/>
      <c r="E333" s="57"/>
      <c r="F333" s="57"/>
      <c r="G333" s="57"/>
      <c r="H333" s="57"/>
      <c r="I333" s="53"/>
      <c r="J333" s="57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ht="16.5" customHeight="1">
      <c r="A334" s="54"/>
      <c r="B334" s="55"/>
      <c r="C334" s="56"/>
      <c r="D334" s="57"/>
      <c r="E334" s="57"/>
      <c r="F334" s="57"/>
      <c r="G334" s="57"/>
      <c r="H334" s="57"/>
      <c r="I334" s="53"/>
      <c r="J334" s="57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ht="16.5" customHeight="1">
      <c r="A335" s="54"/>
      <c r="B335" s="55"/>
      <c r="C335" s="56"/>
      <c r="D335" s="57"/>
      <c r="E335" s="57"/>
      <c r="F335" s="57"/>
      <c r="G335" s="57"/>
      <c r="H335" s="57"/>
      <c r="I335" s="53"/>
      <c r="J335" s="57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ht="16.5" customHeight="1">
      <c r="A336" s="54"/>
      <c r="B336" s="55"/>
      <c r="C336" s="56"/>
      <c r="D336" s="57"/>
      <c r="E336" s="57"/>
      <c r="F336" s="57"/>
      <c r="G336" s="57"/>
      <c r="H336" s="57"/>
      <c r="I336" s="53"/>
      <c r="J336" s="57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ht="16.5" customHeight="1">
      <c r="A337" s="54"/>
      <c r="B337" s="55"/>
      <c r="C337" s="56"/>
      <c r="D337" s="57"/>
      <c r="E337" s="57"/>
      <c r="F337" s="57"/>
      <c r="G337" s="57"/>
      <c r="H337" s="57"/>
      <c r="I337" s="53"/>
      <c r="J337" s="5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ht="16.5" customHeight="1">
      <c r="A338" s="54"/>
      <c r="B338" s="55"/>
      <c r="C338" s="56"/>
      <c r="D338" s="57"/>
      <c r="E338" s="57"/>
      <c r="F338" s="57"/>
      <c r="G338" s="57"/>
      <c r="H338" s="57"/>
      <c r="I338" s="53"/>
      <c r="J338" s="57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ht="16.5" customHeight="1">
      <c r="A339" s="54"/>
      <c r="B339" s="55"/>
      <c r="C339" s="56"/>
      <c r="D339" s="57"/>
      <c r="E339" s="57"/>
      <c r="F339" s="57"/>
      <c r="G339" s="57"/>
      <c r="H339" s="57"/>
      <c r="I339" s="53"/>
      <c r="J339" s="57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ht="16.5" customHeight="1">
      <c r="A340" s="54"/>
      <c r="B340" s="55"/>
      <c r="C340" s="56"/>
      <c r="D340" s="57"/>
      <c r="E340" s="57"/>
      <c r="F340" s="57"/>
      <c r="G340" s="57"/>
      <c r="H340" s="57"/>
      <c r="I340" s="53"/>
      <c r="J340" s="57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ht="16.5" customHeight="1">
      <c r="A341" s="54"/>
      <c r="B341" s="55"/>
      <c r="C341" s="56"/>
      <c r="D341" s="57"/>
      <c r="E341" s="57"/>
      <c r="F341" s="57"/>
      <c r="G341" s="57"/>
      <c r="H341" s="57"/>
      <c r="I341" s="53"/>
      <c r="J341" s="57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ht="16.5" customHeight="1">
      <c r="A342" s="54"/>
      <c r="B342" s="55"/>
      <c r="C342" s="56"/>
      <c r="D342" s="57"/>
      <c r="E342" s="57"/>
      <c r="F342" s="57"/>
      <c r="G342" s="57"/>
      <c r="H342" s="57"/>
      <c r="I342" s="53"/>
      <c r="J342" s="57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ht="16.5" customHeight="1">
      <c r="A343" s="54"/>
      <c r="B343" s="55"/>
      <c r="C343" s="56"/>
      <c r="D343" s="57"/>
      <c r="E343" s="57"/>
      <c r="F343" s="57"/>
      <c r="G343" s="57"/>
      <c r="H343" s="57"/>
      <c r="I343" s="53"/>
      <c r="J343" s="57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ht="16.5" customHeight="1">
      <c r="A344" s="54"/>
      <c r="B344" s="55"/>
      <c r="C344" s="56"/>
      <c r="D344" s="57"/>
      <c r="E344" s="57"/>
      <c r="F344" s="57"/>
      <c r="G344" s="57"/>
      <c r="H344" s="57"/>
      <c r="I344" s="53"/>
      <c r="J344" s="57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ht="16.5" customHeight="1">
      <c r="A345" s="54"/>
      <c r="B345" s="55"/>
      <c r="C345" s="56"/>
      <c r="D345" s="57"/>
      <c r="E345" s="57"/>
      <c r="F345" s="57"/>
      <c r="G345" s="57"/>
      <c r="H345" s="57"/>
      <c r="I345" s="53"/>
      <c r="J345" s="57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ht="16.5" customHeight="1">
      <c r="A346" s="54"/>
      <c r="B346" s="55"/>
      <c r="C346" s="56"/>
      <c r="D346" s="57"/>
      <c r="E346" s="57"/>
      <c r="F346" s="57"/>
      <c r="G346" s="57"/>
      <c r="H346" s="57"/>
      <c r="I346" s="53"/>
      <c r="J346" s="57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ht="16.5" customHeight="1">
      <c r="A347" s="54"/>
      <c r="B347" s="55"/>
      <c r="C347" s="56"/>
      <c r="D347" s="57"/>
      <c r="E347" s="57"/>
      <c r="F347" s="57"/>
      <c r="G347" s="57"/>
      <c r="H347" s="57"/>
      <c r="I347" s="53"/>
      <c r="J347" s="5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ht="16.5" customHeight="1">
      <c r="A348" s="54"/>
      <c r="B348" s="55"/>
      <c r="C348" s="56"/>
      <c r="D348" s="57"/>
      <c r="E348" s="57"/>
      <c r="F348" s="57"/>
      <c r="G348" s="57"/>
      <c r="H348" s="57"/>
      <c r="I348" s="53"/>
      <c r="J348" s="57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ht="16.5" customHeight="1">
      <c r="A349" s="54"/>
      <c r="B349" s="55"/>
      <c r="C349" s="56"/>
      <c r="D349" s="57"/>
      <c r="E349" s="57"/>
      <c r="F349" s="57"/>
      <c r="G349" s="57"/>
      <c r="H349" s="57"/>
      <c r="I349" s="53"/>
      <c r="J349" s="57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ht="16.5" customHeight="1">
      <c r="A350" s="54"/>
      <c r="B350" s="55"/>
      <c r="C350" s="56"/>
      <c r="D350" s="57"/>
      <c r="E350" s="57"/>
      <c r="F350" s="57"/>
      <c r="G350" s="57"/>
      <c r="H350" s="57"/>
      <c r="I350" s="53"/>
      <c r="J350" s="57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ht="16.5" customHeight="1">
      <c r="A351" s="54"/>
      <c r="B351" s="55"/>
      <c r="C351" s="56"/>
      <c r="D351" s="57"/>
      <c r="E351" s="57"/>
      <c r="F351" s="57"/>
      <c r="G351" s="57"/>
      <c r="H351" s="57"/>
      <c r="I351" s="53"/>
      <c r="J351" s="57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ht="16.5" customHeight="1">
      <c r="A352" s="54"/>
      <c r="B352" s="55"/>
      <c r="C352" s="56"/>
      <c r="D352" s="57"/>
      <c r="E352" s="57"/>
      <c r="F352" s="57"/>
      <c r="G352" s="57"/>
      <c r="H352" s="57"/>
      <c r="I352" s="53"/>
      <c r="J352" s="57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ht="16.5" customHeight="1">
      <c r="A353" s="54"/>
      <c r="B353" s="55"/>
      <c r="C353" s="56"/>
      <c r="D353" s="57"/>
      <c r="E353" s="57"/>
      <c r="F353" s="57"/>
      <c r="G353" s="57"/>
      <c r="H353" s="57"/>
      <c r="I353" s="53"/>
      <c r="J353" s="57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ht="16.5" customHeight="1">
      <c r="A354" s="54"/>
      <c r="B354" s="55"/>
      <c r="C354" s="56"/>
      <c r="D354" s="57"/>
      <c r="E354" s="57"/>
      <c r="F354" s="57"/>
      <c r="G354" s="57"/>
      <c r="H354" s="57"/>
      <c r="I354" s="53"/>
      <c r="J354" s="57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ht="16.5" customHeight="1">
      <c r="A355" s="54"/>
      <c r="B355" s="55"/>
      <c r="C355" s="56"/>
      <c r="D355" s="57"/>
      <c r="E355" s="57"/>
      <c r="F355" s="57"/>
      <c r="G355" s="57"/>
      <c r="H355" s="57"/>
      <c r="I355" s="53"/>
      <c r="J355" s="57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ht="16.5" customHeight="1">
      <c r="A356" s="54"/>
      <c r="B356" s="55"/>
      <c r="C356" s="56"/>
      <c r="D356" s="57"/>
      <c r="E356" s="57"/>
      <c r="F356" s="57"/>
      <c r="G356" s="57"/>
      <c r="H356" s="57"/>
      <c r="I356" s="53"/>
      <c r="J356" s="57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ht="16.5" customHeight="1">
      <c r="A357" s="54"/>
      <c r="B357" s="55"/>
      <c r="C357" s="56"/>
      <c r="D357" s="57"/>
      <c r="E357" s="57"/>
      <c r="F357" s="57"/>
      <c r="G357" s="57"/>
      <c r="H357" s="57"/>
      <c r="I357" s="53"/>
      <c r="J357" s="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ht="16.5" customHeight="1">
      <c r="A358" s="54"/>
      <c r="B358" s="55"/>
      <c r="C358" s="56"/>
      <c r="D358" s="57"/>
      <c r="E358" s="57"/>
      <c r="F358" s="57"/>
      <c r="G358" s="57"/>
      <c r="H358" s="57"/>
      <c r="I358" s="53"/>
      <c r="J358" s="57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ht="16.5" customHeight="1">
      <c r="A359" s="54"/>
      <c r="B359" s="55"/>
      <c r="C359" s="56"/>
      <c r="D359" s="57"/>
      <c r="E359" s="57"/>
      <c r="F359" s="57"/>
      <c r="G359" s="57"/>
      <c r="H359" s="57"/>
      <c r="I359" s="53"/>
      <c r="J359" s="57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ht="16.5" customHeight="1">
      <c r="A360" s="54"/>
      <c r="B360" s="55"/>
      <c r="C360" s="56"/>
      <c r="D360" s="57"/>
      <c r="E360" s="57"/>
      <c r="F360" s="57"/>
      <c r="G360" s="57"/>
      <c r="H360" s="57"/>
      <c r="I360" s="53"/>
      <c r="J360" s="57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ht="16.5" customHeight="1">
      <c r="A361" s="54"/>
      <c r="B361" s="55"/>
      <c r="C361" s="56"/>
      <c r="D361" s="57"/>
      <c r="E361" s="57"/>
      <c r="F361" s="57"/>
      <c r="G361" s="57"/>
      <c r="H361" s="57"/>
      <c r="I361" s="53"/>
      <c r="J361" s="57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ht="16.5" customHeight="1">
      <c r="A362" s="54"/>
      <c r="B362" s="55"/>
      <c r="C362" s="56"/>
      <c r="D362" s="57"/>
      <c r="E362" s="57"/>
      <c r="F362" s="57"/>
      <c r="G362" s="57"/>
      <c r="H362" s="57"/>
      <c r="I362" s="53"/>
      <c r="J362" s="57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ht="16.5" customHeight="1">
      <c r="A363" s="54"/>
      <c r="B363" s="55"/>
      <c r="C363" s="56"/>
      <c r="D363" s="57"/>
      <c r="E363" s="57"/>
      <c r="F363" s="57"/>
      <c r="G363" s="57"/>
      <c r="H363" s="57"/>
      <c r="I363" s="53"/>
      <c r="J363" s="57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ht="16.5" customHeight="1">
      <c r="A364" s="54"/>
      <c r="B364" s="55"/>
      <c r="C364" s="56"/>
      <c r="D364" s="57"/>
      <c r="E364" s="57"/>
      <c r="F364" s="57"/>
      <c r="G364" s="57"/>
      <c r="H364" s="57"/>
      <c r="I364" s="53"/>
      <c r="J364" s="57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ht="16.5" customHeight="1">
      <c r="A365" s="54"/>
      <c r="B365" s="55"/>
      <c r="C365" s="56"/>
      <c r="D365" s="57"/>
      <c r="E365" s="57"/>
      <c r="F365" s="57"/>
      <c r="G365" s="57"/>
      <c r="H365" s="57"/>
      <c r="I365" s="53"/>
      <c r="J365" s="57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ht="16.5" customHeight="1">
      <c r="A366" s="54"/>
      <c r="B366" s="55"/>
      <c r="C366" s="56"/>
      <c r="D366" s="57"/>
      <c r="E366" s="57"/>
      <c r="F366" s="57"/>
      <c r="G366" s="57"/>
      <c r="H366" s="57"/>
      <c r="I366" s="53"/>
      <c r="J366" s="57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ht="16.5" customHeight="1">
      <c r="A367" s="54"/>
      <c r="B367" s="55"/>
      <c r="C367" s="56"/>
      <c r="D367" s="57"/>
      <c r="E367" s="57"/>
      <c r="F367" s="57"/>
      <c r="G367" s="57"/>
      <c r="H367" s="57"/>
      <c r="I367" s="53"/>
      <c r="J367" s="5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ht="16.5" customHeight="1">
      <c r="A368" s="54"/>
      <c r="B368" s="55"/>
      <c r="C368" s="56"/>
      <c r="D368" s="57"/>
      <c r="E368" s="57"/>
      <c r="F368" s="57"/>
      <c r="G368" s="57"/>
      <c r="H368" s="57"/>
      <c r="I368" s="53"/>
      <c r="J368" s="57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ht="16.5" customHeight="1">
      <c r="A369" s="54"/>
      <c r="B369" s="55"/>
      <c r="C369" s="56"/>
      <c r="D369" s="57"/>
      <c r="E369" s="57"/>
      <c r="F369" s="57"/>
      <c r="G369" s="57"/>
      <c r="H369" s="57"/>
      <c r="I369" s="53"/>
      <c r="J369" s="57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ht="16.5" customHeight="1">
      <c r="A370" s="54"/>
      <c r="B370" s="55"/>
      <c r="C370" s="56"/>
      <c r="D370" s="57"/>
      <c r="E370" s="57"/>
      <c r="F370" s="57"/>
      <c r="G370" s="57"/>
      <c r="H370" s="57"/>
      <c r="I370" s="53"/>
      <c r="J370" s="57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ht="16.5" customHeight="1">
      <c r="A371" s="54"/>
      <c r="B371" s="55"/>
      <c r="C371" s="56"/>
      <c r="D371" s="57"/>
      <c r="E371" s="57"/>
      <c r="F371" s="57"/>
      <c r="G371" s="57"/>
      <c r="H371" s="57"/>
      <c r="I371" s="53"/>
      <c r="J371" s="57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ht="16.5" customHeight="1">
      <c r="A372" s="54"/>
      <c r="B372" s="55"/>
      <c r="C372" s="56"/>
      <c r="D372" s="57"/>
      <c r="E372" s="57"/>
      <c r="F372" s="57"/>
      <c r="G372" s="57"/>
      <c r="H372" s="57"/>
      <c r="I372" s="53"/>
      <c r="J372" s="57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ht="16.5" customHeight="1">
      <c r="A373" s="54"/>
      <c r="B373" s="55"/>
      <c r="C373" s="56"/>
      <c r="D373" s="57"/>
      <c r="E373" s="57"/>
      <c r="F373" s="57"/>
      <c r="G373" s="57"/>
      <c r="H373" s="57"/>
      <c r="I373" s="53"/>
      <c r="J373" s="57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ht="16.5" customHeight="1">
      <c r="A374" s="54"/>
      <c r="B374" s="55"/>
      <c r="C374" s="56"/>
      <c r="D374" s="57"/>
      <c r="E374" s="57"/>
      <c r="F374" s="57"/>
      <c r="G374" s="57"/>
      <c r="H374" s="57"/>
      <c r="I374" s="53"/>
      <c r="J374" s="57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ht="16.5" customHeight="1">
      <c r="A375" s="54"/>
      <c r="B375" s="55"/>
      <c r="C375" s="56"/>
      <c r="D375" s="57"/>
      <c r="E375" s="57"/>
      <c r="F375" s="57"/>
      <c r="G375" s="57"/>
      <c r="H375" s="57"/>
      <c r="I375" s="53"/>
      <c r="J375" s="57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ht="16.5" customHeight="1">
      <c r="A376" s="54"/>
      <c r="B376" s="55"/>
      <c r="C376" s="56"/>
      <c r="D376" s="57"/>
      <c r="E376" s="57"/>
      <c r="F376" s="57"/>
      <c r="G376" s="57"/>
      <c r="H376" s="57"/>
      <c r="I376" s="53"/>
      <c r="J376" s="57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ht="16.5" customHeight="1">
      <c r="A377" s="54"/>
      <c r="B377" s="55"/>
      <c r="C377" s="56"/>
      <c r="D377" s="57"/>
      <c r="E377" s="57"/>
      <c r="F377" s="57"/>
      <c r="G377" s="57"/>
      <c r="H377" s="57"/>
      <c r="I377" s="53"/>
      <c r="J377" s="5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ht="16.5" customHeight="1">
      <c r="A378" s="54"/>
      <c r="B378" s="55"/>
      <c r="C378" s="56"/>
      <c r="D378" s="57"/>
      <c r="E378" s="57"/>
      <c r="F378" s="57"/>
      <c r="G378" s="57"/>
      <c r="H378" s="57"/>
      <c r="I378" s="53"/>
      <c r="J378" s="57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ht="16.5" customHeight="1">
      <c r="A379" s="54"/>
      <c r="B379" s="55"/>
      <c r="C379" s="56"/>
      <c r="D379" s="57"/>
      <c r="E379" s="57"/>
      <c r="F379" s="57"/>
      <c r="G379" s="57"/>
      <c r="H379" s="57"/>
      <c r="I379" s="53"/>
      <c r="J379" s="57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ht="16.5" customHeight="1">
      <c r="A380" s="54"/>
      <c r="B380" s="55"/>
      <c r="C380" s="56"/>
      <c r="D380" s="57"/>
      <c r="E380" s="57"/>
      <c r="F380" s="57"/>
      <c r="G380" s="57"/>
      <c r="H380" s="57"/>
      <c r="I380" s="53"/>
      <c r="J380" s="57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ht="16.5" customHeight="1">
      <c r="A381" s="54"/>
      <c r="B381" s="55"/>
      <c r="C381" s="56"/>
      <c r="D381" s="57"/>
      <c r="E381" s="57"/>
      <c r="F381" s="57"/>
      <c r="G381" s="57"/>
      <c r="H381" s="57"/>
      <c r="I381" s="53"/>
      <c r="J381" s="57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ht="16.5" customHeight="1">
      <c r="A382" s="54"/>
      <c r="B382" s="55"/>
      <c r="C382" s="56"/>
      <c r="D382" s="57"/>
      <c r="E382" s="57"/>
      <c r="F382" s="57"/>
      <c r="G382" s="57"/>
      <c r="H382" s="57"/>
      <c r="I382" s="53"/>
      <c r="J382" s="57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ht="16.5" customHeight="1">
      <c r="A383" s="54"/>
      <c r="B383" s="55"/>
      <c r="C383" s="56"/>
      <c r="D383" s="57"/>
      <c r="E383" s="57"/>
      <c r="F383" s="57"/>
      <c r="G383" s="57"/>
      <c r="H383" s="57"/>
      <c r="I383" s="53"/>
      <c r="J383" s="57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ht="16.5" customHeight="1">
      <c r="A384" s="54"/>
      <c r="B384" s="55"/>
      <c r="C384" s="56"/>
      <c r="D384" s="57"/>
      <c r="E384" s="57"/>
      <c r="F384" s="57"/>
      <c r="G384" s="57"/>
      <c r="H384" s="57"/>
      <c r="I384" s="53"/>
      <c r="J384" s="57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ht="16.5" customHeight="1">
      <c r="A385" s="54"/>
      <c r="B385" s="55"/>
      <c r="C385" s="56"/>
      <c r="D385" s="57"/>
      <c r="E385" s="57"/>
      <c r="F385" s="57"/>
      <c r="G385" s="57"/>
      <c r="H385" s="57"/>
      <c r="I385" s="53"/>
      <c r="J385" s="57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ht="16.5" customHeight="1">
      <c r="A386" s="54"/>
      <c r="B386" s="55"/>
      <c r="C386" s="56"/>
      <c r="D386" s="57"/>
      <c r="E386" s="57"/>
      <c r="F386" s="57"/>
      <c r="G386" s="57"/>
      <c r="H386" s="57"/>
      <c r="I386" s="53"/>
      <c r="J386" s="57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ht="16.5" customHeight="1">
      <c r="A387" s="54"/>
      <c r="B387" s="55"/>
      <c r="C387" s="56"/>
      <c r="D387" s="57"/>
      <c r="E387" s="57"/>
      <c r="F387" s="57"/>
      <c r="G387" s="57"/>
      <c r="H387" s="57"/>
      <c r="I387" s="53"/>
      <c r="J387" s="5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ht="16.5" customHeight="1">
      <c r="A388" s="54"/>
      <c r="B388" s="55"/>
      <c r="C388" s="56"/>
      <c r="D388" s="57"/>
      <c r="E388" s="57"/>
      <c r="F388" s="57"/>
      <c r="G388" s="57"/>
      <c r="H388" s="57"/>
      <c r="I388" s="53"/>
      <c r="J388" s="57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ht="16.5" customHeight="1">
      <c r="A389" s="54"/>
      <c r="B389" s="55"/>
      <c r="C389" s="56"/>
      <c r="D389" s="57"/>
      <c r="E389" s="57"/>
      <c r="F389" s="57"/>
      <c r="G389" s="57"/>
      <c r="H389" s="57"/>
      <c r="I389" s="53"/>
      <c r="J389" s="57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ht="16.5" customHeight="1">
      <c r="A390" s="54"/>
      <c r="B390" s="55"/>
      <c r="C390" s="56"/>
      <c r="D390" s="57"/>
      <c r="E390" s="57"/>
      <c r="F390" s="57"/>
      <c r="G390" s="57"/>
      <c r="H390" s="57"/>
      <c r="I390" s="53"/>
      <c r="J390" s="57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ht="16.5" customHeight="1">
      <c r="A391" s="54"/>
      <c r="B391" s="55"/>
      <c r="C391" s="56"/>
      <c r="D391" s="57"/>
      <c r="E391" s="57"/>
      <c r="F391" s="57"/>
      <c r="G391" s="57"/>
      <c r="H391" s="57"/>
      <c r="I391" s="53"/>
      <c r="J391" s="57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ht="16.5" customHeight="1">
      <c r="A392" s="54"/>
      <c r="B392" s="55"/>
      <c r="C392" s="56"/>
      <c r="D392" s="57"/>
      <c r="E392" s="57"/>
      <c r="F392" s="57"/>
      <c r="G392" s="57"/>
      <c r="H392" s="57"/>
      <c r="I392" s="53"/>
      <c r="J392" s="57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ht="16.5" customHeight="1">
      <c r="A393" s="54"/>
      <c r="B393" s="55"/>
      <c r="C393" s="56"/>
      <c r="D393" s="57"/>
      <c r="E393" s="57"/>
      <c r="F393" s="57"/>
      <c r="G393" s="57"/>
      <c r="H393" s="57"/>
      <c r="I393" s="53"/>
      <c r="J393" s="57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ht="16.5" customHeight="1">
      <c r="A394" s="54"/>
      <c r="B394" s="55"/>
      <c r="C394" s="56"/>
      <c r="D394" s="57"/>
      <c r="E394" s="57"/>
      <c r="F394" s="57"/>
      <c r="G394" s="57"/>
      <c r="H394" s="57"/>
      <c r="I394" s="53"/>
      <c r="J394" s="57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ht="16.5" customHeight="1">
      <c r="A395" s="54"/>
      <c r="B395" s="55"/>
      <c r="C395" s="56"/>
      <c r="D395" s="57"/>
      <c r="E395" s="57"/>
      <c r="F395" s="57"/>
      <c r="G395" s="57"/>
      <c r="H395" s="57"/>
      <c r="I395" s="53"/>
      <c r="J395" s="57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ht="16.5" customHeight="1">
      <c r="A396" s="54"/>
      <c r="B396" s="55"/>
      <c r="C396" s="56"/>
      <c r="D396" s="57"/>
      <c r="E396" s="57"/>
      <c r="F396" s="57"/>
      <c r="G396" s="57"/>
      <c r="H396" s="57"/>
      <c r="I396" s="53"/>
      <c r="J396" s="57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ht="16.5" customHeight="1">
      <c r="A397" s="54"/>
      <c r="B397" s="55"/>
      <c r="C397" s="56"/>
      <c r="D397" s="57"/>
      <c r="E397" s="57"/>
      <c r="F397" s="57"/>
      <c r="G397" s="57"/>
      <c r="H397" s="57"/>
      <c r="I397" s="53"/>
      <c r="J397" s="5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ht="16.5" customHeight="1">
      <c r="A398" s="54"/>
      <c r="B398" s="55"/>
      <c r="C398" s="56"/>
      <c r="D398" s="57"/>
      <c r="E398" s="57"/>
      <c r="F398" s="57"/>
      <c r="G398" s="57"/>
      <c r="H398" s="57"/>
      <c r="I398" s="53"/>
      <c r="J398" s="57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ht="16.5" customHeight="1">
      <c r="A399" s="54"/>
      <c r="B399" s="55"/>
      <c r="C399" s="56"/>
      <c r="D399" s="57"/>
      <c r="E399" s="57"/>
      <c r="F399" s="57"/>
      <c r="G399" s="57"/>
      <c r="H399" s="57"/>
      <c r="I399" s="53"/>
      <c r="J399" s="57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ht="16.5" customHeight="1">
      <c r="A400" s="54"/>
      <c r="B400" s="55"/>
      <c r="C400" s="56"/>
      <c r="D400" s="57"/>
      <c r="E400" s="57"/>
      <c r="F400" s="57"/>
      <c r="G400" s="57"/>
      <c r="H400" s="57"/>
      <c r="I400" s="53"/>
      <c r="J400" s="57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ht="16.5" customHeight="1">
      <c r="A401" s="54"/>
      <c r="B401" s="55"/>
      <c r="C401" s="56"/>
      <c r="D401" s="57"/>
      <c r="E401" s="57"/>
      <c r="F401" s="57"/>
      <c r="G401" s="57"/>
      <c r="H401" s="57"/>
      <c r="I401" s="53"/>
      <c r="J401" s="57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ht="16.5" customHeight="1">
      <c r="A402" s="54"/>
      <c r="B402" s="55"/>
      <c r="C402" s="56"/>
      <c r="D402" s="57"/>
      <c r="E402" s="57"/>
      <c r="F402" s="57"/>
      <c r="G402" s="57"/>
      <c r="H402" s="57"/>
      <c r="I402" s="53"/>
      <c r="J402" s="57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ht="16.5" customHeight="1">
      <c r="A403" s="54"/>
      <c r="B403" s="55"/>
      <c r="C403" s="56"/>
      <c r="D403" s="57"/>
      <c r="E403" s="57"/>
      <c r="F403" s="57"/>
      <c r="G403" s="57"/>
      <c r="H403" s="57"/>
      <c r="I403" s="53"/>
      <c r="J403" s="57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ht="16.5" customHeight="1">
      <c r="A404" s="54"/>
      <c r="B404" s="55"/>
      <c r="C404" s="56"/>
      <c r="D404" s="57"/>
      <c r="E404" s="57"/>
      <c r="F404" s="57"/>
      <c r="G404" s="57"/>
      <c r="H404" s="57"/>
      <c r="I404" s="53"/>
      <c r="J404" s="57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ht="16.5" customHeight="1">
      <c r="A405" s="54"/>
      <c r="B405" s="55"/>
      <c r="C405" s="56"/>
      <c r="D405" s="57"/>
      <c r="E405" s="57"/>
      <c r="F405" s="57"/>
      <c r="G405" s="57"/>
      <c r="H405" s="57"/>
      <c r="I405" s="53"/>
      <c r="J405" s="57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ht="16.5" customHeight="1">
      <c r="A406" s="54"/>
      <c r="B406" s="55"/>
      <c r="C406" s="56"/>
      <c r="D406" s="57"/>
      <c r="E406" s="57"/>
      <c r="F406" s="57"/>
      <c r="G406" s="57"/>
      <c r="H406" s="57"/>
      <c r="I406" s="53"/>
      <c r="J406" s="57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ht="16.5" customHeight="1">
      <c r="A407" s="54"/>
      <c r="B407" s="55"/>
      <c r="C407" s="56"/>
      <c r="D407" s="57"/>
      <c r="E407" s="57"/>
      <c r="F407" s="57"/>
      <c r="G407" s="57"/>
      <c r="H407" s="57"/>
      <c r="I407" s="53"/>
      <c r="J407" s="5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ht="16.5" customHeight="1">
      <c r="A408" s="54"/>
      <c r="B408" s="55"/>
      <c r="C408" s="56"/>
      <c r="D408" s="57"/>
      <c r="E408" s="57"/>
      <c r="F408" s="57"/>
      <c r="G408" s="57"/>
      <c r="H408" s="57"/>
      <c r="I408" s="53"/>
      <c r="J408" s="57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ht="16.5" customHeight="1">
      <c r="A409" s="54"/>
      <c r="B409" s="55"/>
      <c r="C409" s="56"/>
      <c r="D409" s="57"/>
      <c r="E409" s="57"/>
      <c r="F409" s="57"/>
      <c r="G409" s="57"/>
      <c r="H409" s="57"/>
      <c r="I409" s="53"/>
      <c r="J409" s="57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ht="16.5" customHeight="1">
      <c r="A410" s="54"/>
      <c r="B410" s="55"/>
      <c r="C410" s="56"/>
      <c r="D410" s="57"/>
      <c r="E410" s="57"/>
      <c r="F410" s="57"/>
      <c r="G410" s="57"/>
      <c r="H410" s="57"/>
      <c r="I410" s="53"/>
      <c r="J410" s="57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ht="16.5" customHeight="1">
      <c r="A411" s="54"/>
      <c r="B411" s="55"/>
      <c r="C411" s="56"/>
      <c r="D411" s="57"/>
      <c r="E411" s="57"/>
      <c r="F411" s="57"/>
      <c r="G411" s="57"/>
      <c r="H411" s="57"/>
      <c r="I411" s="53"/>
      <c r="J411" s="57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ht="16.5" customHeight="1">
      <c r="A412" s="54"/>
      <c r="B412" s="55"/>
      <c r="C412" s="56"/>
      <c r="D412" s="57"/>
      <c r="E412" s="57"/>
      <c r="F412" s="57"/>
      <c r="G412" s="57"/>
      <c r="H412" s="57"/>
      <c r="I412" s="53"/>
      <c r="J412" s="57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ht="16.5" customHeight="1">
      <c r="A413" s="54"/>
      <c r="B413" s="55"/>
      <c r="C413" s="56"/>
      <c r="D413" s="57"/>
      <c r="E413" s="57"/>
      <c r="F413" s="57"/>
      <c r="G413" s="57"/>
      <c r="H413" s="57"/>
      <c r="I413" s="53"/>
      <c r="J413" s="57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ht="16.5" customHeight="1">
      <c r="A414" s="54"/>
      <c r="B414" s="55"/>
      <c r="C414" s="56"/>
      <c r="D414" s="57"/>
      <c r="E414" s="57"/>
      <c r="F414" s="57"/>
      <c r="G414" s="57"/>
      <c r="H414" s="57"/>
      <c r="I414" s="53"/>
      <c r="J414" s="57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ht="16.5" customHeight="1">
      <c r="A415" s="54"/>
      <c r="B415" s="55"/>
      <c r="C415" s="56"/>
      <c r="D415" s="57"/>
      <c r="E415" s="57"/>
      <c r="F415" s="57"/>
      <c r="G415" s="57"/>
      <c r="H415" s="57"/>
      <c r="I415" s="53"/>
      <c r="J415" s="57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ht="16.5" customHeight="1">
      <c r="A416" s="54"/>
      <c r="B416" s="55"/>
      <c r="C416" s="56"/>
      <c r="D416" s="57"/>
      <c r="E416" s="57"/>
      <c r="F416" s="57"/>
      <c r="G416" s="57"/>
      <c r="H416" s="57"/>
      <c r="I416" s="53"/>
      <c r="J416" s="57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ht="16.5" customHeight="1">
      <c r="A417" s="54"/>
      <c r="B417" s="55"/>
      <c r="C417" s="56"/>
      <c r="D417" s="57"/>
      <c r="E417" s="57"/>
      <c r="F417" s="57"/>
      <c r="G417" s="57"/>
      <c r="H417" s="57"/>
      <c r="I417" s="53"/>
      <c r="J417" s="5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ht="16.5" customHeight="1">
      <c r="A418" s="54"/>
      <c r="B418" s="55"/>
      <c r="C418" s="56"/>
      <c r="D418" s="57"/>
      <c r="E418" s="57"/>
      <c r="F418" s="57"/>
      <c r="G418" s="57"/>
      <c r="H418" s="57"/>
      <c r="I418" s="53"/>
      <c r="J418" s="57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ht="16.5" customHeight="1">
      <c r="A419" s="54"/>
      <c r="B419" s="55"/>
      <c r="C419" s="56"/>
      <c r="D419" s="57"/>
      <c r="E419" s="57"/>
      <c r="F419" s="57"/>
      <c r="G419" s="57"/>
      <c r="H419" s="57"/>
      <c r="I419" s="53"/>
      <c r="J419" s="57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ht="16.5" customHeight="1">
      <c r="A420" s="54"/>
      <c r="B420" s="55"/>
      <c r="C420" s="56"/>
      <c r="D420" s="57"/>
      <c r="E420" s="57"/>
      <c r="F420" s="57"/>
      <c r="G420" s="57"/>
      <c r="H420" s="57"/>
      <c r="I420" s="53"/>
      <c r="J420" s="57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ht="16.5" customHeight="1">
      <c r="A421" s="54"/>
      <c r="B421" s="55"/>
      <c r="C421" s="56"/>
      <c r="D421" s="57"/>
      <c r="E421" s="57"/>
      <c r="F421" s="57"/>
      <c r="G421" s="57"/>
      <c r="H421" s="57"/>
      <c r="I421" s="53"/>
      <c r="J421" s="57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ht="16.5" customHeight="1">
      <c r="A422" s="54"/>
      <c r="B422" s="55"/>
      <c r="C422" s="56"/>
      <c r="D422" s="57"/>
      <c r="E422" s="57"/>
      <c r="F422" s="57"/>
      <c r="G422" s="57"/>
      <c r="H422" s="57"/>
      <c r="I422" s="53"/>
      <c r="J422" s="57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ht="16.5" customHeight="1">
      <c r="A423" s="54"/>
      <c r="B423" s="55"/>
      <c r="C423" s="56"/>
      <c r="D423" s="57"/>
      <c r="E423" s="57"/>
      <c r="F423" s="57"/>
      <c r="G423" s="57"/>
      <c r="H423" s="57"/>
      <c r="I423" s="53"/>
      <c r="J423" s="57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ht="16.5" customHeight="1">
      <c r="A424" s="54"/>
      <c r="B424" s="55"/>
      <c r="C424" s="56"/>
      <c r="D424" s="57"/>
      <c r="E424" s="57"/>
      <c r="F424" s="57"/>
      <c r="G424" s="57"/>
      <c r="H424" s="57"/>
      <c r="I424" s="53"/>
      <c r="J424" s="57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ht="16.5" customHeight="1">
      <c r="A425" s="54"/>
      <c r="B425" s="55"/>
      <c r="C425" s="56"/>
      <c r="D425" s="57"/>
      <c r="E425" s="57"/>
      <c r="F425" s="57"/>
      <c r="G425" s="57"/>
      <c r="H425" s="57"/>
      <c r="I425" s="53"/>
      <c r="J425" s="57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ht="16.5" customHeight="1">
      <c r="A426" s="54"/>
      <c r="B426" s="55"/>
      <c r="C426" s="56"/>
      <c r="D426" s="57"/>
      <c r="E426" s="57"/>
      <c r="F426" s="57"/>
      <c r="G426" s="57"/>
      <c r="H426" s="57"/>
      <c r="I426" s="53"/>
      <c r="J426" s="57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ht="16.5" customHeight="1">
      <c r="A427" s="54"/>
      <c r="B427" s="55"/>
      <c r="C427" s="56"/>
      <c r="D427" s="57"/>
      <c r="E427" s="57"/>
      <c r="F427" s="57"/>
      <c r="G427" s="57"/>
      <c r="H427" s="57"/>
      <c r="I427" s="53"/>
      <c r="J427" s="5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ht="16.5" customHeight="1">
      <c r="A428" s="54"/>
      <c r="B428" s="55"/>
      <c r="C428" s="56"/>
      <c r="D428" s="57"/>
      <c r="E428" s="57"/>
      <c r="F428" s="57"/>
      <c r="G428" s="57"/>
      <c r="H428" s="57"/>
      <c r="I428" s="53"/>
      <c r="J428" s="57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ht="16.5" customHeight="1">
      <c r="A429" s="54"/>
      <c r="B429" s="55"/>
      <c r="C429" s="56"/>
      <c r="D429" s="57"/>
      <c r="E429" s="57"/>
      <c r="F429" s="57"/>
      <c r="G429" s="57"/>
      <c r="H429" s="57"/>
      <c r="I429" s="53"/>
      <c r="J429" s="57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ht="16.5" customHeight="1">
      <c r="A430" s="54"/>
      <c r="B430" s="55"/>
      <c r="C430" s="56"/>
      <c r="D430" s="57"/>
      <c r="E430" s="57"/>
      <c r="F430" s="57"/>
      <c r="G430" s="57"/>
      <c r="H430" s="57"/>
      <c r="I430" s="53"/>
      <c r="J430" s="57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ht="16.5" customHeight="1">
      <c r="A431" s="54"/>
      <c r="B431" s="55"/>
      <c r="C431" s="56"/>
      <c r="D431" s="57"/>
      <c r="E431" s="57"/>
      <c r="F431" s="57"/>
      <c r="G431" s="57"/>
      <c r="H431" s="57"/>
      <c r="I431" s="53"/>
      <c r="J431" s="57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ht="16.5" customHeight="1">
      <c r="A432" s="54"/>
      <c r="B432" s="55"/>
      <c r="C432" s="56"/>
      <c r="D432" s="57"/>
      <c r="E432" s="57"/>
      <c r="F432" s="57"/>
      <c r="G432" s="57"/>
      <c r="H432" s="57"/>
      <c r="I432" s="53"/>
      <c r="J432" s="57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ht="16.5" customHeight="1">
      <c r="A433" s="54"/>
      <c r="B433" s="55"/>
      <c r="C433" s="56"/>
      <c r="D433" s="57"/>
      <c r="E433" s="57"/>
      <c r="F433" s="57"/>
      <c r="G433" s="57"/>
      <c r="H433" s="57"/>
      <c r="I433" s="53"/>
      <c r="J433" s="57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ht="16.5" customHeight="1">
      <c r="A434" s="54"/>
      <c r="B434" s="55"/>
      <c r="C434" s="56"/>
      <c r="D434" s="57"/>
      <c r="E434" s="57"/>
      <c r="F434" s="57"/>
      <c r="G434" s="57"/>
      <c r="H434" s="57"/>
      <c r="I434" s="53"/>
      <c r="J434" s="57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ht="16.5" customHeight="1">
      <c r="A435" s="54"/>
      <c r="B435" s="55"/>
      <c r="C435" s="56"/>
      <c r="D435" s="57"/>
      <c r="E435" s="57"/>
      <c r="F435" s="57"/>
      <c r="G435" s="57"/>
      <c r="H435" s="57"/>
      <c r="I435" s="53"/>
      <c r="J435" s="57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ht="16.5" customHeight="1">
      <c r="A436" s="54"/>
      <c r="B436" s="55"/>
      <c r="C436" s="56"/>
      <c r="D436" s="57"/>
      <c r="E436" s="57"/>
      <c r="F436" s="57"/>
      <c r="G436" s="57"/>
      <c r="H436" s="57"/>
      <c r="I436" s="53"/>
      <c r="J436" s="57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ht="16.5" customHeight="1">
      <c r="A437" s="54"/>
      <c r="B437" s="55"/>
      <c r="C437" s="56"/>
      <c r="D437" s="57"/>
      <c r="E437" s="57"/>
      <c r="F437" s="57"/>
      <c r="G437" s="57"/>
      <c r="H437" s="57"/>
      <c r="I437" s="53"/>
      <c r="J437" s="5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ht="16.5" customHeight="1">
      <c r="A438" s="54"/>
      <c r="B438" s="55"/>
      <c r="C438" s="56"/>
      <c r="D438" s="57"/>
      <c r="E438" s="57"/>
      <c r="F438" s="57"/>
      <c r="G438" s="57"/>
      <c r="H438" s="57"/>
      <c r="I438" s="53"/>
      <c r="J438" s="57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ht="16.5" customHeight="1">
      <c r="A439" s="54"/>
      <c r="B439" s="55"/>
      <c r="C439" s="56"/>
      <c r="D439" s="57"/>
      <c r="E439" s="57"/>
      <c r="F439" s="57"/>
      <c r="G439" s="57"/>
      <c r="H439" s="57"/>
      <c r="I439" s="53"/>
      <c r="J439" s="57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ht="16.5" customHeight="1">
      <c r="A440" s="54"/>
      <c r="B440" s="55"/>
      <c r="C440" s="56"/>
      <c r="D440" s="57"/>
      <c r="E440" s="57"/>
      <c r="F440" s="57"/>
      <c r="G440" s="57"/>
      <c r="H440" s="57"/>
      <c r="I440" s="53"/>
      <c r="J440" s="57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ht="16.5" customHeight="1">
      <c r="A441" s="54"/>
      <c r="B441" s="55"/>
      <c r="C441" s="56"/>
      <c r="D441" s="57"/>
      <c r="E441" s="57"/>
      <c r="F441" s="57"/>
      <c r="G441" s="57"/>
      <c r="H441" s="57"/>
      <c r="I441" s="53"/>
      <c r="J441" s="57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ht="16.5" customHeight="1">
      <c r="A442" s="54"/>
      <c r="B442" s="55"/>
      <c r="C442" s="56"/>
      <c r="D442" s="57"/>
      <c r="E442" s="57"/>
      <c r="F442" s="57"/>
      <c r="G442" s="57"/>
      <c r="H442" s="57"/>
      <c r="I442" s="53"/>
      <c r="J442" s="57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ht="16.5" customHeight="1">
      <c r="A443" s="54"/>
      <c r="B443" s="55"/>
      <c r="C443" s="56"/>
      <c r="D443" s="57"/>
      <c r="E443" s="57"/>
      <c r="F443" s="57"/>
      <c r="G443" s="57"/>
      <c r="H443" s="57"/>
      <c r="I443" s="53"/>
      <c r="J443" s="57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ht="16.5" customHeight="1">
      <c r="A444" s="54"/>
      <c r="B444" s="55"/>
      <c r="C444" s="56"/>
      <c r="D444" s="57"/>
      <c r="E444" s="57"/>
      <c r="F444" s="57"/>
      <c r="G444" s="57"/>
      <c r="H444" s="57"/>
      <c r="I444" s="53"/>
      <c r="J444" s="57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ht="16.5" customHeight="1">
      <c r="A445" s="54"/>
      <c r="B445" s="55"/>
      <c r="C445" s="56"/>
      <c r="D445" s="57"/>
      <c r="E445" s="57"/>
      <c r="F445" s="57"/>
      <c r="G445" s="57"/>
      <c r="H445" s="57"/>
      <c r="I445" s="53"/>
      <c r="J445" s="57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ht="16.5" customHeight="1">
      <c r="A446" s="54"/>
      <c r="B446" s="55"/>
      <c r="C446" s="56"/>
      <c r="D446" s="57"/>
      <c r="E446" s="57"/>
      <c r="F446" s="57"/>
      <c r="G446" s="57"/>
      <c r="H446" s="57"/>
      <c r="I446" s="53"/>
      <c r="J446" s="57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ht="16.5" customHeight="1">
      <c r="A447" s="54"/>
      <c r="B447" s="55"/>
      <c r="C447" s="56"/>
      <c r="D447" s="57"/>
      <c r="E447" s="57"/>
      <c r="F447" s="57"/>
      <c r="G447" s="57"/>
      <c r="H447" s="57"/>
      <c r="I447" s="53"/>
      <c r="J447" s="5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ht="16.5" customHeight="1">
      <c r="A448" s="54"/>
      <c r="B448" s="55"/>
      <c r="C448" s="56"/>
      <c r="D448" s="57"/>
      <c r="E448" s="57"/>
      <c r="F448" s="57"/>
      <c r="G448" s="57"/>
      <c r="H448" s="57"/>
      <c r="I448" s="53"/>
      <c r="J448" s="57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ht="16.5" customHeight="1">
      <c r="A449" s="54"/>
      <c r="B449" s="55"/>
      <c r="C449" s="56"/>
      <c r="D449" s="57"/>
      <c r="E449" s="57"/>
      <c r="F449" s="57"/>
      <c r="G449" s="57"/>
      <c r="H449" s="57"/>
      <c r="I449" s="53"/>
      <c r="J449" s="57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ht="16.5" customHeight="1">
      <c r="A450" s="54"/>
      <c r="B450" s="55"/>
      <c r="C450" s="56"/>
      <c r="D450" s="57"/>
      <c r="E450" s="57"/>
      <c r="F450" s="57"/>
      <c r="G450" s="57"/>
      <c r="H450" s="57"/>
      <c r="I450" s="53"/>
      <c r="J450" s="57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ht="16.5" customHeight="1">
      <c r="A451" s="54"/>
      <c r="B451" s="55"/>
      <c r="C451" s="56"/>
      <c r="D451" s="57"/>
      <c r="E451" s="57"/>
      <c r="F451" s="57"/>
      <c r="G451" s="57"/>
      <c r="H451" s="57"/>
      <c r="I451" s="53"/>
      <c r="J451" s="57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ht="16.5" customHeight="1">
      <c r="A452" s="54"/>
      <c r="B452" s="55"/>
      <c r="C452" s="56"/>
      <c r="D452" s="57"/>
      <c r="E452" s="57"/>
      <c r="F452" s="57"/>
      <c r="G452" s="57"/>
      <c r="H452" s="57"/>
      <c r="I452" s="53"/>
      <c r="J452" s="57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ht="16.5" customHeight="1">
      <c r="A453" s="54"/>
      <c r="B453" s="55"/>
      <c r="C453" s="56"/>
      <c r="D453" s="57"/>
      <c r="E453" s="57"/>
      <c r="F453" s="57"/>
      <c r="G453" s="57"/>
      <c r="H453" s="57"/>
      <c r="I453" s="53"/>
      <c r="J453" s="57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ht="16.5" customHeight="1">
      <c r="A454" s="54"/>
      <c r="B454" s="55"/>
      <c r="C454" s="56"/>
      <c r="D454" s="57"/>
      <c r="E454" s="57"/>
      <c r="F454" s="57"/>
      <c r="G454" s="57"/>
      <c r="H454" s="57"/>
      <c r="I454" s="53"/>
      <c r="J454" s="57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ht="16.5" customHeight="1">
      <c r="A455" s="54"/>
      <c r="B455" s="55"/>
      <c r="C455" s="56"/>
      <c r="D455" s="57"/>
      <c r="E455" s="57"/>
      <c r="F455" s="57"/>
      <c r="G455" s="57"/>
      <c r="H455" s="57"/>
      <c r="I455" s="53"/>
      <c r="J455" s="57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ht="16.5" customHeight="1">
      <c r="A456" s="54"/>
      <c r="B456" s="55"/>
      <c r="C456" s="56"/>
      <c r="D456" s="57"/>
      <c r="E456" s="57"/>
      <c r="F456" s="57"/>
      <c r="G456" s="57"/>
      <c r="H456" s="57"/>
      <c r="I456" s="53"/>
      <c r="J456" s="57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ht="16.5" customHeight="1">
      <c r="A457" s="54"/>
      <c r="B457" s="55"/>
      <c r="C457" s="56"/>
      <c r="D457" s="57"/>
      <c r="E457" s="57"/>
      <c r="F457" s="57"/>
      <c r="G457" s="57"/>
      <c r="H457" s="57"/>
      <c r="I457" s="53"/>
      <c r="J457" s="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ht="16.5" customHeight="1">
      <c r="A458" s="54"/>
      <c r="B458" s="55"/>
      <c r="C458" s="56"/>
      <c r="D458" s="57"/>
      <c r="E458" s="57"/>
      <c r="F458" s="57"/>
      <c r="G458" s="57"/>
      <c r="H458" s="57"/>
      <c r="I458" s="53"/>
      <c r="J458" s="57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ht="16.5" customHeight="1">
      <c r="A459" s="54"/>
      <c r="B459" s="55"/>
      <c r="C459" s="56"/>
      <c r="D459" s="57"/>
      <c r="E459" s="57"/>
      <c r="F459" s="57"/>
      <c r="G459" s="57"/>
      <c r="H459" s="57"/>
      <c r="I459" s="53"/>
      <c r="J459" s="57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ht="16.5" customHeight="1">
      <c r="A460" s="54"/>
      <c r="B460" s="55"/>
      <c r="C460" s="56"/>
      <c r="D460" s="57"/>
      <c r="E460" s="57"/>
      <c r="F460" s="57"/>
      <c r="G460" s="57"/>
      <c r="H460" s="57"/>
      <c r="I460" s="53"/>
      <c r="J460" s="57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ht="16.5" customHeight="1">
      <c r="A461" s="54"/>
      <c r="B461" s="55"/>
      <c r="C461" s="56"/>
      <c r="D461" s="57"/>
      <c r="E461" s="57"/>
      <c r="F461" s="57"/>
      <c r="G461" s="57"/>
      <c r="H461" s="57"/>
      <c r="I461" s="53"/>
      <c r="J461" s="57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ht="16.5" customHeight="1">
      <c r="A462" s="54"/>
      <c r="B462" s="55"/>
      <c r="C462" s="56"/>
      <c r="D462" s="57"/>
      <c r="E462" s="57"/>
      <c r="F462" s="57"/>
      <c r="G462" s="57"/>
      <c r="H462" s="57"/>
      <c r="I462" s="53"/>
      <c r="J462" s="57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ht="16.5" customHeight="1">
      <c r="A463" s="54"/>
      <c r="B463" s="55"/>
      <c r="C463" s="56"/>
      <c r="D463" s="57"/>
      <c r="E463" s="57"/>
      <c r="F463" s="57"/>
      <c r="G463" s="57"/>
      <c r="H463" s="57"/>
      <c r="I463" s="53"/>
      <c r="J463" s="57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ht="16.5" customHeight="1">
      <c r="A464" s="54"/>
      <c r="B464" s="55"/>
      <c r="C464" s="56"/>
      <c r="D464" s="57"/>
      <c r="E464" s="57"/>
      <c r="F464" s="57"/>
      <c r="G464" s="57"/>
      <c r="H464" s="57"/>
      <c r="I464" s="53"/>
      <c r="J464" s="57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ht="16.5" customHeight="1">
      <c r="A465" s="54"/>
      <c r="B465" s="55"/>
      <c r="C465" s="56"/>
      <c r="D465" s="57"/>
      <c r="E465" s="57"/>
      <c r="F465" s="57"/>
      <c r="G465" s="57"/>
      <c r="H465" s="57"/>
      <c r="I465" s="53"/>
      <c r="J465" s="57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ht="16.5" customHeight="1">
      <c r="A466" s="54"/>
      <c r="B466" s="55"/>
      <c r="C466" s="56"/>
      <c r="D466" s="57"/>
      <c r="E466" s="57"/>
      <c r="F466" s="57"/>
      <c r="G466" s="57"/>
      <c r="H466" s="57"/>
      <c r="I466" s="53"/>
      <c r="J466" s="57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ht="16.5" customHeight="1">
      <c r="A467" s="54"/>
      <c r="B467" s="55"/>
      <c r="C467" s="56"/>
      <c r="D467" s="57"/>
      <c r="E467" s="57"/>
      <c r="F467" s="57"/>
      <c r="G467" s="57"/>
      <c r="H467" s="57"/>
      <c r="I467" s="53"/>
      <c r="J467" s="5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ht="16.5" customHeight="1">
      <c r="A468" s="54"/>
      <c r="B468" s="55"/>
      <c r="C468" s="56"/>
      <c r="D468" s="57"/>
      <c r="E468" s="57"/>
      <c r="F468" s="57"/>
      <c r="G468" s="57"/>
      <c r="H468" s="57"/>
      <c r="I468" s="53"/>
      <c r="J468" s="57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ht="16.5" customHeight="1">
      <c r="A469" s="54"/>
      <c r="B469" s="55"/>
      <c r="C469" s="56"/>
      <c r="D469" s="57"/>
      <c r="E469" s="57"/>
      <c r="F469" s="57"/>
      <c r="G469" s="57"/>
      <c r="H469" s="57"/>
      <c r="I469" s="53"/>
      <c r="J469" s="57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ht="16.5" customHeight="1">
      <c r="A470" s="54"/>
      <c r="B470" s="55"/>
      <c r="C470" s="56"/>
      <c r="D470" s="57"/>
      <c r="E470" s="57"/>
      <c r="F470" s="57"/>
      <c r="G470" s="57"/>
      <c r="H470" s="57"/>
      <c r="I470" s="53"/>
      <c r="J470" s="57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ht="16.5" customHeight="1">
      <c r="A471" s="54"/>
      <c r="B471" s="55"/>
      <c r="C471" s="56"/>
      <c r="D471" s="57"/>
      <c r="E471" s="57"/>
      <c r="F471" s="57"/>
      <c r="G471" s="57"/>
      <c r="H471" s="57"/>
      <c r="I471" s="53"/>
      <c r="J471" s="57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ht="16.5" customHeight="1">
      <c r="A472" s="54"/>
      <c r="B472" s="55"/>
      <c r="C472" s="56"/>
      <c r="D472" s="57"/>
      <c r="E472" s="57"/>
      <c r="F472" s="57"/>
      <c r="G472" s="57"/>
      <c r="H472" s="57"/>
      <c r="I472" s="53"/>
      <c r="J472" s="57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ht="16.5" customHeight="1">
      <c r="A473" s="54"/>
      <c r="B473" s="55"/>
      <c r="C473" s="56"/>
      <c r="D473" s="57"/>
      <c r="E473" s="57"/>
      <c r="F473" s="57"/>
      <c r="G473" s="57"/>
      <c r="H473" s="57"/>
      <c r="I473" s="53"/>
      <c r="J473" s="57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ht="16.5" customHeight="1">
      <c r="A474" s="54"/>
      <c r="B474" s="55"/>
      <c r="C474" s="56"/>
      <c r="D474" s="57"/>
      <c r="E474" s="57"/>
      <c r="F474" s="57"/>
      <c r="G474" s="57"/>
      <c r="H474" s="57"/>
      <c r="I474" s="53"/>
      <c r="J474" s="57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ht="16.5" customHeight="1">
      <c r="A475" s="54"/>
      <c r="B475" s="55"/>
      <c r="C475" s="56"/>
      <c r="D475" s="57"/>
      <c r="E475" s="57"/>
      <c r="F475" s="57"/>
      <c r="G475" s="57"/>
      <c r="H475" s="57"/>
      <c r="I475" s="53"/>
      <c r="J475" s="57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ht="16.5" customHeight="1">
      <c r="A476" s="54"/>
      <c r="B476" s="55"/>
      <c r="C476" s="56"/>
      <c r="D476" s="57"/>
      <c r="E476" s="57"/>
      <c r="F476" s="57"/>
      <c r="G476" s="57"/>
      <c r="H476" s="57"/>
      <c r="I476" s="53"/>
      <c r="J476" s="57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ht="16.5" customHeight="1">
      <c r="A477" s="54"/>
      <c r="B477" s="55"/>
      <c r="C477" s="56"/>
      <c r="D477" s="57"/>
      <c r="E477" s="57"/>
      <c r="F477" s="57"/>
      <c r="G477" s="57"/>
      <c r="H477" s="57"/>
      <c r="I477" s="53"/>
      <c r="J477" s="5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ht="16.5" customHeight="1">
      <c r="A478" s="54"/>
      <c r="B478" s="55"/>
      <c r="C478" s="56"/>
      <c r="D478" s="57"/>
      <c r="E478" s="57"/>
      <c r="F478" s="57"/>
      <c r="G478" s="57"/>
      <c r="H478" s="57"/>
      <c r="I478" s="53"/>
      <c r="J478" s="57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ht="16.5" customHeight="1">
      <c r="A479" s="54"/>
      <c r="B479" s="55"/>
      <c r="C479" s="56"/>
      <c r="D479" s="57"/>
      <c r="E479" s="57"/>
      <c r="F479" s="57"/>
      <c r="G479" s="57"/>
      <c r="H479" s="57"/>
      <c r="I479" s="53"/>
      <c r="J479" s="57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ht="16.5" customHeight="1">
      <c r="A480" s="54"/>
      <c r="B480" s="55"/>
      <c r="C480" s="56"/>
      <c r="D480" s="57"/>
      <c r="E480" s="57"/>
      <c r="F480" s="57"/>
      <c r="G480" s="57"/>
      <c r="H480" s="57"/>
      <c r="I480" s="53"/>
      <c r="J480" s="57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ht="16.5" customHeight="1">
      <c r="A481" s="54"/>
      <c r="B481" s="55"/>
      <c r="C481" s="56"/>
      <c r="D481" s="57"/>
      <c r="E481" s="57"/>
      <c r="F481" s="57"/>
      <c r="G481" s="57"/>
      <c r="H481" s="57"/>
      <c r="I481" s="53"/>
      <c r="J481" s="57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ht="16.5" customHeight="1">
      <c r="A482" s="54"/>
      <c r="B482" s="55"/>
      <c r="C482" s="56"/>
      <c r="D482" s="57"/>
      <c r="E482" s="57"/>
      <c r="F482" s="57"/>
      <c r="G482" s="57"/>
      <c r="H482" s="57"/>
      <c r="I482" s="53"/>
      <c r="J482" s="57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ht="16.5" customHeight="1">
      <c r="A483" s="54"/>
      <c r="B483" s="55"/>
      <c r="C483" s="56"/>
      <c r="D483" s="57"/>
      <c r="E483" s="57"/>
      <c r="F483" s="57"/>
      <c r="G483" s="57"/>
      <c r="H483" s="57"/>
      <c r="I483" s="53"/>
      <c r="J483" s="57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ht="16.5" customHeight="1">
      <c r="A484" s="54"/>
      <c r="B484" s="55"/>
      <c r="C484" s="56"/>
      <c r="D484" s="57"/>
      <c r="E484" s="57"/>
      <c r="F484" s="57"/>
      <c r="G484" s="57"/>
      <c r="H484" s="57"/>
      <c r="I484" s="53"/>
      <c r="J484" s="57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ht="16.5" customHeight="1">
      <c r="A485" s="54"/>
      <c r="B485" s="55"/>
      <c r="C485" s="56"/>
      <c r="D485" s="57"/>
      <c r="E485" s="57"/>
      <c r="F485" s="57"/>
      <c r="G485" s="57"/>
      <c r="H485" s="57"/>
      <c r="I485" s="53"/>
      <c r="J485" s="57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ht="16.5" customHeight="1">
      <c r="A486" s="54"/>
      <c r="B486" s="55"/>
      <c r="C486" s="56"/>
      <c r="D486" s="57"/>
      <c r="E486" s="57"/>
      <c r="F486" s="57"/>
      <c r="G486" s="57"/>
      <c r="H486" s="57"/>
      <c r="I486" s="53"/>
      <c r="J486" s="57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ht="16.5" customHeight="1">
      <c r="A487" s="54"/>
      <c r="B487" s="55"/>
      <c r="C487" s="56"/>
      <c r="D487" s="57"/>
      <c r="E487" s="57"/>
      <c r="F487" s="57"/>
      <c r="G487" s="57"/>
      <c r="H487" s="57"/>
      <c r="I487" s="53"/>
      <c r="J487" s="5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ht="16.5" customHeight="1">
      <c r="A488" s="54"/>
      <c r="B488" s="55"/>
      <c r="C488" s="56"/>
      <c r="D488" s="57"/>
      <c r="E488" s="57"/>
      <c r="F488" s="57"/>
      <c r="G488" s="57"/>
      <c r="H488" s="57"/>
      <c r="I488" s="53"/>
      <c r="J488" s="57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ht="16.5" customHeight="1">
      <c r="A489" s="54"/>
      <c r="B489" s="55"/>
      <c r="C489" s="56"/>
      <c r="D489" s="57"/>
      <c r="E489" s="57"/>
      <c r="F489" s="57"/>
      <c r="G489" s="57"/>
      <c r="H489" s="57"/>
      <c r="I489" s="53"/>
      <c r="J489" s="57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ht="16.5" customHeight="1">
      <c r="A490" s="54"/>
      <c r="B490" s="55"/>
      <c r="C490" s="56"/>
      <c r="D490" s="57"/>
      <c r="E490" s="57"/>
      <c r="F490" s="57"/>
      <c r="G490" s="57"/>
      <c r="H490" s="57"/>
      <c r="I490" s="53"/>
      <c r="J490" s="57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ht="16.5" customHeight="1">
      <c r="A491" s="54"/>
      <c r="B491" s="55"/>
      <c r="C491" s="56"/>
      <c r="D491" s="57"/>
      <c r="E491" s="57"/>
      <c r="F491" s="57"/>
      <c r="G491" s="57"/>
      <c r="H491" s="57"/>
      <c r="I491" s="53"/>
      <c r="J491" s="57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ht="16.5" customHeight="1">
      <c r="A492" s="54"/>
      <c r="B492" s="55"/>
      <c r="C492" s="56"/>
      <c r="D492" s="57"/>
      <c r="E492" s="57"/>
      <c r="F492" s="57"/>
      <c r="G492" s="57"/>
      <c r="H492" s="57"/>
      <c r="I492" s="53"/>
      <c r="J492" s="57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ht="16.5" customHeight="1">
      <c r="A493" s="54"/>
      <c r="B493" s="55"/>
      <c r="C493" s="56"/>
      <c r="D493" s="57"/>
      <c r="E493" s="57"/>
      <c r="F493" s="57"/>
      <c r="G493" s="57"/>
      <c r="H493" s="57"/>
      <c r="I493" s="53"/>
      <c r="J493" s="57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ht="16.5" customHeight="1">
      <c r="A494" s="54"/>
      <c r="B494" s="55"/>
      <c r="C494" s="56"/>
      <c r="D494" s="57"/>
      <c r="E494" s="57"/>
      <c r="F494" s="57"/>
      <c r="G494" s="57"/>
      <c r="H494" s="57"/>
      <c r="I494" s="53"/>
      <c r="J494" s="57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ht="16.5" customHeight="1">
      <c r="A495" s="54"/>
      <c r="B495" s="55"/>
      <c r="C495" s="56"/>
      <c r="D495" s="57"/>
      <c r="E495" s="57"/>
      <c r="F495" s="57"/>
      <c r="G495" s="57"/>
      <c r="H495" s="57"/>
      <c r="I495" s="53"/>
      <c r="J495" s="57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ht="16.5" customHeight="1">
      <c r="A496" s="54"/>
      <c r="B496" s="55"/>
      <c r="C496" s="56"/>
      <c r="D496" s="57"/>
      <c r="E496" s="57"/>
      <c r="F496" s="57"/>
      <c r="G496" s="57"/>
      <c r="H496" s="57"/>
      <c r="I496" s="53"/>
      <c r="J496" s="57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ht="16.5" customHeight="1">
      <c r="A497" s="54"/>
      <c r="B497" s="55"/>
      <c r="C497" s="56"/>
      <c r="D497" s="57"/>
      <c r="E497" s="57"/>
      <c r="F497" s="57"/>
      <c r="G497" s="57"/>
      <c r="H497" s="57"/>
      <c r="I497" s="53"/>
      <c r="J497" s="57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ht="16.5" customHeight="1">
      <c r="A498" s="54"/>
      <c r="B498" s="55"/>
      <c r="C498" s="56"/>
      <c r="D498" s="57"/>
      <c r="E498" s="57"/>
      <c r="F498" s="57"/>
      <c r="G498" s="57"/>
      <c r="H498" s="57"/>
      <c r="I498" s="53"/>
      <c r="J498" s="57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ht="16.5" customHeight="1">
      <c r="A499" s="54"/>
      <c r="B499" s="55"/>
      <c r="C499" s="56"/>
      <c r="D499" s="57"/>
      <c r="E499" s="57"/>
      <c r="F499" s="57"/>
      <c r="G499" s="57"/>
      <c r="H499" s="57"/>
      <c r="I499" s="53"/>
      <c r="J499" s="57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  <row r="500" spans="1:26" ht="16.5" customHeight="1">
      <c r="A500" s="54"/>
      <c r="B500" s="55"/>
      <c r="C500" s="56"/>
      <c r="D500" s="57"/>
      <c r="E500" s="57"/>
      <c r="F500" s="57"/>
      <c r="G500" s="57"/>
      <c r="H500" s="57"/>
      <c r="I500" s="53"/>
      <c r="J500" s="57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</row>
    <row r="501" spans="1:26" ht="16.5" customHeight="1">
      <c r="A501" s="54"/>
      <c r="B501" s="55"/>
      <c r="C501" s="56"/>
      <c r="D501" s="57"/>
      <c r="E501" s="57"/>
      <c r="F501" s="57"/>
      <c r="G501" s="57"/>
      <c r="H501" s="57"/>
      <c r="I501" s="53"/>
      <c r="J501" s="57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</row>
    <row r="502" spans="1:26" ht="16.5" customHeight="1">
      <c r="A502" s="54"/>
      <c r="B502" s="55"/>
      <c r="C502" s="56"/>
      <c r="D502" s="57"/>
      <c r="E502" s="57"/>
      <c r="F502" s="57"/>
      <c r="G502" s="57"/>
      <c r="H502" s="57"/>
      <c r="I502" s="53"/>
      <c r="J502" s="57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</row>
    <row r="503" spans="1:26" ht="16.5" customHeight="1">
      <c r="A503" s="54"/>
      <c r="B503" s="55"/>
      <c r="C503" s="56"/>
      <c r="D503" s="57"/>
      <c r="E503" s="57"/>
      <c r="F503" s="57"/>
      <c r="G503" s="57"/>
      <c r="H503" s="57"/>
      <c r="I503" s="53"/>
      <c r="J503" s="57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</row>
    <row r="504" spans="1:26" ht="16.5" customHeight="1">
      <c r="A504" s="54"/>
      <c r="B504" s="55"/>
      <c r="C504" s="56"/>
      <c r="D504" s="57"/>
      <c r="E504" s="57"/>
      <c r="F504" s="57"/>
      <c r="G504" s="57"/>
      <c r="H504" s="57"/>
      <c r="I504" s="53"/>
      <c r="J504" s="57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</row>
    <row r="505" spans="1:26" ht="16.5" customHeight="1">
      <c r="A505" s="54"/>
      <c r="B505" s="55"/>
      <c r="C505" s="56"/>
      <c r="D505" s="57"/>
      <c r="E505" s="57"/>
      <c r="F505" s="57"/>
      <c r="G505" s="57"/>
      <c r="H505" s="57"/>
      <c r="I505" s="53"/>
      <c r="J505" s="57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</row>
    <row r="506" spans="1:26" ht="16.5" customHeight="1">
      <c r="A506" s="54"/>
      <c r="B506" s="55"/>
      <c r="C506" s="56"/>
      <c r="D506" s="57"/>
      <c r="E506" s="57"/>
      <c r="F506" s="57"/>
      <c r="G506" s="57"/>
      <c r="H506" s="57"/>
      <c r="I506" s="53"/>
      <c r="J506" s="57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</row>
    <row r="507" spans="1:26" ht="16.5" customHeight="1">
      <c r="A507" s="54"/>
      <c r="B507" s="55"/>
      <c r="C507" s="56"/>
      <c r="D507" s="57"/>
      <c r="E507" s="57"/>
      <c r="F507" s="57"/>
      <c r="G507" s="57"/>
      <c r="H507" s="57"/>
      <c r="I507" s="53"/>
      <c r="J507" s="57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</row>
    <row r="508" spans="1:26" ht="16.5" customHeight="1">
      <c r="A508" s="54"/>
      <c r="B508" s="55"/>
      <c r="C508" s="56"/>
      <c r="D508" s="57"/>
      <c r="E508" s="57"/>
      <c r="F508" s="57"/>
      <c r="G508" s="57"/>
      <c r="H508" s="57"/>
      <c r="I508" s="53"/>
      <c r="J508" s="57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</row>
    <row r="509" spans="1:26" ht="16.5" customHeight="1">
      <c r="A509" s="54"/>
      <c r="B509" s="55"/>
      <c r="C509" s="56"/>
      <c r="D509" s="57"/>
      <c r="E509" s="57"/>
      <c r="F509" s="57"/>
      <c r="G509" s="57"/>
      <c r="H509" s="57"/>
      <c r="I509" s="53"/>
      <c r="J509" s="57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</row>
    <row r="510" spans="1:26" ht="16.5" customHeight="1">
      <c r="A510" s="54"/>
      <c r="B510" s="55"/>
      <c r="C510" s="56"/>
      <c r="D510" s="57"/>
      <c r="E510" s="57"/>
      <c r="F510" s="57"/>
      <c r="G510" s="57"/>
      <c r="H510" s="57"/>
      <c r="I510" s="53"/>
      <c r="J510" s="57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</row>
    <row r="511" spans="1:26" ht="16.5" customHeight="1">
      <c r="A511" s="54"/>
      <c r="B511" s="55"/>
      <c r="C511" s="56"/>
      <c r="D511" s="57"/>
      <c r="E511" s="57"/>
      <c r="F511" s="57"/>
      <c r="G511" s="57"/>
      <c r="H511" s="57"/>
      <c r="I511" s="53"/>
      <c r="J511" s="57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</row>
    <row r="512" spans="1:26" ht="16.5" customHeight="1">
      <c r="A512" s="54"/>
      <c r="B512" s="55"/>
      <c r="C512" s="56"/>
      <c r="D512" s="57"/>
      <c r="E512" s="57"/>
      <c r="F512" s="57"/>
      <c r="G512" s="57"/>
      <c r="H512" s="57"/>
      <c r="I512" s="53"/>
      <c r="J512" s="57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</row>
    <row r="513" spans="1:26" ht="16.5" customHeight="1">
      <c r="A513" s="54"/>
      <c r="B513" s="55"/>
      <c r="C513" s="56"/>
      <c r="D513" s="57"/>
      <c r="E513" s="57"/>
      <c r="F513" s="57"/>
      <c r="G513" s="57"/>
      <c r="H513" s="57"/>
      <c r="I513" s="53"/>
      <c r="J513" s="57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</row>
    <row r="514" spans="1:26" ht="16.5" customHeight="1">
      <c r="A514" s="54"/>
      <c r="B514" s="55"/>
      <c r="C514" s="56"/>
      <c r="D514" s="57"/>
      <c r="E514" s="57"/>
      <c r="F514" s="57"/>
      <c r="G514" s="57"/>
      <c r="H514" s="57"/>
      <c r="I514" s="53"/>
      <c r="J514" s="57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</row>
    <row r="515" spans="1:26" ht="16.5" customHeight="1">
      <c r="A515" s="54"/>
      <c r="B515" s="55"/>
      <c r="C515" s="56"/>
      <c r="D515" s="57"/>
      <c r="E515" s="57"/>
      <c r="F515" s="57"/>
      <c r="G515" s="57"/>
      <c r="H515" s="57"/>
      <c r="I515" s="53"/>
      <c r="J515" s="57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</row>
    <row r="516" spans="1:26" ht="16.5" customHeight="1">
      <c r="A516" s="54"/>
      <c r="B516" s="55"/>
      <c r="C516" s="56"/>
      <c r="D516" s="57"/>
      <c r="E516" s="57"/>
      <c r="F516" s="57"/>
      <c r="G516" s="57"/>
      <c r="H516" s="57"/>
      <c r="I516" s="53"/>
      <c r="J516" s="57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</row>
    <row r="517" spans="1:26" ht="16.5" customHeight="1">
      <c r="A517" s="54"/>
      <c r="B517" s="55"/>
      <c r="C517" s="56"/>
      <c r="D517" s="57"/>
      <c r="E517" s="57"/>
      <c r="F517" s="57"/>
      <c r="G517" s="57"/>
      <c r="H517" s="57"/>
      <c r="I517" s="53"/>
      <c r="J517" s="57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</row>
    <row r="518" spans="1:26" ht="16.5" customHeight="1">
      <c r="A518" s="54"/>
      <c r="B518" s="55"/>
      <c r="C518" s="56"/>
      <c r="D518" s="57"/>
      <c r="E518" s="57"/>
      <c r="F518" s="57"/>
      <c r="G518" s="57"/>
      <c r="H518" s="57"/>
      <c r="I518" s="53"/>
      <c r="J518" s="57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</row>
    <row r="519" spans="1:26" ht="16.5" customHeight="1">
      <c r="A519" s="54"/>
      <c r="B519" s="55"/>
      <c r="C519" s="56"/>
      <c r="D519" s="57"/>
      <c r="E519" s="57"/>
      <c r="F519" s="57"/>
      <c r="G519" s="57"/>
      <c r="H519" s="57"/>
      <c r="I519" s="53"/>
      <c r="J519" s="57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</row>
    <row r="520" spans="1:26" ht="16.5" customHeight="1">
      <c r="A520" s="54"/>
      <c r="B520" s="55"/>
      <c r="C520" s="56"/>
      <c r="D520" s="57"/>
      <c r="E520" s="57"/>
      <c r="F520" s="57"/>
      <c r="G520" s="57"/>
      <c r="H520" s="57"/>
      <c r="I520" s="53"/>
      <c r="J520" s="57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</row>
    <row r="521" spans="1:26" ht="16.5" customHeight="1">
      <c r="A521" s="54"/>
      <c r="B521" s="55"/>
      <c r="C521" s="56"/>
      <c r="D521" s="57"/>
      <c r="E521" s="57"/>
      <c r="F521" s="57"/>
      <c r="G521" s="57"/>
      <c r="H521" s="57"/>
      <c r="I521" s="53"/>
      <c r="J521" s="57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</row>
    <row r="522" spans="1:26" ht="16.5" customHeight="1">
      <c r="A522" s="54"/>
      <c r="B522" s="55"/>
      <c r="C522" s="56"/>
      <c r="D522" s="57"/>
      <c r="E522" s="57"/>
      <c r="F522" s="57"/>
      <c r="G522" s="57"/>
      <c r="H522" s="57"/>
      <c r="I522" s="53"/>
      <c r="J522" s="57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</row>
    <row r="523" spans="1:26" ht="16.5" customHeight="1">
      <c r="A523" s="54"/>
      <c r="B523" s="55"/>
      <c r="C523" s="56"/>
      <c r="D523" s="57"/>
      <c r="E523" s="57"/>
      <c r="F523" s="57"/>
      <c r="G523" s="57"/>
      <c r="H523" s="57"/>
      <c r="I523" s="53"/>
      <c r="J523" s="57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</row>
    <row r="524" spans="1:26" ht="16.5" customHeight="1">
      <c r="A524" s="54"/>
      <c r="B524" s="55"/>
      <c r="C524" s="56"/>
      <c r="D524" s="57"/>
      <c r="E524" s="57"/>
      <c r="F524" s="57"/>
      <c r="G524" s="57"/>
      <c r="H524" s="57"/>
      <c r="I524" s="53"/>
      <c r="J524" s="57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</row>
    <row r="525" spans="1:26" ht="16.5" customHeight="1">
      <c r="A525" s="54"/>
      <c r="B525" s="55"/>
      <c r="C525" s="56"/>
      <c r="D525" s="57"/>
      <c r="E525" s="57"/>
      <c r="F525" s="57"/>
      <c r="G525" s="57"/>
      <c r="H525" s="57"/>
      <c r="I525" s="53"/>
      <c r="J525" s="57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</row>
    <row r="526" spans="1:26" ht="16.5" customHeight="1">
      <c r="A526" s="54"/>
      <c r="B526" s="55"/>
      <c r="C526" s="56"/>
      <c r="D526" s="57"/>
      <c r="E526" s="57"/>
      <c r="F526" s="57"/>
      <c r="G526" s="57"/>
      <c r="H526" s="57"/>
      <c r="I526" s="53"/>
      <c r="J526" s="57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</row>
    <row r="527" spans="1:26" ht="16.5" customHeight="1">
      <c r="A527" s="54"/>
      <c r="B527" s="55"/>
      <c r="C527" s="56"/>
      <c r="D527" s="57"/>
      <c r="E527" s="57"/>
      <c r="F527" s="57"/>
      <c r="G527" s="57"/>
      <c r="H527" s="57"/>
      <c r="I527" s="53"/>
      <c r="J527" s="57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</row>
    <row r="528" spans="1:26" ht="16.5" customHeight="1">
      <c r="A528" s="54"/>
      <c r="B528" s="55"/>
      <c r="C528" s="56"/>
      <c r="D528" s="57"/>
      <c r="E528" s="57"/>
      <c r="F528" s="57"/>
      <c r="G528" s="57"/>
      <c r="H528" s="57"/>
      <c r="I528" s="53"/>
      <c r="J528" s="57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</row>
    <row r="529" spans="1:26" ht="16.5" customHeight="1">
      <c r="A529" s="54"/>
      <c r="B529" s="55"/>
      <c r="C529" s="56"/>
      <c r="D529" s="57"/>
      <c r="E529" s="57"/>
      <c r="F529" s="57"/>
      <c r="G529" s="57"/>
      <c r="H529" s="57"/>
      <c r="I529" s="53"/>
      <c r="J529" s="57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</row>
    <row r="530" spans="1:26" ht="16.5" customHeight="1">
      <c r="A530" s="54"/>
      <c r="B530" s="55"/>
      <c r="C530" s="56"/>
      <c r="D530" s="57"/>
      <c r="E530" s="57"/>
      <c r="F530" s="57"/>
      <c r="G530" s="57"/>
      <c r="H530" s="57"/>
      <c r="I530" s="53"/>
      <c r="J530" s="57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</row>
    <row r="531" spans="1:26" ht="16.5" customHeight="1">
      <c r="A531" s="54"/>
      <c r="B531" s="55"/>
      <c r="C531" s="56"/>
      <c r="D531" s="57"/>
      <c r="E531" s="57"/>
      <c r="F531" s="57"/>
      <c r="G531" s="57"/>
      <c r="H531" s="57"/>
      <c r="I531" s="53"/>
      <c r="J531" s="57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</row>
    <row r="532" spans="1:26" ht="16.5" customHeight="1">
      <c r="A532" s="54"/>
      <c r="B532" s="55"/>
      <c r="C532" s="56"/>
      <c r="D532" s="57"/>
      <c r="E532" s="57"/>
      <c r="F532" s="57"/>
      <c r="G532" s="57"/>
      <c r="H532" s="57"/>
      <c r="I532" s="53"/>
      <c r="J532" s="57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</row>
    <row r="533" spans="1:26" ht="16.5" customHeight="1">
      <c r="A533" s="54"/>
      <c r="B533" s="55"/>
      <c r="C533" s="56"/>
      <c r="D533" s="57"/>
      <c r="E533" s="57"/>
      <c r="F533" s="57"/>
      <c r="G533" s="57"/>
      <c r="H533" s="57"/>
      <c r="I533" s="53"/>
      <c r="J533" s="57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</row>
    <row r="534" spans="1:26" ht="16.5" customHeight="1">
      <c r="A534" s="54"/>
      <c r="B534" s="55"/>
      <c r="C534" s="56"/>
      <c r="D534" s="57"/>
      <c r="E534" s="57"/>
      <c r="F534" s="57"/>
      <c r="G534" s="57"/>
      <c r="H534" s="57"/>
      <c r="I534" s="53"/>
      <c r="J534" s="57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</row>
    <row r="535" spans="1:26" ht="16.5" customHeight="1">
      <c r="A535" s="54"/>
      <c r="B535" s="55"/>
      <c r="C535" s="56"/>
      <c r="D535" s="57"/>
      <c r="E535" s="57"/>
      <c r="F535" s="57"/>
      <c r="G535" s="57"/>
      <c r="H535" s="57"/>
      <c r="I535" s="53"/>
      <c r="J535" s="57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</row>
    <row r="536" spans="1:26" ht="16.5" customHeight="1">
      <c r="A536" s="54"/>
      <c r="B536" s="55"/>
      <c r="C536" s="56"/>
      <c r="D536" s="57"/>
      <c r="E536" s="57"/>
      <c r="F536" s="57"/>
      <c r="G536" s="57"/>
      <c r="H536" s="57"/>
      <c r="I536" s="53"/>
      <c r="J536" s="57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</row>
    <row r="537" spans="1:26" ht="16.5" customHeight="1">
      <c r="A537" s="54"/>
      <c r="B537" s="55"/>
      <c r="C537" s="56"/>
      <c r="D537" s="57"/>
      <c r="E537" s="57"/>
      <c r="F537" s="57"/>
      <c r="G537" s="57"/>
      <c r="H537" s="57"/>
      <c r="I537" s="53"/>
      <c r="J537" s="57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</row>
    <row r="538" spans="1:26" ht="16.5" customHeight="1">
      <c r="A538" s="54"/>
      <c r="B538" s="55"/>
      <c r="C538" s="56"/>
      <c r="D538" s="57"/>
      <c r="E538" s="57"/>
      <c r="F538" s="57"/>
      <c r="G538" s="57"/>
      <c r="H538" s="57"/>
      <c r="I538" s="53"/>
      <c r="J538" s="57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</row>
    <row r="539" spans="1:26" ht="16.5" customHeight="1">
      <c r="A539" s="54"/>
      <c r="B539" s="55"/>
      <c r="C539" s="56"/>
      <c r="D539" s="57"/>
      <c r="E539" s="57"/>
      <c r="F539" s="57"/>
      <c r="G539" s="57"/>
      <c r="H539" s="57"/>
      <c r="I539" s="53"/>
      <c r="J539" s="57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</row>
    <row r="540" spans="1:26" ht="16.5" customHeight="1">
      <c r="A540" s="54"/>
      <c r="B540" s="55"/>
      <c r="C540" s="56"/>
      <c r="D540" s="57"/>
      <c r="E540" s="57"/>
      <c r="F540" s="57"/>
      <c r="G540" s="57"/>
      <c r="H540" s="57"/>
      <c r="I540" s="53"/>
      <c r="J540" s="57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</row>
    <row r="541" spans="1:26" ht="16.5" customHeight="1">
      <c r="A541" s="54"/>
      <c r="B541" s="55"/>
      <c r="C541" s="56"/>
      <c r="D541" s="57"/>
      <c r="E541" s="57"/>
      <c r="F541" s="57"/>
      <c r="G541" s="57"/>
      <c r="H541" s="57"/>
      <c r="I541" s="53"/>
      <c r="J541" s="57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</row>
    <row r="542" spans="1:26" ht="16.5" customHeight="1">
      <c r="A542" s="54"/>
      <c r="B542" s="55"/>
      <c r="C542" s="56"/>
      <c r="D542" s="57"/>
      <c r="E542" s="57"/>
      <c r="F542" s="57"/>
      <c r="G542" s="57"/>
      <c r="H542" s="57"/>
      <c r="I542" s="53"/>
      <c r="J542" s="57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</row>
    <row r="543" spans="1:26" ht="16.5" customHeight="1">
      <c r="A543" s="54"/>
      <c r="B543" s="55"/>
      <c r="C543" s="56"/>
      <c r="D543" s="57"/>
      <c r="E543" s="57"/>
      <c r="F543" s="57"/>
      <c r="G543" s="57"/>
      <c r="H543" s="57"/>
      <c r="I543" s="53"/>
      <c r="J543" s="57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</row>
    <row r="544" spans="1:26" ht="16.5" customHeight="1">
      <c r="A544" s="54"/>
      <c r="B544" s="55"/>
      <c r="C544" s="56"/>
      <c r="D544" s="57"/>
      <c r="E544" s="57"/>
      <c r="F544" s="57"/>
      <c r="G544" s="57"/>
      <c r="H544" s="57"/>
      <c r="I544" s="53"/>
      <c r="J544" s="57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</row>
    <row r="545" spans="1:26" ht="16.5" customHeight="1">
      <c r="A545" s="54"/>
      <c r="B545" s="55"/>
      <c r="C545" s="56"/>
      <c r="D545" s="57"/>
      <c r="E545" s="57"/>
      <c r="F545" s="57"/>
      <c r="G545" s="57"/>
      <c r="H545" s="57"/>
      <c r="I545" s="53"/>
      <c r="J545" s="57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</row>
    <row r="546" spans="1:26" ht="16.5" customHeight="1">
      <c r="A546" s="54"/>
      <c r="B546" s="55"/>
      <c r="C546" s="56"/>
      <c r="D546" s="57"/>
      <c r="E546" s="57"/>
      <c r="F546" s="57"/>
      <c r="G546" s="57"/>
      <c r="H546" s="57"/>
      <c r="I546" s="53"/>
      <c r="J546" s="57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</row>
    <row r="547" spans="1:26" ht="16.5" customHeight="1">
      <c r="A547" s="54"/>
      <c r="B547" s="55"/>
      <c r="C547" s="56"/>
      <c r="D547" s="57"/>
      <c r="E547" s="57"/>
      <c r="F547" s="57"/>
      <c r="G547" s="57"/>
      <c r="H547" s="57"/>
      <c r="I547" s="53"/>
      <c r="J547" s="57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</row>
    <row r="548" spans="1:26" ht="16.5" customHeight="1">
      <c r="A548" s="54"/>
      <c r="B548" s="55"/>
      <c r="C548" s="56"/>
      <c r="D548" s="57"/>
      <c r="E548" s="57"/>
      <c r="F548" s="57"/>
      <c r="G548" s="57"/>
      <c r="H548" s="57"/>
      <c r="I548" s="53"/>
      <c r="J548" s="57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</row>
    <row r="549" spans="1:26" ht="16.5" customHeight="1">
      <c r="A549" s="54"/>
      <c r="B549" s="55"/>
      <c r="C549" s="56"/>
      <c r="D549" s="57"/>
      <c r="E549" s="57"/>
      <c r="F549" s="57"/>
      <c r="G549" s="57"/>
      <c r="H549" s="57"/>
      <c r="I549" s="53"/>
      <c r="J549" s="57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</row>
    <row r="550" spans="1:26" ht="16.5" customHeight="1">
      <c r="A550" s="54"/>
      <c r="B550" s="55"/>
      <c r="C550" s="56"/>
      <c r="D550" s="57"/>
      <c r="E550" s="57"/>
      <c r="F550" s="57"/>
      <c r="G550" s="57"/>
      <c r="H550" s="57"/>
      <c r="I550" s="53"/>
      <c r="J550" s="57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</row>
    <row r="551" spans="1:26" ht="16.5" customHeight="1">
      <c r="A551" s="54"/>
      <c r="B551" s="55"/>
      <c r="C551" s="56"/>
      <c r="D551" s="57"/>
      <c r="E551" s="57"/>
      <c r="F551" s="57"/>
      <c r="G551" s="57"/>
      <c r="H551" s="57"/>
      <c r="I551" s="53"/>
      <c r="J551" s="57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</row>
    <row r="552" spans="1:26" ht="16.5" customHeight="1">
      <c r="A552" s="54"/>
      <c r="B552" s="55"/>
      <c r="C552" s="56"/>
      <c r="D552" s="57"/>
      <c r="E552" s="57"/>
      <c r="F552" s="57"/>
      <c r="G552" s="57"/>
      <c r="H552" s="57"/>
      <c r="I552" s="53"/>
      <c r="J552" s="57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</row>
    <row r="553" spans="1:26" ht="16.5" customHeight="1">
      <c r="A553" s="54"/>
      <c r="B553" s="55"/>
      <c r="C553" s="56"/>
      <c r="D553" s="57"/>
      <c r="E553" s="57"/>
      <c r="F553" s="57"/>
      <c r="G553" s="57"/>
      <c r="H553" s="57"/>
      <c r="I553" s="53"/>
      <c r="J553" s="57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</row>
    <row r="554" spans="1:26" ht="16.5" customHeight="1">
      <c r="A554" s="54"/>
      <c r="B554" s="55"/>
      <c r="C554" s="56"/>
      <c r="D554" s="57"/>
      <c r="E554" s="57"/>
      <c r="F554" s="57"/>
      <c r="G554" s="57"/>
      <c r="H554" s="57"/>
      <c r="I554" s="53"/>
      <c r="J554" s="57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</row>
    <row r="555" spans="1:26" ht="16.5" customHeight="1">
      <c r="A555" s="54"/>
      <c r="B555" s="55"/>
      <c r="C555" s="56"/>
      <c r="D555" s="57"/>
      <c r="E555" s="57"/>
      <c r="F555" s="57"/>
      <c r="G555" s="57"/>
      <c r="H555" s="57"/>
      <c r="I555" s="53"/>
      <c r="J555" s="57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</row>
    <row r="556" spans="1:26" ht="16.5" customHeight="1">
      <c r="A556" s="54"/>
      <c r="B556" s="55"/>
      <c r="C556" s="56"/>
      <c r="D556" s="57"/>
      <c r="E556" s="57"/>
      <c r="F556" s="57"/>
      <c r="G556" s="57"/>
      <c r="H556" s="57"/>
      <c r="I556" s="53"/>
      <c r="J556" s="57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</row>
    <row r="557" spans="1:26" ht="16.5" customHeight="1">
      <c r="A557" s="54"/>
      <c r="B557" s="55"/>
      <c r="C557" s="56"/>
      <c r="D557" s="57"/>
      <c r="E557" s="57"/>
      <c r="F557" s="57"/>
      <c r="G557" s="57"/>
      <c r="H557" s="57"/>
      <c r="I557" s="53"/>
      <c r="J557" s="57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</row>
    <row r="558" spans="1:26" ht="16.5" customHeight="1">
      <c r="A558" s="54"/>
      <c r="B558" s="55"/>
      <c r="C558" s="56"/>
      <c r="D558" s="57"/>
      <c r="E558" s="57"/>
      <c r="F558" s="57"/>
      <c r="G558" s="57"/>
      <c r="H558" s="57"/>
      <c r="I558" s="53"/>
      <c r="J558" s="57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</row>
    <row r="559" spans="1:26" ht="16.5" customHeight="1">
      <c r="A559" s="54"/>
      <c r="B559" s="55"/>
      <c r="C559" s="56"/>
      <c r="D559" s="57"/>
      <c r="E559" s="57"/>
      <c r="F559" s="57"/>
      <c r="G559" s="57"/>
      <c r="H559" s="57"/>
      <c r="I559" s="53"/>
      <c r="J559" s="57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</row>
    <row r="560" spans="1:26" ht="16.5" customHeight="1">
      <c r="A560" s="54"/>
      <c r="B560" s="55"/>
      <c r="C560" s="56"/>
      <c r="D560" s="57"/>
      <c r="E560" s="57"/>
      <c r="F560" s="57"/>
      <c r="G560" s="57"/>
      <c r="H560" s="57"/>
      <c r="I560" s="53"/>
      <c r="J560" s="57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</row>
    <row r="561" spans="1:26" ht="16.5" customHeight="1">
      <c r="A561" s="54"/>
      <c r="B561" s="55"/>
      <c r="C561" s="56"/>
      <c r="D561" s="57"/>
      <c r="E561" s="57"/>
      <c r="F561" s="57"/>
      <c r="G561" s="57"/>
      <c r="H561" s="57"/>
      <c r="I561" s="53"/>
      <c r="J561" s="57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</row>
    <row r="562" spans="1:26" ht="16.5" customHeight="1">
      <c r="A562" s="54"/>
      <c r="B562" s="55"/>
      <c r="C562" s="56"/>
      <c r="D562" s="57"/>
      <c r="E562" s="57"/>
      <c r="F562" s="57"/>
      <c r="G562" s="57"/>
      <c r="H562" s="57"/>
      <c r="I562" s="53"/>
      <c r="J562" s="57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</row>
    <row r="563" spans="1:26" ht="16.5" customHeight="1">
      <c r="A563" s="54"/>
      <c r="B563" s="55"/>
      <c r="C563" s="56"/>
      <c r="D563" s="57"/>
      <c r="E563" s="57"/>
      <c r="F563" s="57"/>
      <c r="G563" s="57"/>
      <c r="H563" s="57"/>
      <c r="I563" s="53"/>
      <c r="J563" s="57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</row>
    <row r="564" spans="1:26" ht="16.5" customHeight="1">
      <c r="A564" s="54"/>
      <c r="B564" s="55"/>
      <c r="C564" s="56"/>
      <c r="D564" s="57"/>
      <c r="E564" s="57"/>
      <c r="F564" s="57"/>
      <c r="G564" s="57"/>
      <c r="H564" s="57"/>
      <c r="I564" s="53"/>
      <c r="J564" s="57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</row>
    <row r="565" spans="1:26" ht="16.5" customHeight="1">
      <c r="A565" s="54"/>
      <c r="B565" s="55"/>
      <c r="C565" s="56"/>
      <c r="D565" s="57"/>
      <c r="E565" s="57"/>
      <c r="F565" s="57"/>
      <c r="G565" s="57"/>
      <c r="H565" s="57"/>
      <c r="I565" s="53"/>
      <c r="J565" s="57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</row>
    <row r="566" spans="1:26" ht="16.5" customHeight="1">
      <c r="A566" s="54"/>
      <c r="B566" s="55"/>
      <c r="C566" s="56"/>
      <c r="D566" s="57"/>
      <c r="E566" s="57"/>
      <c r="F566" s="57"/>
      <c r="G566" s="57"/>
      <c r="H566" s="57"/>
      <c r="I566" s="53"/>
      <c r="J566" s="57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</row>
    <row r="567" spans="1:26" ht="16.5" customHeight="1">
      <c r="A567" s="54"/>
      <c r="B567" s="55"/>
      <c r="C567" s="56"/>
      <c r="D567" s="57"/>
      <c r="E567" s="57"/>
      <c r="F567" s="57"/>
      <c r="G567" s="57"/>
      <c r="H567" s="57"/>
      <c r="I567" s="53"/>
      <c r="J567" s="57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</row>
    <row r="568" spans="1:26" ht="16.5" customHeight="1">
      <c r="A568" s="54"/>
      <c r="B568" s="55"/>
      <c r="C568" s="56"/>
      <c r="D568" s="57"/>
      <c r="E568" s="57"/>
      <c r="F568" s="57"/>
      <c r="G568" s="57"/>
      <c r="H568" s="57"/>
      <c r="I568" s="53"/>
      <c r="J568" s="57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</row>
    <row r="569" spans="1:26" ht="16.5" customHeight="1">
      <c r="A569" s="54"/>
      <c r="B569" s="55"/>
      <c r="C569" s="56"/>
      <c r="D569" s="57"/>
      <c r="E569" s="57"/>
      <c r="F569" s="57"/>
      <c r="G569" s="57"/>
      <c r="H569" s="57"/>
      <c r="I569" s="53"/>
      <c r="J569" s="57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</row>
    <row r="570" spans="1:26" ht="16.5" customHeight="1">
      <c r="A570" s="54"/>
      <c r="B570" s="55"/>
      <c r="C570" s="56"/>
      <c r="D570" s="57"/>
      <c r="E570" s="57"/>
      <c r="F570" s="57"/>
      <c r="G570" s="57"/>
      <c r="H570" s="57"/>
      <c r="I570" s="53"/>
      <c r="J570" s="57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</row>
    <row r="571" spans="1:26" ht="16.5" customHeight="1">
      <c r="A571" s="54"/>
      <c r="B571" s="55"/>
      <c r="C571" s="56"/>
      <c r="D571" s="57"/>
      <c r="E571" s="57"/>
      <c r="F571" s="57"/>
      <c r="G571" s="57"/>
      <c r="H571" s="57"/>
      <c r="I571" s="53"/>
      <c r="J571" s="57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</row>
    <row r="572" spans="1:26" ht="16.5" customHeight="1">
      <c r="A572" s="54"/>
      <c r="B572" s="55"/>
      <c r="C572" s="56"/>
      <c r="D572" s="57"/>
      <c r="E572" s="57"/>
      <c r="F572" s="57"/>
      <c r="G572" s="57"/>
      <c r="H572" s="57"/>
      <c r="I572" s="53"/>
      <c r="J572" s="57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</row>
    <row r="573" spans="1:26" ht="16.5" customHeight="1">
      <c r="A573" s="54"/>
      <c r="B573" s="55"/>
      <c r="C573" s="56"/>
      <c r="D573" s="57"/>
      <c r="E573" s="57"/>
      <c r="F573" s="57"/>
      <c r="G573" s="57"/>
      <c r="H573" s="57"/>
      <c r="I573" s="53"/>
      <c r="J573" s="57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</row>
    <row r="574" spans="1:26" ht="16.5" customHeight="1">
      <c r="A574" s="54"/>
      <c r="B574" s="55"/>
      <c r="C574" s="56"/>
      <c r="D574" s="57"/>
      <c r="E574" s="57"/>
      <c r="F574" s="57"/>
      <c r="G574" s="57"/>
      <c r="H574" s="57"/>
      <c r="I574" s="53"/>
      <c r="J574" s="57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</row>
    <row r="575" spans="1:26" ht="16.5" customHeight="1">
      <c r="A575" s="54"/>
      <c r="B575" s="55"/>
      <c r="C575" s="56"/>
      <c r="D575" s="57"/>
      <c r="E575" s="57"/>
      <c r="F575" s="57"/>
      <c r="G575" s="57"/>
      <c r="H575" s="57"/>
      <c r="I575" s="53"/>
      <c r="J575" s="57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</row>
    <row r="576" spans="1:26" ht="16.5" customHeight="1">
      <c r="A576" s="54"/>
      <c r="B576" s="55"/>
      <c r="C576" s="56"/>
      <c r="D576" s="57"/>
      <c r="E576" s="57"/>
      <c r="F576" s="57"/>
      <c r="G576" s="57"/>
      <c r="H576" s="57"/>
      <c r="I576" s="53"/>
      <c r="J576" s="57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</row>
    <row r="577" spans="1:26" ht="16.5" customHeight="1">
      <c r="A577" s="54"/>
      <c r="B577" s="55"/>
      <c r="C577" s="56"/>
      <c r="D577" s="57"/>
      <c r="E577" s="57"/>
      <c r="F577" s="57"/>
      <c r="G577" s="57"/>
      <c r="H577" s="57"/>
      <c r="I577" s="53"/>
      <c r="J577" s="57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</row>
    <row r="578" spans="1:26" ht="16.5" customHeight="1">
      <c r="A578" s="54"/>
      <c r="B578" s="55"/>
      <c r="C578" s="56"/>
      <c r="D578" s="57"/>
      <c r="E578" s="57"/>
      <c r="F578" s="57"/>
      <c r="G578" s="57"/>
      <c r="H578" s="57"/>
      <c r="I578" s="53"/>
      <c r="J578" s="57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</row>
    <row r="579" spans="1:26" ht="16.5" customHeight="1">
      <c r="A579" s="54"/>
      <c r="B579" s="55"/>
      <c r="C579" s="56"/>
      <c r="D579" s="57"/>
      <c r="E579" s="57"/>
      <c r="F579" s="57"/>
      <c r="G579" s="57"/>
      <c r="H579" s="57"/>
      <c r="I579" s="53"/>
      <c r="J579" s="57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</row>
    <row r="580" spans="1:26" ht="16.5" customHeight="1">
      <c r="A580" s="54"/>
      <c r="B580" s="55"/>
      <c r="C580" s="56"/>
      <c r="D580" s="57"/>
      <c r="E580" s="57"/>
      <c r="F580" s="57"/>
      <c r="G580" s="57"/>
      <c r="H580" s="57"/>
      <c r="I580" s="53"/>
      <c r="J580" s="57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</row>
    <row r="581" spans="1:26" ht="16.5" customHeight="1">
      <c r="A581" s="54"/>
      <c r="B581" s="55"/>
      <c r="C581" s="56"/>
      <c r="D581" s="57"/>
      <c r="E581" s="57"/>
      <c r="F581" s="57"/>
      <c r="G581" s="57"/>
      <c r="H581" s="57"/>
      <c r="I581" s="53"/>
      <c r="J581" s="57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</row>
    <row r="582" spans="1:26" ht="16.5" customHeight="1">
      <c r="A582" s="54"/>
      <c r="B582" s="55"/>
      <c r="C582" s="56"/>
      <c r="D582" s="57"/>
      <c r="E582" s="57"/>
      <c r="F582" s="57"/>
      <c r="G582" s="57"/>
      <c r="H582" s="57"/>
      <c r="I582" s="53"/>
      <c r="J582" s="57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</row>
    <row r="583" spans="1:26" ht="16.5" customHeight="1">
      <c r="A583" s="54"/>
      <c r="B583" s="55"/>
      <c r="C583" s="56"/>
      <c r="D583" s="57"/>
      <c r="E583" s="57"/>
      <c r="F583" s="57"/>
      <c r="G583" s="57"/>
      <c r="H583" s="57"/>
      <c r="I583" s="53"/>
      <c r="J583" s="57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</row>
    <row r="584" spans="1:26" ht="16.5" customHeight="1">
      <c r="A584" s="54"/>
      <c r="B584" s="55"/>
      <c r="C584" s="56"/>
      <c r="D584" s="57"/>
      <c r="E584" s="57"/>
      <c r="F584" s="57"/>
      <c r="G584" s="57"/>
      <c r="H584" s="57"/>
      <c r="I584" s="53"/>
      <c r="J584" s="57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</row>
    <row r="585" spans="1:26" ht="16.5" customHeight="1">
      <c r="A585" s="54"/>
      <c r="B585" s="55"/>
      <c r="C585" s="56"/>
      <c r="D585" s="57"/>
      <c r="E585" s="57"/>
      <c r="F585" s="57"/>
      <c r="G585" s="57"/>
      <c r="H585" s="57"/>
      <c r="I585" s="53"/>
      <c r="J585" s="57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</row>
    <row r="586" spans="1:26" ht="16.5" customHeight="1">
      <c r="A586" s="54"/>
      <c r="B586" s="55"/>
      <c r="C586" s="56"/>
      <c r="D586" s="57"/>
      <c r="E586" s="57"/>
      <c r="F586" s="57"/>
      <c r="G586" s="57"/>
      <c r="H586" s="57"/>
      <c r="I586" s="53"/>
      <c r="J586" s="57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</row>
    <row r="587" spans="1:26" ht="16.5" customHeight="1">
      <c r="A587" s="54"/>
      <c r="B587" s="55"/>
      <c r="C587" s="56"/>
      <c r="D587" s="57"/>
      <c r="E587" s="57"/>
      <c r="F587" s="57"/>
      <c r="G587" s="57"/>
      <c r="H587" s="57"/>
      <c r="I587" s="53"/>
      <c r="J587" s="57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</row>
    <row r="588" spans="1:26" ht="16.5" customHeight="1">
      <c r="A588" s="54"/>
      <c r="B588" s="55"/>
      <c r="C588" s="56"/>
      <c r="D588" s="57"/>
      <c r="E588" s="57"/>
      <c r="F588" s="57"/>
      <c r="G588" s="57"/>
      <c r="H588" s="57"/>
      <c r="I588" s="53"/>
      <c r="J588" s="57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</row>
    <row r="589" spans="1:26" ht="16.5" customHeight="1">
      <c r="A589" s="54"/>
      <c r="B589" s="55"/>
      <c r="C589" s="56"/>
      <c r="D589" s="57"/>
      <c r="E589" s="57"/>
      <c r="F589" s="57"/>
      <c r="G589" s="57"/>
      <c r="H589" s="57"/>
      <c r="I589" s="53"/>
      <c r="J589" s="57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</row>
    <row r="590" spans="1:26" ht="16.5" customHeight="1">
      <c r="A590" s="54"/>
      <c r="B590" s="55"/>
      <c r="C590" s="56"/>
      <c r="D590" s="57"/>
      <c r="E590" s="57"/>
      <c r="F590" s="57"/>
      <c r="G590" s="57"/>
      <c r="H590" s="57"/>
      <c r="I590" s="53"/>
      <c r="J590" s="57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</row>
    <row r="591" spans="1:26" ht="16.5" customHeight="1">
      <c r="A591" s="54"/>
      <c r="B591" s="55"/>
      <c r="C591" s="56"/>
      <c r="D591" s="57"/>
      <c r="E591" s="57"/>
      <c r="F591" s="57"/>
      <c r="G591" s="57"/>
      <c r="H591" s="57"/>
      <c r="I591" s="53"/>
      <c r="J591" s="57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</row>
    <row r="592" spans="1:26" ht="16.5" customHeight="1">
      <c r="A592" s="54"/>
      <c r="B592" s="55"/>
      <c r="C592" s="56"/>
      <c r="D592" s="57"/>
      <c r="E592" s="57"/>
      <c r="F592" s="57"/>
      <c r="G592" s="57"/>
      <c r="H592" s="57"/>
      <c r="I592" s="53"/>
      <c r="J592" s="57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</row>
    <row r="593" spans="1:26" ht="16.5" customHeight="1">
      <c r="A593" s="54"/>
      <c r="B593" s="55"/>
      <c r="C593" s="56"/>
      <c r="D593" s="57"/>
      <c r="E593" s="57"/>
      <c r="F593" s="57"/>
      <c r="G593" s="57"/>
      <c r="H593" s="57"/>
      <c r="I593" s="53"/>
      <c r="J593" s="57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</row>
    <row r="594" spans="1:26" ht="16.5" customHeight="1">
      <c r="A594" s="54"/>
      <c r="B594" s="55"/>
      <c r="C594" s="56"/>
      <c r="D594" s="57"/>
      <c r="E594" s="57"/>
      <c r="F594" s="57"/>
      <c r="G594" s="57"/>
      <c r="H594" s="57"/>
      <c r="I594" s="53"/>
      <c r="J594" s="57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</row>
    <row r="595" spans="1:26" ht="16.5" customHeight="1">
      <c r="A595" s="54"/>
      <c r="B595" s="55"/>
      <c r="C595" s="56"/>
      <c r="D595" s="57"/>
      <c r="E595" s="57"/>
      <c r="F595" s="57"/>
      <c r="G595" s="57"/>
      <c r="H595" s="57"/>
      <c r="I595" s="53"/>
      <c r="J595" s="57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</row>
    <row r="596" spans="1:26" ht="16.5" customHeight="1">
      <c r="A596" s="54"/>
      <c r="B596" s="55"/>
      <c r="C596" s="56"/>
      <c r="D596" s="57"/>
      <c r="E596" s="57"/>
      <c r="F596" s="57"/>
      <c r="G596" s="57"/>
      <c r="H596" s="57"/>
      <c r="I596" s="53"/>
      <c r="J596" s="57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</row>
    <row r="597" spans="1:26" ht="16.5" customHeight="1">
      <c r="A597" s="54"/>
      <c r="B597" s="55"/>
      <c r="C597" s="56"/>
      <c r="D597" s="57"/>
      <c r="E597" s="57"/>
      <c r="F597" s="57"/>
      <c r="G597" s="57"/>
      <c r="H597" s="57"/>
      <c r="I597" s="53"/>
      <c r="J597" s="57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</row>
    <row r="598" spans="1:26" ht="16.5" customHeight="1">
      <c r="A598" s="54"/>
      <c r="B598" s="55"/>
      <c r="C598" s="56"/>
      <c r="D598" s="57"/>
      <c r="E598" s="57"/>
      <c r="F598" s="57"/>
      <c r="G598" s="57"/>
      <c r="H598" s="57"/>
      <c r="I598" s="53"/>
      <c r="J598" s="57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</row>
    <row r="599" spans="1:26" ht="16.5" customHeight="1">
      <c r="A599" s="54"/>
      <c r="B599" s="55"/>
      <c r="C599" s="56"/>
      <c r="D599" s="57"/>
      <c r="E599" s="57"/>
      <c r="F599" s="57"/>
      <c r="G599" s="57"/>
      <c r="H599" s="57"/>
      <c r="I599" s="53"/>
      <c r="J599" s="57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</row>
    <row r="600" spans="1:26" ht="16.5" customHeight="1">
      <c r="A600" s="54"/>
      <c r="B600" s="55"/>
      <c r="C600" s="56"/>
      <c r="D600" s="57"/>
      <c r="E600" s="57"/>
      <c r="F600" s="57"/>
      <c r="G600" s="57"/>
      <c r="H600" s="57"/>
      <c r="I600" s="53"/>
      <c r="J600" s="57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</row>
    <row r="601" spans="1:26" ht="16.5" customHeight="1">
      <c r="A601" s="54"/>
      <c r="B601" s="55"/>
      <c r="C601" s="56"/>
      <c r="D601" s="57"/>
      <c r="E601" s="57"/>
      <c r="F601" s="57"/>
      <c r="G601" s="57"/>
      <c r="H601" s="57"/>
      <c r="I601" s="53"/>
      <c r="J601" s="57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</row>
    <row r="602" spans="1:26" ht="16.5" customHeight="1">
      <c r="A602" s="54"/>
      <c r="B602" s="55"/>
      <c r="C602" s="56"/>
      <c r="D602" s="57"/>
      <c r="E602" s="57"/>
      <c r="F602" s="57"/>
      <c r="G602" s="57"/>
      <c r="H602" s="57"/>
      <c r="I602" s="53"/>
      <c r="J602" s="57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</row>
    <row r="603" spans="1:26" ht="16.5" customHeight="1">
      <c r="A603" s="54"/>
      <c r="B603" s="55"/>
      <c r="C603" s="56"/>
      <c r="D603" s="57"/>
      <c r="E603" s="57"/>
      <c r="F603" s="57"/>
      <c r="G603" s="57"/>
      <c r="H603" s="57"/>
      <c r="I603" s="53"/>
      <c r="J603" s="57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</row>
    <row r="604" spans="1:26" ht="16.5" customHeight="1">
      <c r="A604" s="54"/>
      <c r="B604" s="55"/>
      <c r="C604" s="56"/>
      <c r="D604" s="57"/>
      <c r="E604" s="57"/>
      <c r="F604" s="57"/>
      <c r="G604" s="57"/>
      <c r="H604" s="57"/>
      <c r="I604" s="53"/>
      <c r="J604" s="57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</row>
    <row r="605" spans="1:26" ht="16.5" customHeight="1">
      <c r="A605" s="54"/>
      <c r="B605" s="55"/>
      <c r="C605" s="56"/>
      <c r="D605" s="57"/>
      <c r="E605" s="57"/>
      <c r="F605" s="57"/>
      <c r="G605" s="57"/>
      <c r="H605" s="57"/>
      <c r="I605" s="53"/>
      <c r="J605" s="57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</row>
    <row r="606" spans="1:26" ht="16.5" customHeight="1">
      <c r="A606" s="54"/>
      <c r="B606" s="55"/>
      <c r="C606" s="56"/>
      <c r="D606" s="57"/>
      <c r="E606" s="57"/>
      <c r="F606" s="57"/>
      <c r="G606" s="57"/>
      <c r="H606" s="57"/>
      <c r="I606" s="53"/>
      <c r="J606" s="57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</row>
    <row r="607" spans="1:26" ht="16.5" customHeight="1">
      <c r="A607" s="54"/>
      <c r="B607" s="55"/>
      <c r="C607" s="56"/>
      <c r="D607" s="57"/>
      <c r="E607" s="57"/>
      <c r="F607" s="57"/>
      <c r="G607" s="57"/>
      <c r="H607" s="57"/>
      <c r="I607" s="53"/>
      <c r="J607" s="57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</row>
    <row r="608" spans="1:26" ht="16.5" customHeight="1">
      <c r="A608" s="54"/>
      <c r="B608" s="55"/>
      <c r="C608" s="56"/>
      <c r="D608" s="57"/>
      <c r="E608" s="57"/>
      <c r="F608" s="57"/>
      <c r="G608" s="57"/>
      <c r="H608" s="57"/>
      <c r="I608" s="53"/>
      <c r="J608" s="57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</row>
    <row r="609" spans="1:26" ht="16.5" customHeight="1">
      <c r="A609" s="54"/>
      <c r="B609" s="55"/>
      <c r="C609" s="56"/>
      <c r="D609" s="57"/>
      <c r="E609" s="57"/>
      <c r="F609" s="57"/>
      <c r="G609" s="57"/>
      <c r="H609" s="57"/>
      <c r="I609" s="53"/>
      <c r="J609" s="57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</row>
    <row r="610" spans="1:26" ht="16.5" customHeight="1">
      <c r="A610" s="54"/>
      <c r="B610" s="55"/>
      <c r="C610" s="56"/>
      <c r="D610" s="57"/>
      <c r="E610" s="57"/>
      <c r="F610" s="57"/>
      <c r="G610" s="57"/>
      <c r="H610" s="57"/>
      <c r="I610" s="53"/>
      <c r="J610" s="57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</row>
    <row r="611" spans="1:26" ht="16.5" customHeight="1">
      <c r="A611" s="54"/>
      <c r="B611" s="55"/>
      <c r="C611" s="56"/>
      <c r="D611" s="57"/>
      <c r="E611" s="57"/>
      <c r="F611" s="57"/>
      <c r="G611" s="57"/>
      <c r="H611" s="57"/>
      <c r="I611" s="53"/>
      <c r="J611" s="57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</row>
    <row r="612" spans="1:26" ht="16.5" customHeight="1">
      <c r="A612" s="54"/>
      <c r="B612" s="55"/>
      <c r="C612" s="56"/>
      <c r="D612" s="57"/>
      <c r="E612" s="57"/>
      <c r="F612" s="57"/>
      <c r="G612" s="57"/>
      <c r="H612" s="57"/>
      <c r="I612" s="53"/>
      <c r="J612" s="57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</row>
    <row r="613" spans="1:26" ht="16.5" customHeight="1">
      <c r="A613" s="54"/>
      <c r="B613" s="55"/>
      <c r="C613" s="56"/>
      <c r="D613" s="57"/>
      <c r="E613" s="57"/>
      <c r="F613" s="57"/>
      <c r="G613" s="57"/>
      <c r="H613" s="57"/>
      <c r="I613" s="53"/>
      <c r="J613" s="57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</row>
    <row r="614" spans="1:26" ht="16.5" customHeight="1">
      <c r="A614" s="54"/>
      <c r="B614" s="55"/>
      <c r="C614" s="56"/>
      <c r="D614" s="57"/>
      <c r="E614" s="57"/>
      <c r="F614" s="57"/>
      <c r="G614" s="57"/>
      <c r="H614" s="57"/>
      <c r="I614" s="53"/>
      <c r="J614" s="57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</row>
    <row r="615" spans="1:26" ht="16.5" customHeight="1">
      <c r="A615" s="54"/>
      <c r="B615" s="55"/>
      <c r="C615" s="56"/>
      <c r="D615" s="57"/>
      <c r="E615" s="57"/>
      <c r="F615" s="57"/>
      <c r="G615" s="57"/>
      <c r="H615" s="57"/>
      <c r="I615" s="53"/>
      <c r="J615" s="57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</row>
    <row r="616" spans="1:26" ht="16.5" customHeight="1">
      <c r="A616" s="54"/>
      <c r="B616" s="55"/>
      <c r="C616" s="56"/>
      <c r="D616" s="57"/>
      <c r="E616" s="57"/>
      <c r="F616" s="57"/>
      <c r="G616" s="57"/>
      <c r="H616" s="57"/>
      <c r="I616" s="53"/>
      <c r="J616" s="57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</row>
    <row r="617" spans="1:26" ht="16.5" customHeight="1">
      <c r="A617" s="54"/>
      <c r="B617" s="55"/>
      <c r="C617" s="56"/>
      <c r="D617" s="57"/>
      <c r="E617" s="57"/>
      <c r="F617" s="57"/>
      <c r="G617" s="57"/>
      <c r="H617" s="57"/>
      <c r="I617" s="53"/>
      <c r="J617" s="57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</row>
    <row r="618" spans="1:26" ht="16.5" customHeight="1">
      <c r="A618" s="54"/>
      <c r="B618" s="55"/>
      <c r="C618" s="56"/>
      <c r="D618" s="57"/>
      <c r="E618" s="57"/>
      <c r="F618" s="57"/>
      <c r="G618" s="57"/>
      <c r="H618" s="57"/>
      <c r="I618" s="53"/>
      <c r="J618" s="57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</row>
    <row r="619" spans="1:26" ht="16.5" customHeight="1">
      <c r="A619" s="54"/>
      <c r="B619" s="55"/>
      <c r="C619" s="56"/>
      <c r="D619" s="57"/>
      <c r="E619" s="57"/>
      <c r="F619" s="57"/>
      <c r="G619" s="57"/>
      <c r="H619" s="57"/>
      <c r="I619" s="53"/>
      <c r="J619" s="57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</row>
    <row r="620" spans="1:26" ht="16.5" customHeight="1">
      <c r="A620" s="54"/>
      <c r="B620" s="55"/>
      <c r="C620" s="56"/>
      <c r="D620" s="57"/>
      <c r="E620" s="57"/>
      <c r="F620" s="57"/>
      <c r="G620" s="57"/>
      <c r="H620" s="57"/>
      <c r="I620" s="53"/>
      <c r="J620" s="57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</row>
    <row r="621" spans="1:26" ht="16.5" customHeight="1">
      <c r="A621" s="54"/>
      <c r="B621" s="55"/>
      <c r="C621" s="56"/>
      <c r="D621" s="57"/>
      <c r="E621" s="57"/>
      <c r="F621" s="57"/>
      <c r="G621" s="57"/>
      <c r="H621" s="57"/>
      <c r="I621" s="53"/>
      <c r="J621" s="57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</row>
    <row r="622" spans="1:26" ht="16.5" customHeight="1">
      <c r="A622" s="54"/>
      <c r="B622" s="55"/>
      <c r="C622" s="56"/>
      <c r="D622" s="57"/>
      <c r="E622" s="57"/>
      <c r="F622" s="57"/>
      <c r="G622" s="57"/>
      <c r="H622" s="57"/>
      <c r="I622" s="53"/>
      <c r="J622" s="57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</row>
    <row r="623" spans="1:26" ht="16.5" customHeight="1">
      <c r="A623" s="54"/>
      <c r="B623" s="55"/>
      <c r="C623" s="56"/>
      <c r="D623" s="57"/>
      <c r="E623" s="57"/>
      <c r="F623" s="57"/>
      <c r="G623" s="57"/>
      <c r="H623" s="57"/>
      <c r="I623" s="53"/>
      <c r="J623" s="57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</row>
    <row r="624" spans="1:26" ht="16.5" customHeight="1">
      <c r="A624" s="54"/>
      <c r="B624" s="55"/>
      <c r="C624" s="56"/>
      <c r="D624" s="57"/>
      <c r="E624" s="57"/>
      <c r="F624" s="57"/>
      <c r="G624" s="57"/>
      <c r="H624" s="57"/>
      <c r="I624" s="53"/>
      <c r="J624" s="57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</row>
    <row r="625" spans="1:26" ht="16.5" customHeight="1">
      <c r="A625" s="54"/>
      <c r="B625" s="55"/>
      <c r="C625" s="56"/>
      <c r="D625" s="57"/>
      <c r="E625" s="57"/>
      <c r="F625" s="57"/>
      <c r="G625" s="57"/>
      <c r="H625" s="57"/>
      <c r="I625" s="53"/>
      <c r="J625" s="57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</row>
    <row r="626" spans="1:26" ht="16.5" customHeight="1">
      <c r="A626" s="54"/>
      <c r="B626" s="55"/>
      <c r="C626" s="56"/>
      <c r="D626" s="57"/>
      <c r="E626" s="57"/>
      <c r="F626" s="57"/>
      <c r="G626" s="57"/>
      <c r="H626" s="57"/>
      <c r="I626" s="53"/>
      <c r="J626" s="57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</row>
    <row r="627" spans="1:26" ht="16.5" customHeight="1">
      <c r="A627" s="54"/>
      <c r="B627" s="55"/>
      <c r="C627" s="56"/>
      <c r="D627" s="57"/>
      <c r="E627" s="57"/>
      <c r="F627" s="57"/>
      <c r="G627" s="57"/>
      <c r="H627" s="57"/>
      <c r="I627" s="53"/>
      <c r="J627" s="57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</row>
    <row r="628" spans="1:26" ht="16.5" customHeight="1">
      <c r="A628" s="54"/>
      <c r="B628" s="55"/>
      <c r="C628" s="56"/>
      <c r="D628" s="57"/>
      <c r="E628" s="57"/>
      <c r="F628" s="57"/>
      <c r="G628" s="57"/>
      <c r="H628" s="57"/>
      <c r="I628" s="53"/>
      <c r="J628" s="57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</row>
    <row r="629" spans="1:26" ht="16.5" customHeight="1">
      <c r="A629" s="54"/>
      <c r="B629" s="55"/>
      <c r="C629" s="56"/>
      <c r="D629" s="57"/>
      <c r="E629" s="57"/>
      <c r="F629" s="57"/>
      <c r="G629" s="57"/>
      <c r="H629" s="57"/>
      <c r="I629" s="53"/>
      <c r="J629" s="57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</row>
    <row r="630" spans="1:26" ht="16.5" customHeight="1">
      <c r="A630" s="54"/>
      <c r="B630" s="55"/>
      <c r="C630" s="56"/>
      <c r="D630" s="57"/>
      <c r="E630" s="57"/>
      <c r="F630" s="57"/>
      <c r="G630" s="57"/>
      <c r="H630" s="57"/>
      <c r="I630" s="53"/>
      <c r="J630" s="57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</row>
    <row r="631" spans="1:26" ht="16.5" customHeight="1">
      <c r="A631" s="54"/>
      <c r="B631" s="55"/>
      <c r="C631" s="56"/>
      <c r="D631" s="57"/>
      <c r="E631" s="57"/>
      <c r="F631" s="57"/>
      <c r="G631" s="57"/>
      <c r="H631" s="57"/>
      <c r="I631" s="53"/>
      <c r="J631" s="57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</row>
    <row r="632" spans="1:26" ht="16.5" customHeight="1">
      <c r="A632" s="54"/>
      <c r="B632" s="55"/>
      <c r="C632" s="56"/>
      <c r="D632" s="57"/>
      <c r="E632" s="57"/>
      <c r="F632" s="57"/>
      <c r="G632" s="57"/>
      <c r="H632" s="57"/>
      <c r="I632" s="53"/>
      <c r="J632" s="57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</row>
    <row r="633" spans="1:26" ht="16.5" customHeight="1">
      <c r="A633" s="54"/>
      <c r="B633" s="55"/>
      <c r="C633" s="56"/>
      <c r="D633" s="57"/>
      <c r="E633" s="57"/>
      <c r="F633" s="57"/>
      <c r="G633" s="57"/>
      <c r="H633" s="57"/>
      <c r="I633" s="53"/>
      <c r="J633" s="57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</row>
    <row r="634" spans="1:26" ht="16.5" customHeight="1">
      <c r="A634" s="54"/>
      <c r="B634" s="55"/>
      <c r="C634" s="56"/>
      <c r="D634" s="57"/>
      <c r="E634" s="57"/>
      <c r="F634" s="57"/>
      <c r="G634" s="57"/>
      <c r="H634" s="57"/>
      <c r="I634" s="53"/>
      <c r="J634" s="57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</row>
    <row r="635" spans="1:26" ht="16.5" customHeight="1">
      <c r="A635" s="54"/>
      <c r="B635" s="55"/>
      <c r="C635" s="56"/>
      <c r="D635" s="57"/>
      <c r="E635" s="57"/>
      <c r="F635" s="57"/>
      <c r="G635" s="57"/>
      <c r="H635" s="57"/>
      <c r="I635" s="53"/>
      <c r="J635" s="57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</row>
    <row r="636" spans="1:26" ht="16.5" customHeight="1">
      <c r="A636" s="54"/>
      <c r="B636" s="55"/>
      <c r="C636" s="56"/>
      <c r="D636" s="57"/>
      <c r="E636" s="57"/>
      <c r="F636" s="57"/>
      <c r="G636" s="57"/>
      <c r="H636" s="57"/>
      <c r="I636" s="53"/>
      <c r="J636" s="57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</row>
    <row r="637" spans="1:26" ht="16.5" customHeight="1">
      <c r="A637" s="54"/>
      <c r="B637" s="55"/>
      <c r="C637" s="56"/>
      <c r="D637" s="57"/>
      <c r="E637" s="57"/>
      <c r="F637" s="57"/>
      <c r="G637" s="57"/>
      <c r="H637" s="57"/>
      <c r="I637" s="53"/>
      <c r="J637" s="57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</row>
    <row r="638" spans="1:26" ht="16.5" customHeight="1">
      <c r="A638" s="54"/>
      <c r="B638" s="55"/>
      <c r="C638" s="56"/>
      <c r="D638" s="57"/>
      <c r="E638" s="57"/>
      <c r="F638" s="57"/>
      <c r="G638" s="57"/>
      <c r="H638" s="57"/>
      <c r="I638" s="53"/>
      <c r="J638" s="57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</row>
    <row r="639" spans="1:26" ht="16.5" customHeight="1">
      <c r="A639" s="54"/>
      <c r="B639" s="55"/>
      <c r="C639" s="56"/>
      <c r="D639" s="57"/>
      <c r="E639" s="57"/>
      <c r="F639" s="57"/>
      <c r="G639" s="57"/>
      <c r="H639" s="57"/>
      <c r="I639" s="53"/>
      <c r="J639" s="57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</row>
    <row r="640" spans="1:26" ht="16.5" customHeight="1">
      <c r="A640" s="54"/>
      <c r="B640" s="55"/>
      <c r="C640" s="56"/>
      <c r="D640" s="57"/>
      <c r="E640" s="57"/>
      <c r="F640" s="57"/>
      <c r="G640" s="57"/>
      <c r="H640" s="57"/>
      <c r="I640" s="53"/>
      <c r="J640" s="57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</row>
    <row r="641" spans="1:26" ht="16.5" customHeight="1">
      <c r="A641" s="54"/>
      <c r="B641" s="55"/>
      <c r="C641" s="56"/>
      <c r="D641" s="57"/>
      <c r="E641" s="57"/>
      <c r="F641" s="57"/>
      <c r="G641" s="57"/>
      <c r="H641" s="57"/>
      <c r="I641" s="53"/>
      <c r="J641" s="57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</row>
    <row r="642" spans="1:26" ht="16.5" customHeight="1">
      <c r="A642" s="54"/>
      <c r="B642" s="55"/>
      <c r="C642" s="56"/>
      <c r="D642" s="57"/>
      <c r="E642" s="57"/>
      <c r="F642" s="57"/>
      <c r="G642" s="57"/>
      <c r="H642" s="57"/>
      <c r="I642" s="53"/>
      <c r="J642" s="57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</row>
    <row r="643" spans="1:26" ht="16.5" customHeight="1">
      <c r="A643" s="54"/>
      <c r="B643" s="55"/>
      <c r="C643" s="56"/>
      <c r="D643" s="57"/>
      <c r="E643" s="57"/>
      <c r="F643" s="57"/>
      <c r="G643" s="57"/>
      <c r="H643" s="57"/>
      <c r="I643" s="53"/>
      <c r="J643" s="57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</row>
    <row r="644" spans="1:26" ht="16.5" customHeight="1">
      <c r="A644" s="54"/>
      <c r="B644" s="55"/>
      <c r="C644" s="56"/>
      <c r="D644" s="57"/>
      <c r="E644" s="57"/>
      <c r="F644" s="57"/>
      <c r="G644" s="57"/>
      <c r="H644" s="57"/>
      <c r="I644" s="53"/>
      <c r="J644" s="57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</row>
    <row r="645" spans="1:26" ht="16.5" customHeight="1">
      <c r="A645" s="54"/>
      <c r="B645" s="55"/>
      <c r="C645" s="56"/>
      <c r="D645" s="57"/>
      <c r="E645" s="57"/>
      <c r="F645" s="57"/>
      <c r="G645" s="57"/>
      <c r="H645" s="57"/>
      <c r="I645" s="53"/>
      <c r="J645" s="57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</row>
    <row r="646" spans="1:26" ht="16.5" customHeight="1">
      <c r="A646" s="54"/>
      <c r="B646" s="55"/>
      <c r="C646" s="56"/>
      <c r="D646" s="57"/>
      <c r="E646" s="57"/>
      <c r="F646" s="57"/>
      <c r="G646" s="57"/>
      <c r="H646" s="57"/>
      <c r="I646" s="53"/>
      <c r="J646" s="57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</row>
    <row r="647" spans="1:26" ht="16.5" customHeight="1">
      <c r="A647" s="54"/>
      <c r="B647" s="55"/>
      <c r="C647" s="56"/>
      <c r="D647" s="57"/>
      <c r="E647" s="57"/>
      <c r="F647" s="57"/>
      <c r="G647" s="57"/>
      <c r="H647" s="57"/>
      <c r="I647" s="53"/>
      <c r="J647" s="57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</row>
    <row r="648" spans="1:26" ht="16.5" customHeight="1">
      <c r="A648" s="54"/>
      <c r="B648" s="55"/>
      <c r="C648" s="56"/>
      <c r="D648" s="57"/>
      <c r="E648" s="57"/>
      <c r="F648" s="57"/>
      <c r="G648" s="57"/>
      <c r="H648" s="57"/>
      <c r="I648" s="53"/>
      <c r="J648" s="57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</row>
    <row r="649" spans="1:26" ht="16.5" customHeight="1">
      <c r="A649" s="54"/>
      <c r="B649" s="55"/>
      <c r="C649" s="56"/>
      <c r="D649" s="57"/>
      <c r="E649" s="57"/>
      <c r="F649" s="57"/>
      <c r="G649" s="57"/>
      <c r="H649" s="57"/>
      <c r="I649" s="53"/>
      <c r="J649" s="57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</row>
    <row r="650" spans="1:26" ht="16.5" customHeight="1">
      <c r="A650" s="54"/>
      <c r="B650" s="55"/>
      <c r="C650" s="56"/>
      <c r="D650" s="57"/>
      <c r="E650" s="57"/>
      <c r="F650" s="57"/>
      <c r="G650" s="57"/>
      <c r="H650" s="57"/>
      <c r="I650" s="53"/>
      <c r="J650" s="57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</row>
    <row r="651" spans="1:26" ht="16.5" customHeight="1">
      <c r="A651" s="54"/>
      <c r="B651" s="55"/>
      <c r="C651" s="56"/>
      <c r="D651" s="57"/>
      <c r="E651" s="57"/>
      <c r="F651" s="57"/>
      <c r="G651" s="57"/>
      <c r="H651" s="57"/>
      <c r="I651" s="53"/>
      <c r="J651" s="57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</row>
    <row r="652" spans="1:26" ht="16.5" customHeight="1">
      <c r="A652" s="54"/>
      <c r="B652" s="55"/>
      <c r="C652" s="56"/>
      <c r="D652" s="57"/>
      <c r="E652" s="57"/>
      <c r="F652" s="57"/>
      <c r="G652" s="57"/>
      <c r="H652" s="57"/>
      <c r="I652" s="53"/>
      <c r="J652" s="57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</row>
    <row r="653" spans="1:26" ht="16.5" customHeight="1">
      <c r="A653" s="54"/>
      <c r="B653" s="55"/>
      <c r="C653" s="56"/>
      <c r="D653" s="57"/>
      <c r="E653" s="57"/>
      <c r="F653" s="57"/>
      <c r="G653" s="57"/>
      <c r="H653" s="57"/>
      <c r="I653" s="53"/>
      <c r="J653" s="57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</row>
    <row r="654" spans="1:26" ht="16.5" customHeight="1">
      <c r="A654" s="54"/>
      <c r="B654" s="55"/>
      <c r="C654" s="56"/>
      <c r="D654" s="57"/>
      <c r="E654" s="57"/>
      <c r="F654" s="57"/>
      <c r="G654" s="57"/>
      <c r="H654" s="57"/>
      <c r="I654" s="53"/>
      <c r="J654" s="57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</row>
    <row r="655" spans="1:26" ht="16.5" customHeight="1">
      <c r="A655" s="54"/>
      <c r="B655" s="55"/>
      <c r="C655" s="56"/>
      <c r="D655" s="57"/>
      <c r="E655" s="57"/>
      <c r="F655" s="57"/>
      <c r="G655" s="57"/>
      <c r="H655" s="57"/>
      <c r="I655" s="53"/>
      <c r="J655" s="57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</row>
    <row r="656" spans="1:26" ht="16.5" customHeight="1">
      <c r="A656" s="54"/>
      <c r="B656" s="55"/>
      <c r="C656" s="56"/>
      <c r="D656" s="57"/>
      <c r="E656" s="57"/>
      <c r="F656" s="57"/>
      <c r="G656" s="57"/>
      <c r="H656" s="57"/>
      <c r="I656" s="53"/>
      <c r="J656" s="57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</row>
    <row r="657" spans="1:26" ht="16.5" customHeight="1">
      <c r="A657" s="54"/>
      <c r="B657" s="55"/>
      <c r="C657" s="56"/>
      <c r="D657" s="57"/>
      <c r="E657" s="57"/>
      <c r="F657" s="57"/>
      <c r="G657" s="57"/>
      <c r="H657" s="57"/>
      <c r="I657" s="53"/>
      <c r="J657" s="57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</row>
    <row r="658" spans="1:26" ht="16.5" customHeight="1">
      <c r="A658" s="54"/>
      <c r="B658" s="55"/>
      <c r="C658" s="56"/>
      <c r="D658" s="57"/>
      <c r="E658" s="57"/>
      <c r="F658" s="57"/>
      <c r="G658" s="57"/>
      <c r="H658" s="57"/>
      <c r="I658" s="53"/>
      <c r="J658" s="57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</row>
    <row r="659" spans="1:26" ht="16.5" customHeight="1">
      <c r="A659" s="54"/>
      <c r="B659" s="55"/>
      <c r="C659" s="56"/>
      <c r="D659" s="57"/>
      <c r="E659" s="57"/>
      <c r="F659" s="57"/>
      <c r="G659" s="57"/>
      <c r="H659" s="57"/>
      <c r="I659" s="53"/>
      <c r="J659" s="57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</row>
    <row r="660" spans="1:26" ht="16.5" customHeight="1">
      <c r="A660" s="54"/>
      <c r="B660" s="55"/>
      <c r="C660" s="56"/>
      <c r="D660" s="57"/>
      <c r="E660" s="57"/>
      <c r="F660" s="57"/>
      <c r="G660" s="57"/>
      <c r="H660" s="57"/>
      <c r="I660" s="53"/>
      <c r="J660" s="57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</row>
    <row r="661" spans="1:26" ht="16.5" customHeight="1">
      <c r="A661" s="54"/>
      <c r="B661" s="55"/>
      <c r="C661" s="56"/>
      <c r="D661" s="57"/>
      <c r="E661" s="57"/>
      <c r="F661" s="57"/>
      <c r="G661" s="57"/>
      <c r="H661" s="57"/>
      <c r="I661" s="53"/>
      <c r="J661" s="57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</row>
    <row r="662" spans="1:26" ht="16.5" customHeight="1">
      <c r="A662" s="54"/>
      <c r="B662" s="55"/>
      <c r="C662" s="56"/>
      <c r="D662" s="57"/>
      <c r="E662" s="57"/>
      <c r="F662" s="57"/>
      <c r="G662" s="57"/>
      <c r="H662" s="57"/>
      <c r="I662" s="53"/>
      <c r="J662" s="57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</row>
    <row r="663" spans="1:26" ht="16.5" customHeight="1">
      <c r="A663" s="54"/>
      <c r="B663" s="55"/>
      <c r="C663" s="56"/>
      <c r="D663" s="57"/>
      <c r="E663" s="57"/>
      <c r="F663" s="57"/>
      <c r="G663" s="57"/>
      <c r="H663" s="57"/>
      <c r="I663" s="53"/>
      <c r="J663" s="57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</row>
    <row r="664" spans="1:26" ht="16.5" customHeight="1">
      <c r="A664" s="54"/>
      <c r="B664" s="55"/>
      <c r="C664" s="56"/>
      <c r="D664" s="57"/>
      <c r="E664" s="57"/>
      <c r="F664" s="57"/>
      <c r="G664" s="57"/>
      <c r="H664" s="57"/>
      <c r="I664" s="53"/>
      <c r="J664" s="57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</row>
    <row r="665" spans="1:26" ht="16.5" customHeight="1">
      <c r="A665" s="54"/>
      <c r="B665" s="55"/>
      <c r="C665" s="56"/>
      <c r="D665" s="57"/>
      <c r="E665" s="57"/>
      <c r="F665" s="57"/>
      <c r="G665" s="57"/>
      <c r="H665" s="57"/>
      <c r="I665" s="53"/>
      <c r="J665" s="57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</row>
    <row r="666" spans="1:26" ht="16.5" customHeight="1">
      <c r="A666" s="54"/>
      <c r="B666" s="55"/>
      <c r="C666" s="56"/>
      <c r="D666" s="57"/>
      <c r="E666" s="57"/>
      <c r="F666" s="57"/>
      <c r="G666" s="57"/>
      <c r="H666" s="57"/>
      <c r="I666" s="53"/>
      <c r="J666" s="57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</row>
    <row r="667" spans="1:26" ht="16.5" customHeight="1">
      <c r="A667" s="54"/>
      <c r="B667" s="55"/>
      <c r="C667" s="56"/>
      <c r="D667" s="57"/>
      <c r="E667" s="57"/>
      <c r="F667" s="57"/>
      <c r="G667" s="57"/>
      <c r="H667" s="57"/>
      <c r="I667" s="53"/>
      <c r="J667" s="57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</row>
    <row r="668" spans="1:26" ht="16.5" customHeight="1">
      <c r="A668" s="54"/>
      <c r="B668" s="55"/>
      <c r="C668" s="56"/>
      <c r="D668" s="57"/>
      <c r="E668" s="57"/>
      <c r="F668" s="57"/>
      <c r="G668" s="57"/>
      <c r="H668" s="57"/>
      <c r="I668" s="53"/>
      <c r="J668" s="57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</row>
    <row r="669" spans="1:26" ht="16.5" customHeight="1">
      <c r="A669" s="54"/>
      <c r="B669" s="55"/>
      <c r="C669" s="56"/>
      <c r="D669" s="57"/>
      <c r="E669" s="57"/>
      <c r="F669" s="57"/>
      <c r="G669" s="57"/>
      <c r="H669" s="57"/>
      <c r="I669" s="53"/>
      <c r="J669" s="57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</row>
    <row r="670" spans="1:26" ht="16.5" customHeight="1">
      <c r="A670" s="54"/>
      <c r="B670" s="55"/>
      <c r="C670" s="56"/>
      <c r="D670" s="57"/>
      <c r="E670" s="57"/>
      <c r="F670" s="57"/>
      <c r="G670" s="57"/>
      <c r="H670" s="57"/>
      <c r="I670" s="53"/>
      <c r="J670" s="57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</row>
    <row r="671" spans="1:26" ht="16.5" customHeight="1">
      <c r="A671" s="54"/>
      <c r="B671" s="55"/>
      <c r="C671" s="56"/>
      <c r="D671" s="57"/>
      <c r="E671" s="57"/>
      <c r="F671" s="57"/>
      <c r="G671" s="57"/>
      <c r="H671" s="57"/>
      <c r="I671" s="53"/>
      <c r="J671" s="57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</row>
    <row r="672" spans="1:26" ht="16.5" customHeight="1">
      <c r="A672" s="54"/>
      <c r="B672" s="55"/>
      <c r="C672" s="56"/>
      <c r="D672" s="57"/>
      <c r="E672" s="57"/>
      <c r="F672" s="57"/>
      <c r="G672" s="57"/>
      <c r="H672" s="57"/>
      <c r="I672" s="53"/>
      <c r="J672" s="57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</row>
    <row r="673" spans="1:26" ht="16.5" customHeight="1">
      <c r="A673" s="54"/>
      <c r="B673" s="55"/>
      <c r="C673" s="56"/>
      <c r="D673" s="57"/>
      <c r="E673" s="57"/>
      <c r="F673" s="57"/>
      <c r="G673" s="57"/>
      <c r="H673" s="57"/>
      <c r="I673" s="53"/>
      <c r="J673" s="57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</row>
    <row r="674" spans="1:26" ht="16.5" customHeight="1">
      <c r="A674" s="54"/>
      <c r="B674" s="55"/>
      <c r="C674" s="56"/>
      <c r="D674" s="57"/>
      <c r="E674" s="57"/>
      <c r="F674" s="57"/>
      <c r="G674" s="57"/>
      <c r="H674" s="57"/>
      <c r="I674" s="53"/>
      <c r="J674" s="57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</row>
    <row r="675" spans="1:26" ht="16.5" customHeight="1">
      <c r="A675" s="54"/>
      <c r="B675" s="55"/>
      <c r="C675" s="56"/>
      <c r="D675" s="57"/>
      <c r="E675" s="57"/>
      <c r="F675" s="57"/>
      <c r="G675" s="57"/>
      <c r="H675" s="57"/>
      <c r="I675" s="53"/>
      <c r="J675" s="57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</row>
    <row r="676" spans="1:26" ht="16.5" customHeight="1">
      <c r="A676" s="54"/>
      <c r="B676" s="55"/>
      <c r="C676" s="56"/>
      <c r="D676" s="57"/>
      <c r="E676" s="57"/>
      <c r="F676" s="57"/>
      <c r="G676" s="57"/>
      <c r="H676" s="57"/>
      <c r="I676" s="53"/>
      <c r="J676" s="57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</row>
    <row r="677" spans="1:26" ht="16.5" customHeight="1">
      <c r="A677" s="54"/>
      <c r="B677" s="55"/>
      <c r="C677" s="56"/>
      <c r="D677" s="57"/>
      <c r="E677" s="57"/>
      <c r="F677" s="57"/>
      <c r="G677" s="57"/>
      <c r="H677" s="57"/>
      <c r="I677" s="53"/>
      <c r="J677" s="57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</row>
    <row r="678" spans="1:26" ht="16.5" customHeight="1">
      <c r="A678" s="54"/>
      <c r="B678" s="55"/>
      <c r="C678" s="56"/>
      <c r="D678" s="57"/>
      <c r="E678" s="57"/>
      <c r="F678" s="57"/>
      <c r="G678" s="57"/>
      <c r="H678" s="57"/>
      <c r="I678" s="53"/>
      <c r="J678" s="57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</row>
    <row r="679" spans="1:26" ht="16.5" customHeight="1">
      <c r="A679" s="54"/>
      <c r="B679" s="55"/>
      <c r="C679" s="56"/>
      <c r="D679" s="57"/>
      <c r="E679" s="57"/>
      <c r="F679" s="57"/>
      <c r="G679" s="57"/>
      <c r="H679" s="57"/>
      <c r="I679" s="53"/>
      <c r="J679" s="57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</row>
    <row r="680" spans="1:26" ht="16.5" customHeight="1">
      <c r="A680" s="54"/>
      <c r="B680" s="55"/>
      <c r="C680" s="56"/>
      <c r="D680" s="57"/>
      <c r="E680" s="57"/>
      <c r="F680" s="57"/>
      <c r="G680" s="57"/>
      <c r="H680" s="57"/>
      <c r="I680" s="53"/>
      <c r="J680" s="57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</row>
    <row r="681" spans="1:26" ht="16.5" customHeight="1">
      <c r="A681" s="54"/>
      <c r="B681" s="55"/>
      <c r="C681" s="56"/>
      <c r="D681" s="57"/>
      <c r="E681" s="57"/>
      <c r="F681" s="57"/>
      <c r="G681" s="57"/>
      <c r="H681" s="57"/>
      <c r="I681" s="53"/>
      <c r="J681" s="57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</row>
    <row r="682" spans="1:26" ht="16.5" customHeight="1">
      <c r="A682" s="54"/>
      <c r="B682" s="55"/>
      <c r="C682" s="56"/>
      <c r="D682" s="57"/>
      <c r="E682" s="57"/>
      <c r="F682" s="57"/>
      <c r="G682" s="57"/>
      <c r="H682" s="57"/>
      <c r="I682" s="53"/>
      <c r="J682" s="57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</row>
    <row r="683" spans="1:26" ht="16.5" customHeight="1">
      <c r="A683" s="54"/>
      <c r="B683" s="55"/>
      <c r="C683" s="56"/>
      <c r="D683" s="57"/>
      <c r="E683" s="57"/>
      <c r="F683" s="57"/>
      <c r="G683" s="57"/>
      <c r="H683" s="57"/>
      <c r="I683" s="53"/>
      <c r="J683" s="57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</row>
    <row r="684" spans="1:26" ht="16.5" customHeight="1">
      <c r="A684" s="54"/>
      <c r="B684" s="55"/>
      <c r="C684" s="56"/>
      <c r="D684" s="57"/>
      <c r="E684" s="57"/>
      <c r="F684" s="57"/>
      <c r="G684" s="57"/>
      <c r="H684" s="57"/>
      <c r="I684" s="53"/>
      <c r="J684" s="57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</row>
    <row r="685" spans="1:26" ht="16.5" customHeight="1">
      <c r="A685" s="54"/>
      <c r="B685" s="55"/>
      <c r="C685" s="56"/>
      <c r="D685" s="57"/>
      <c r="E685" s="57"/>
      <c r="F685" s="57"/>
      <c r="G685" s="57"/>
      <c r="H685" s="57"/>
      <c r="I685" s="53"/>
      <c r="J685" s="57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</row>
    <row r="686" spans="1:26" ht="16.5" customHeight="1">
      <c r="A686" s="54"/>
      <c r="B686" s="55"/>
      <c r="C686" s="56"/>
      <c r="D686" s="57"/>
      <c r="E686" s="57"/>
      <c r="F686" s="57"/>
      <c r="G686" s="57"/>
      <c r="H686" s="57"/>
      <c r="I686" s="53"/>
      <c r="J686" s="57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</row>
    <row r="687" spans="1:26" ht="16.5" customHeight="1">
      <c r="A687" s="54"/>
      <c r="B687" s="55"/>
      <c r="C687" s="56"/>
      <c r="D687" s="57"/>
      <c r="E687" s="57"/>
      <c r="F687" s="57"/>
      <c r="G687" s="57"/>
      <c r="H687" s="57"/>
      <c r="I687" s="53"/>
      <c r="J687" s="57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</row>
    <row r="688" spans="1:26" ht="16.5" customHeight="1">
      <c r="A688" s="54"/>
      <c r="B688" s="55"/>
      <c r="C688" s="56"/>
      <c r="D688" s="57"/>
      <c r="E688" s="57"/>
      <c r="F688" s="57"/>
      <c r="G688" s="57"/>
      <c r="H688" s="57"/>
      <c r="I688" s="53"/>
      <c r="J688" s="57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</row>
    <row r="689" spans="1:26" ht="16.5" customHeight="1">
      <c r="A689" s="54"/>
      <c r="B689" s="55"/>
      <c r="C689" s="56"/>
      <c r="D689" s="57"/>
      <c r="E689" s="57"/>
      <c r="F689" s="57"/>
      <c r="G689" s="57"/>
      <c r="H689" s="57"/>
      <c r="I689" s="53"/>
      <c r="J689" s="57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</row>
    <row r="690" spans="1:26" ht="16.5" customHeight="1">
      <c r="A690" s="54"/>
      <c r="B690" s="55"/>
      <c r="C690" s="56"/>
      <c r="D690" s="57"/>
      <c r="E690" s="57"/>
      <c r="F690" s="57"/>
      <c r="G690" s="57"/>
      <c r="H690" s="57"/>
      <c r="I690" s="53"/>
      <c r="J690" s="57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</row>
    <row r="691" spans="1:26" ht="16.5" customHeight="1">
      <c r="A691" s="54"/>
      <c r="B691" s="55"/>
      <c r="C691" s="56"/>
      <c r="D691" s="57"/>
      <c r="E691" s="57"/>
      <c r="F691" s="57"/>
      <c r="G691" s="57"/>
      <c r="H691" s="57"/>
      <c r="I691" s="53"/>
      <c r="J691" s="57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</row>
    <row r="692" spans="1:26" ht="16.5" customHeight="1">
      <c r="A692" s="54"/>
      <c r="B692" s="55"/>
      <c r="C692" s="56"/>
      <c r="D692" s="57"/>
      <c r="E692" s="57"/>
      <c r="F692" s="57"/>
      <c r="G692" s="57"/>
      <c r="H692" s="57"/>
      <c r="I692" s="53"/>
      <c r="J692" s="57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</row>
    <row r="693" spans="1:26" ht="16.5" customHeight="1">
      <c r="A693" s="54"/>
      <c r="B693" s="55"/>
      <c r="C693" s="56"/>
      <c r="D693" s="57"/>
      <c r="E693" s="57"/>
      <c r="F693" s="57"/>
      <c r="G693" s="57"/>
      <c r="H693" s="57"/>
      <c r="I693" s="53"/>
      <c r="J693" s="57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</row>
    <row r="694" spans="1:26" ht="16.5" customHeight="1">
      <c r="A694" s="54"/>
      <c r="B694" s="55"/>
      <c r="C694" s="56"/>
      <c r="D694" s="57"/>
      <c r="E694" s="57"/>
      <c r="F694" s="57"/>
      <c r="G694" s="57"/>
      <c r="H694" s="57"/>
      <c r="I694" s="53"/>
      <c r="J694" s="57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</row>
    <row r="695" spans="1:26" ht="16.5" customHeight="1">
      <c r="A695" s="54"/>
      <c r="B695" s="55"/>
      <c r="C695" s="56"/>
      <c r="D695" s="57"/>
      <c r="E695" s="57"/>
      <c r="F695" s="57"/>
      <c r="G695" s="57"/>
      <c r="H695" s="57"/>
      <c r="I695" s="53"/>
      <c r="J695" s="57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</row>
    <row r="696" spans="1:26" ht="16.5" customHeight="1">
      <c r="A696" s="54"/>
      <c r="B696" s="55"/>
      <c r="C696" s="56"/>
      <c r="D696" s="57"/>
      <c r="E696" s="57"/>
      <c r="F696" s="57"/>
      <c r="G696" s="57"/>
      <c r="H696" s="57"/>
      <c r="I696" s="53"/>
      <c r="J696" s="57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</row>
    <row r="697" spans="1:26" ht="16.5" customHeight="1">
      <c r="A697" s="54"/>
      <c r="B697" s="55"/>
      <c r="C697" s="56"/>
      <c r="D697" s="57"/>
      <c r="E697" s="57"/>
      <c r="F697" s="57"/>
      <c r="G697" s="57"/>
      <c r="H697" s="57"/>
      <c r="I697" s="53"/>
      <c r="J697" s="57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</row>
    <row r="698" spans="1:26" ht="16.5" customHeight="1">
      <c r="A698" s="54"/>
      <c r="B698" s="55"/>
      <c r="C698" s="56"/>
      <c r="D698" s="57"/>
      <c r="E698" s="57"/>
      <c r="F698" s="57"/>
      <c r="G698" s="57"/>
      <c r="H698" s="57"/>
      <c r="I698" s="53"/>
      <c r="J698" s="57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</row>
    <row r="699" spans="1:26" ht="16.5" customHeight="1">
      <c r="A699" s="54"/>
      <c r="B699" s="55"/>
      <c r="C699" s="56"/>
      <c r="D699" s="57"/>
      <c r="E699" s="57"/>
      <c r="F699" s="57"/>
      <c r="G699" s="57"/>
      <c r="H699" s="57"/>
      <c r="I699" s="53"/>
      <c r="J699" s="57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</row>
    <row r="700" spans="1:26" ht="16.5" customHeight="1">
      <c r="A700" s="54"/>
      <c r="B700" s="55"/>
      <c r="C700" s="56"/>
      <c r="D700" s="57"/>
      <c r="E700" s="57"/>
      <c r="F700" s="57"/>
      <c r="G700" s="57"/>
      <c r="H700" s="57"/>
      <c r="I700" s="53"/>
      <c r="J700" s="57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</row>
    <row r="701" spans="1:26" ht="16.5" customHeight="1">
      <c r="A701" s="54"/>
      <c r="B701" s="55"/>
      <c r="C701" s="56"/>
      <c r="D701" s="57"/>
      <c r="E701" s="57"/>
      <c r="F701" s="57"/>
      <c r="G701" s="57"/>
      <c r="H701" s="57"/>
      <c r="I701" s="53"/>
      <c r="J701" s="57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</row>
    <row r="702" spans="1:26" ht="16.5" customHeight="1">
      <c r="A702" s="54"/>
      <c r="B702" s="55"/>
      <c r="C702" s="56"/>
      <c r="D702" s="57"/>
      <c r="E702" s="57"/>
      <c r="F702" s="57"/>
      <c r="G702" s="57"/>
      <c r="H702" s="57"/>
      <c r="I702" s="53"/>
      <c r="J702" s="57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</row>
    <row r="703" spans="1:26" ht="16.5" customHeight="1">
      <c r="A703" s="54"/>
      <c r="B703" s="55"/>
      <c r="C703" s="56"/>
      <c r="D703" s="57"/>
      <c r="E703" s="57"/>
      <c r="F703" s="57"/>
      <c r="G703" s="57"/>
      <c r="H703" s="57"/>
      <c r="I703" s="53"/>
      <c r="J703" s="57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</row>
    <row r="704" spans="1:26" ht="16.5" customHeight="1">
      <c r="A704" s="54"/>
      <c r="B704" s="55"/>
      <c r="C704" s="56"/>
      <c r="D704" s="57"/>
      <c r="E704" s="57"/>
      <c r="F704" s="57"/>
      <c r="G704" s="57"/>
      <c r="H704" s="57"/>
      <c r="I704" s="53"/>
      <c r="J704" s="57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</row>
    <row r="705" spans="1:26" ht="16.5" customHeight="1">
      <c r="A705" s="54"/>
      <c r="B705" s="55"/>
      <c r="C705" s="56"/>
      <c r="D705" s="57"/>
      <c r="E705" s="57"/>
      <c r="F705" s="57"/>
      <c r="G705" s="57"/>
      <c r="H705" s="57"/>
      <c r="I705" s="53"/>
      <c r="J705" s="57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</row>
    <row r="706" spans="1:26" ht="16.5" customHeight="1">
      <c r="A706" s="54"/>
      <c r="B706" s="55"/>
      <c r="C706" s="56"/>
      <c r="D706" s="57"/>
      <c r="E706" s="57"/>
      <c r="F706" s="57"/>
      <c r="G706" s="57"/>
      <c r="H706" s="57"/>
      <c r="I706" s="53"/>
      <c r="J706" s="57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</row>
    <row r="707" spans="1:26" ht="16.5" customHeight="1">
      <c r="A707" s="54"/>
      <c r="B707" s="55"/>
      <c r="C707" s="56"/>
      <c r="D707" s="57"/>
      <c r="E707" s="57"/>
      <c r="F707" s="57"/>
      <c r="G707" s="57"/>
      <c r="H707" s="57"/>
      <c r="I707" s="53"/>
      <c r="J707" s="57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</row>
    <row r="708" spans="1:26" ht="16.5" customHeight="1">
      <c r="A708" s="54"/>
      <c r="B708" s="55"/>
      <c r="C708" s="56"/>
      <c r="D708" s="57"/>
      <c r="E708" s="57"/>
      <c r="F708" s="57"/>
      <c r="G708" s="57"/>
      <c r="H708" s="57"/>
      <c r="I708" s="53"/>
      <c r="J708" s="57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</row>
    <row r="709" spans="1:26" ht="16.5" customHeight="1">
      <c r="A709" s="54"/>
      <c r="B709" s="55"/>
      <c r="C709" s="56"/>
      <c r="D709" s="57"/>
      <c r="E709" s="57"/>
      <c r="F709" s="57"/>
      <c r="G709" s="57"/>
      <c r="H709" s="57"/>
      <c r="I709" s="53"/>
      <c r="J709" s="57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</row>
    <row r="710" spans="1:26" ht="16.5" customHeight="1">
      <c r="A710" s="54"/>
      <c r="B710" s="55"/>
      <c r="C710" s="56"/>
      <c r="D710" s="57"/>
      <c r="E710" s="57"/>
      <c r="F710" s="57"/>
      <c r="G710" s="57"/>
      <c r="H710" s="57"/>
      <c r="I710" s="53"/>
      <c r="J710" s="57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</row>
    <row r="711" spans="1:26" ht="16.5" customHeight="1">
      <c r="A711" s="54"/>
      <c r="B711" s="55"/>
      <c r="C711" s="56"/>
      <c r="D711" s="57"/>
      <c r="E711" s="57"/>
      <c r="F711" s="57"/>
      <c r="G711" s="57"/>
      <c r="H711" s="57"/>
      <c r="I711" s="53"/>
      <c r="J711" s="57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</row>
    <row r="712" spans="1:26" ht="16.5" customHeight="1">
      <c r="A712" s="54"/>
      <c r="B712" s="55"/>
      <c r="C712" s="56"/>
      <c r="D712" s="57"/>
      <c r="E712" s="57"/>
      <c r="F712" s="57"/>
      <c r="G712" s="57"/>
      <c r="H712" s="57"/>
      <c r="I712" s="53"/>
      <c r="J712" s="57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</row>
    <row r="713" spans="1:26" ht="16.5" customHeight="1">
      <c r="A713" s="54"/>
      <c r="B713" s="55"/>
      <c r="C713" s="56"/>
      <c r="D713" s="57"/>
      <c r="E713" s="57"/>
      <c r="F713" s="57"/>
      <c r="G713" s="57"/>
      <c r="H713" s="57"/>
      <c r="I713" s="53"/>
      <c r="J713" s="57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</row>
    <row r="714" spans="1:26" ht="16.5" customHeight="1">
      <c r="A714" s="54"/>
      <c r="B714" s="55"/>
      <c r="C714" s="56"/>
      <c r="D714" s="57"/>
      <c r="E714" s="57"/>
      <c r="F714" s="57"/>
      <c r="G714" s="57"/>
      <c r="H714" s="57"/>
      <c r="I714" s="53"/>
      <c r="J714" s="57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</row>
    <row r="715" spans="1:26" ht="16.5" customHeight="1">
      <c r="A715" s="54"/>
      <c r="B715" s="55"/>
      <c r="C715" s="56"/>
      <c r="D715" s="57"/>
      <c r="E715" s="57"/>
      <c r="F715" s="57"/>
      <c r="G715" s="57"/>
      <c r="H715" s="57"/>
      <c r="I715" s="53"/>
      <c r="J715" s="57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</row>
    <row r="716" spans="1:26" ht="16.5" customHeight="1">
      <c r="A716" s="54"/>
      <c r="B716" s="55"/>
      <c r="C716" s="56"/>
      <c r="D716" s="57"/>
      <c r="E716" s="57"/>
      <c r="F716" s="57"/>
      <c r="G716" s="57"/>
      <c r="H716" s="57"/>
      <c r="I716" s="53"/>
      <c r="J716" s="57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</row>
    <row r="717" spans="1:26" ht="16.5" customHeight="1">
      <c r="A717" s="54"/>
      <c r="B717" s="55"/>
      <c r="C717" s="56"/>
      <c r="D717" s="57"/>
      <c r="E717" s="57"/>
      <c r="F717" s="57"/>
      <c r="G717" s="57"/>
      <c r="H717" s="57"/>
      <c r="I717" s="53"/>
      <c r="J717" s="57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</row>
    <row r="718" spans="1:26" ht="16.5" customHeight="1">
      <c r="A718" s="54"/>
      <c r="B718" s="55"/>
      <c r="C718" s="56"/>
      <c r="D718" s="57"/>
      <c r="E718" s="57"/>
      <c r="F718" s="57"/>
      <c r="G718" s="57"/>
      <c r="H718" s="57"/>
      <c r="I718" s="53"/>
      <c r="J718" s="57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</row>
    <row r="719" spans="1:26" ht="16.5" customHeight="1">
      <c r="A719" s="54"/>
      <c r="B719" s="55"/>
      <c r="C719" s="56"/>
      <c r="D719" s="57"/>
      <c r="E719" s="57"/>
      <c r="F719" s="57"/>
      <c r="G719" s="57"/>
      <c r="H719" s="57"/>
      <c r="I719" s="53"/>
      <c r="J719" s="57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</row>
    <row r="720" spans="1:26" ht="16.5" customHeight="1">
      <c r="A720" s="54"/>
      <c r="B720" s="55"/>
      <c r="C720" s="56"/>
      <c r="D720" s="57"/>
      <c r="E720" s="57"/>
      <c r="F720" s="57"/>
      <c r="G720" s="57"/>
      <c r="H720" s="57"/>
      <c r="I720" s="53"/>
      <c r="J720" s="57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</row>
    <row r="721" spans="1:26" ht="16.5" customHeight="1">
      <c r="A721" s="54"/>
      <c r="B721" s="55"/>
      <c r="C721" s="56"/>
      <c r="D721" s="57"/>
      <c r="E721" s="57"/>
      <c r="F721" s="57"/>
      <c r="G721" s="57"/>
      <c r="H721" s="57"/>
      <c r="I721" s="53"/>
      <c r="J721" s="57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</row>
    <row r="722" spans="1:26" ht="16.5" customHeight="1">
      <c r="A722" s="54"/>
      <c r="B722" s="55"/>
      <c r="C722" s="56"/>
      <c r="D722" s="57"/>
      <c r="E722" s="57"/>
      <c r="F722" s="57"/>
      <c r="G722" s="57"/>
      <c r="H722" s="57"/>
      <c r="I722" s="53"/>
      <c r="J722" s="57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</row>
    <row r="723" spans="1:26" ht="16.5" customHeight="1">
      <c r="A723" s="54"/>
      <c r="B723" s="55"/>
      <c r="C723" s="56"/>
      <c r="D723" s="57"/>
      <c r="E723" s="57"/>
      <c r="F723" s="57"/>
      <c r="G723" s="57"/>
      <c r="H723" s="57"/>
      <c r="I723" s="53"/>
      <c r="J723" s="57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</row>
    <row r="724" spans="1:26" ht="16.5" customHeight="1">
      <c r="A724" s="54"/>
      <c r="B724" s="55"/>
      <c r="C724" s="56"/>
      <c r="D724" s="57"/>
      <c r="E724" s="57"/>
      <c r="F724" s="57"/>
      <c r="G724" s="57"/>
      <c r="H724" s="57"/>
      <c r="I724" s="53"/>
      <c r="J724" s="57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</row>
    <row r="725" spans="1:26" ht="16.5" customHeight="1">
      <c r="A725" s="54"/>
      <c r="B725" s="55"/>
      <c r="C725" s="56"/>
      <c r="D725" s="57"/>
      <c r="E725" s="57"/>
      <c r="F725" s="57"/>
      <c r="G725" s="57"/>
      <c r="H725" s="57"/>
      <c r="I725" s="53"/>
      <c r="J725" s="57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</row>
    <row r="726" spans="1:26" ht="16.5" customHeight="1">
      <c r="A726" s="54"/>
      <c r="B726" s="55"/>
      <c r="C726" s="56"/>
      <c r="D726" s="57"/>
      <c r="E726" s="57"/>
      <c r="F726" s="57"/>
      <c r="G726" s="57"/>
      <c r="H726" s="57"/>
      <c r="I726" s="53"/>
      <c r="J726" s="57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</row>
    <row r="727" spans="1:26" ht="16.5" customHeight="1">
      <c r="A727" s="54"/>
      <c r="B727" s="55"/>
      <c r="C727" s="56"/>
      <c r="D727" s="57"/>
      <c r="E727" s="57"/>
      <c r="F727" s="57"/>
      <c r="G727" s="57"/>
      <c r="H727" s="57"/>
      <c r="I727" s="53"/>
      <c r="J727" s="57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</row>
    <row r="728" spans="1:26" ht="16.5" customHeight="1">
      <c r="A728" s="54"/>
      <c r="B728" s="55"/>
      <c r="C728" s="56"/>
      <c r="D728" s="57"/>
      <c r="E728" s="57"/>
      <c r="F728" s="57"/>
      <c r="G728" s="57"/>
      <c r="H728" s="57"/>
      <c r="I728" s="53"/>
      <c r="J728" s="57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</row>
    <row r="729" spans="1:26" ht="16.5" customHeight="1">
      <c r="A729" s="54"/>
      <c r="B729" s="55"/>
      <c r="C729" s="56"/>
      <c r="D729" s="57"/>
      <c r="E729" s="57"/>
      <c r="F729" s="57"/>
      <c r="G729" s="57"/>
      <c r="H729" s="57"/>
      <c r="I729" s="53"/>
      <c r="J729" s="57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</row>
    <row r="730" spans="1:26" ht="16.5" customHeight="1">
      <c r="A730" s="54"/>
      <c r="B730" s="55"/>
      <c r="C730" s="56"/>
      <c r="D730" s="57"/>
      <c r="E730" s="57"/>
      <c r="F730" s="57"/>
      <c r="G730" s="57"/>
      <c r="H730" s="57"/>
      <c r="I730" s="53"/>
      <c r="J730" s="57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</row>
    <row r="731" spans="1:26" ht="16.5" customHeight="1">
      <c r="A731" s="54"/>
      <c r="B731" s="55"/>
      <c r="C731" s="56"/>
      <c r="D731" s="57"/>
      <c r="E731" s="57"/>
      <c r="F731" s="57"/>
      <c r="G731" s="57"/>
      <c r="H731" s="57"/>
      <c r="I731" s="53"/>
      <c r="J731" s="57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</row>
    <row r="732" spans="1:26" ht="16.5" customHeight="1">
      <c r="A732" s="54"/>
      <c r="B732" s="55"/>
      <c r="C732" s="56"/>
      <c r="D732" s="57"/>
      <c r="E732" s="57"/>
      <c r="F732" s="57"/>
      <c r="G732" s="57"/>
      <c r="H732" s="57"/>
      <c r="I732" s="53"/>
      <c r="J732" s="57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</row>
    <row r="733" spans="1:26" ht="16.5" customHeight="1">
      <c r="A733" s="54"/>
      <c r="B733" s="55"/>
      <c r="C733" s="56"/>
      <c r="D733" s="57"/>
      <c r="E733" s="57"/>
      <c r="F733" s="57"/>
      <c r="G733" s="57"/>
      <c r="H733" s="57"/>
      <c r="I733" s="53"/>
      <c r="J733" s="57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</row>
    <row r="734" spans="1:26" ht="16.5" customHeight="1">
      <c r="A734" s="54"/>
      <c r="B734" s="55"/>
      <c r="C734" s="56"/>
      <c r="D734" s="57"/>
      <c r="E734" s="57"/>
      <c r="F734" s="57"/>
      <c r="G734" s="57"/>
      <c r="H734" s="57"/>
      <c r="I734" s="53"/>
      <c r="J734" s="57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</row>
    <row r="735" spans="1:26" ht="16.5" customHeight="1">
      <c r="A735" s="54"/>
      <c r="B735" s="55"/>
      <c r="C735" s="56"/>
      <c r="D735" s="57"/>
      <c r="E735" s="57"/>
      <c r="F735" s="57"/>
      <c r="G735" s="57"/>
      <c r="H735" s="57"/>
      <c r="I735" s="53"/>
      <c r="J735" s="57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</row>
    <row r="736" spans="1:26" ht="16.5" customHeight="1">
      <c r="A736" s="54"/>
      <c r="B736" s="55"/>
      <c r="C736" s="56"/>
      <c r="D736" s="57"/>
      <c r="E736" s="57"/>
      <c r="F736" s="57"/>
      <c r="G736" s="57"/>
      <c r="H736" s="57"/>
      <c r="I736" s="53"/>
      <c r="J736" s="57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</row>
    <row r="737" spans="1:26" ht="16.5" customHeight="1">
      <c r="A737" s="54"/>
      <c r="B737" s="55"/>
      <c r="C737" s="56"/>
      <c r="D737" s="57"/>
      <c r="E737" s="57"/>
      <c r="F737" s="57"/>
      <c r="G737" s="57"/>
      <c r="H737" s="57"/>
      <c r="I737" s="53"/>
      <c r="J737" s="57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</row>
    <row r="738" spans="1:26" ht="16.5" customHeight="1">
      <c r="A738" s="54"/>
      <c r="B738" s="55"/>
      <c r="C738" s="56"/>
      <c r="D738" s="57"/>
      <c r="E738" s="57"/>
      <c r="F738" s="57"/>
      <c r="G738" s="57"/>
      <c r="H738" s="57"/>
      <c r="I738" s="53"/>
      <c r="J738" s="57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</row>
    <row r="739" spans="1:26" ht="16.5" customHeight="1">
      <c r="A739" s="54"/>
      <c r="B739" s="55"/>
      <c r="C739" s="56"/>
      <c r="D739" s="57"/>
      <c r="E739" s="57"/>
      <c r="F739" s="57"/>
      <c r="G739" s="57"/>
      <c r="H739" s="57"/>
      <c r="I739" s="53"/>
      <c r="J739" s="57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</row>
    <row r="740" spans="1:26" ht="16.5" customHeight="1">
      <c r="A740" s="54"/>
      <c r="B740" s="55"/>
      <c r="C740" s="56"/>
      <c r="D740" s="57"/>
      <c r="E740" s="57"/>
      <c r="F740" s="57"/>
      <c r="G740" s="57"/>
      <c r="H740" s="57"/>
      <c r="I740" s="53"/>
      <c r="J740" s="57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</row>
    <row r="741" spans="1:26" ht="16.5" customHeight="1">
      <c r="A741" s="54"/>
      <c r="B741" s="55"/>
      <c r="C741" s="56"/>
      <c r="D741" s="57"/>
      <c r="E741" s="57"/>
      <c r="F741" s="57"/>
      <c r="G741" s="57"/>
      <c r="H741" s="57"/>
      <c r="I741" s="53"/>
      <c r="J741" s="57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</row>
    <row r="742" spans="1:26" ht="16.5" customHeight="1">
      <c r="A742" s="54"/>
      <c r="B742" s="55"/>
      <c r="C742" s="56"/>
      <c r="D742" s="57"/>
      <c r="E742" s="57"/>
      <c r="F742" s="57"/>
      <c r="G742" s="57"/>
      <c r="H742" s="57"/>
      <c r="I742" s="53"/>
      <c r="J742" s="57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</row>
    <row r="743" spans="1:26" ht="16.5" customHeight="1">
      <c r="A743" s="54"/>
      <c r="B743" s="55"/>
      <c r="C743" s="56"/>
      <c r="D743" s="57"/>
      <c r="E743" s="57"/>
      <c r="F743" s="57"/>
      <c r="G743" s="57"/>
      <c r="H743" s="57"/>
      <c r="I743" s="53"/>
      <c r="J743" s="57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</row>
    <row r="744" spans="1:26" ht="16.5" customHeight="1">
      <c r="A744" s="54"/>
      <c r="B744" s="55"/>
      <c r="C744" s="56"/>
      <c r="D744" s="57"/>
      <c r="E744" s="57"/>
      <c r="F744" s="57"/>
      <c r="G744" s="57"/>
      <c r="H744" s="57"/>
      <c r="I744" s="53"/>
      <c r="J744" s="57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</row>
    <row r="745" spans="1:26" ht="16.5" customHeight="1">
      <c r="A745" s="54"/>
      <c r="B745" s="55"/>
      <c r="C745" s="56"/>
      <c r="D745" s="57"/>
      <c r="E745" s="57"/>
      <c r="F745" s="57"/>
      <c r="G745" s="57"/>
      <c r="H745" s="57"/>
      <c r="I745" s="53"/>
      <c r="J745" s="57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</row>
    <row r="746" spans="1:26" ht="16.5" customHeight="1">
      <c r="A746" s="54"/>
      <c r="B746" s="55"/>
      <c r="C746" s="56"/>
      <c r="D746" s="57"/>
      <c r="E746" s="57"/>
      <c r="F746" s="57"/>
      <c r="G746" s="57"/>
      <c r="H746" s="57"/>
      <c r="I746" s="53"/>
      <c r="J746" s="57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</row>
    <row r="747" spans="1:26" ht="16.5" customHeight="1">
      <c r="A747" s="54"/>
      <c r="B747" s="55"/>
      <c r="C747" s="56"/>
      <c r="D747" s="57"/>
      <c r="E747" s="57"/>
      <c r="F747" s="57"/>
      <c r="G747" s="57"/>
      <c r="H747" s="57"/>
      <c r="I747" s="53"/>
      <c r="J747" s="57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</row>
    <row r="748" spans="1:26" ht="16.5" customHeight="1">
      <c r="A748" s="54"/>
      <c r="B748" s="55"/>
      <c r="C748" s="56"/>
      <c r="D748" s="57"/>
      <c r="E748" s="57"/>
      <c r="F748" s="57"/>
      <c r="G748" s="57"/>
      <c r="H748" s="57"/>
      <c r="I748" s="53"/>
      <c r="J748" s="57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</row>
    <row r="749" spans="1:26" ht="16.5" customHeight="1">
      <c r="A749" s="54"/>
      <c r="B749" s="55"/>
      <c r="C749" s="56"/>
      <c r="D749" s="57"/>
      <c r="E749" s="57"/>
      <c r="F749" s="57"/>
      <c r="G749" s="57"/>
      <c r="H749" s="57"/>
      <c r="I749" s="53"/>
      <c r="J749" s="57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</row>
    <row r="750" spans="1:26" ht="16.5" customHeight="1">
      <c r="A750" s="54"/>
      <c r="B750" s="55"/>
      <c r="C750" s="56"/>
      <c r="D750" s="57"/>
      <c r="E750" s="57"/>
      <c r="F750" s="57"/>
      <c r="G750" s="57"/>
      <c r="H750" s="57"/>
      <c r="I750" s="53"/>
      <c r="J750" s="57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</row>
    <row r="751" spans="1:26" ht="16.5" customHeight="1">
      <c r="A751" s="54"/>
      <c r="B751" s="55"/>
      <c r="C751" s="56"/>
      <c r="D751" s="57"/>
      <c r="E751" s="57"/>
      <c r="F751" s="57"/>
      <c r="G751" s="57"/>
      <c r="H751" s="57"/>
      <c r="I751" s="53"/>
      <c r="J751" s="57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</row>
    <row r="752" spans="1:26" ht="16.5" customHeight="1">
      <c r="A752" s="54"/>
      <c r="B752" s="55"/>
      <c r="C752" s="56"/>
      <c r="D752" s="57"/>
      <c r="E752" s="57"/>
      <c r="F752" s="57"/>
      <c r="G752" s="57"/>
      <c r="H752" s="57"/>
      <c r="I752" s="53"/>
      <c r="J752" s="57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</row>
    <row r="753" spans="1:26" ht="16.5" customHeight="1">
      <c r="A753" s="54"/>
      <c r="B753" s="55"/>
      <c r="C753" s="56"/>
      <c r="D753" s="57"/>
      <c r="E753" s="57"/>
      <c r="F753" s="57"/>
      <c r="G753" s="57"/>
      <c r="H753" s="57"/>
      <c r="I753" s="53"/>
      <c r="J753" s="57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</row>
    <row r="754" spans="1:26" ht="16.5" customHeight="1">
      <c r="A754" s="54"/>
      <c r="B754" s="55"/>
      <c r="C754" s="56"/>
      <c r="D754" s="57"/>
      <c r="E754" s="57"/>
      <c r="F754" s="57"/>
      <c r="G754" s="57"/>
      <c r="H754" s="57"/>
      <c r="I754" s="53"/>
      <c r="J754" s="57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</row>
    <row r="755" spans="1:26" ht="16.5" customHeight="1">
      <c r="A755" s="54"/>
      <c r="B755" s="55"/>
      <c r="C755" s="56"/>
      <c r="D755" s="57"/>
      <c r="E755" s="57"/>
      <c r="F755" s="57"/>
      <c r="G755" s="57"/>
      <c r="H755" s="57"/>
      <c r="I755" s="53"/>
      <c r="J755" s="57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</row>
    <row r="756" spans="1:26" ht="16.5" customHeight="1">
      <c r="A756" s="54"/>
      <c r="B756" s="55"/>
      <c r="C756" s="56"/>
      <c r="D756" s="57"/>
      <c r="E756" s="57"/>
      <c r="F756" s="57"/>
      <c r="G756" s="57"/>
      <c r="H756" s="57"/>
      <c r="I756" s="53"/>
      <c r="J756" s="57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</row>
    <row r="757" spans="1:26" ht="16.5" customHeight="1">
      <c r="A757" s="54"/>
      <c r="B757" s="55"/>
      <c r="C757" s="56"/>
      <c r="D757" s="57"/>
      <c r="E757" s="57"/>
      <c r="F757" s="57"/>
      <c r="G757" s="57"/>
      <c r="H757" s="57"/>
      <c r="I757" s="53"/>
      <c r="J757" s="57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</row>
    <row r="758" spans="1:26" ht="16.5" customHeight="1">
      <c r="A758" s="54"/>
      <c r="B758" s="55"/>
      <c r="C758" s="56"/>
      <c r="D758" s="57"/>
      <c r="E758" s="57"/>
      <c r="F758" s="57"/>
      <c r="G758" s="57"/>
      <c r="H758" s="57"/>
      <c r="I758" s="53"/>
      <c r="J758" s="57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</row>
    <row r="759" spans="1:26" ht="16.5" customHeight="1">
      <c r="A759" s="54"/>
      <c r="B759" s="55"/>
      <c r="C759" s="56"/>
      <c r="D759" s="57"/>
      <c r="E759" s="57"/>
      <c r="F759" s="57"/>
      <c r="G759" s="57"/>
      <c r="H759" s="57"/>
      <c r="I759" s="53"/>
      <c r="J759" s="57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</row>
    <row r="760" spans="1:26" ht="16.5" customHeight="1">
      <c r="A760" s="54"/>
      <c r="B760" s="55"/>
      <c r="C760" s="56"/>
      <c r="D760" s="57"/>
      <c r="E760" s="57"/>
      <c r="F760" s="57"/>
      <c r="G760" s="57"/>
      <c r="H760" s="57"/>
      <c r="I760" s="53"/>
      <c r="J760" s="57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</row>
    <row r="761" spans="1:26" ht="16.5" customHeight="1">
      <c r="A761" s="54"/>
      <c r="B761" s="55"/>
      <c r="C761" s="56"/>
      <c r="D761" s="57"/>
      <c r="E761" s="57"/>
      <c r="F761" s="57"/>
      <c r="G761" s="57"/>
      <c r="H761" s="57"/>
      <c r="I761" s="53"/>
      <c r="J761" s="57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</row>
    <row r="762" spans="1:26" ht="16.5" customHeight="1">
      <c r="A762" s="54"/>
      <c r="B762" s="55"/>
      <c r="C762" s="56"/>
      <c r="D762" s="57"/>
      <c r="E762" s="57"/>
      <c r="F762" s="57"/>
      <c r="G762" s="57"/>
      <c r="H762" s="57"/>
      <c r="I762" s="53"/>
      <c r="J762" s="57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</row>
    <row r="763" spans="1:26" ht="16.5" customHeight="1">
      <c r="A763" s="54"/>
      <c r="B763" s="55"/>
      <c r="C763" s="56"/>
      <c r="D763" s="57"/>
      <c r="E763" s="57"/>
      <c r="F763" s="57"/>
      <c r="G763" s="57"/>
      <c r="H763" s="57"/>
      <c r="I763" s="53"/>
      <c r="J763" s="57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</row>
    <row r="764" spans="1:26" ht="16.5" customHeight="1">
      <c r="A764" s="54"/>
      <c r="B764" s="55"/>
      <c r="C764" s="56"/>
      <c r="D764" s="57"/>
      <c r="E764" s="57"/>
      <c r="F764" s="57"/>
      <c r="G764" s="57"/>
      <c r="H764" s="57"/>
      <c r="I764" s="53"/>
      <c r="J764" s="57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</row>
    <row r="765" spans="1:26" ht="16.5" customHeight="1">
      <c r="A765" s="54"/>
      <c r="B765" s="55"/>
      <c r="C765" s="56"/>
      <c r="D765" s="57"/>
      <c r="E765" s="57"/>
      <c r="F765" s="57"/>
      <c r="G765" s="57"/>
      <c r="H765" s="57"/>
      <c r="I765" s="53"/>
      <c r="J765" s="57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</row>
    <row r="766" spans="1:26" ht="16.5" customHeight="1">
      <c r="A766" s="54"/>
      <c r="B766" s="55"/>
      <c r="C766" s="56"/>
      <c r="D766" s="57"/>
      <c r="E766" s="57"/>
      <c r="F766" s="57"/>
      <c r="G766" s="57"/>
      <c r="H766" s="57"/>
      <c r="I766" s="53"/>
      <c r="J766" s="57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</row>
    <row r="767" spans="1:26" ht="16.5" customHeight="1">
      <c r="A767" s="54"/>
      <c r="B767" s="55"/>
      <c r="C767" s="56"/>
      <c r="D767" s="57"/>
      <c r="E767" s="57"/>
      <c r="F767" s="57"/>
      <c r="G767" s="57"/>
      <c r="H767" s="57"/>
      <c r="I767" s="53"/>
      <c r="J767" s="57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</row>
    <row r="768" spans="1:26" ht="16.5" customHeight="1">
      <c r="A768" s="54"/>
      <c r="B768" s="55"/>
      <c r="C768" s="56"/>
      <c r="D768" s="57"/>
      <c r="E768" s="57"/>
      <c r="F768" s="57"/>
      <c r="G768" s="57"/>
      <c r="H768" s="57"/>
      <c r="I768" s="53"/>
      <c r="J768" s="57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</row>
    <row r="769" spans="1:26" ht="16.5" customHeight="1">
      <c r="A769" s="54"/>
      <c r="B769" s="55"/>
      <c r="C769" s="56"/>
      <c r="D769" s="57"/>
      <c r="E769" s="57"/>
      <c r="F769" s="57"/>
      <c r="G769" s="57"/>
      <c r="H769" s="57"/>
      <c r="I769" s="53"/>
      <c r="J769" s="57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</row>
    <row r="770" spans="1:26" ht="16.5" customHeight="1">
      <c r="A770" s="54"/>
      <c r="B770" s="55"/>
      <c r="C770" s="56"/>
      <c r="D770" s="57"/>
      <c r="E770" s="57"/>
      <c r="F770" s="57"/>
      <c r="G770" s="57"/>
      <c r="H770" s="57"/>
      <c r="I770" s="53"/>
      <c r="J770" s="57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</row>
    <row r="771" spans="1:26" ht="16.5" customHeight="1">
      <c r="A771" s="54"/>
      <c r="B771" s="55"/>
      <c r="C771" s="56"/>
      <c r="D771" s="57"/>
      <c r="E771" s="57"/>
      <c r="F771" s="57"/>
      <c r="G771" s="57"/>
      <c r="H771" s="57"/>
      <c r="I771" s="53"/>
      <c r="J771" s="57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</row>
    <row r="772" spans="1:26" ht="16.5" customHeight="1">
      <c r="A772" s="54"/>
      <c r="B772" s="55"/>
      <c r="C772" s="56"/>
      <c r="D772" s="57"/>
      <c r="E772" s="57"/>
      <c r="F772" s="57"/>
      <c r="G772" s="57"/>
      <c r="H772" s="57"/>
      <c r="I772" s="53"/>
      <c r="J772" s="57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</row>
    <row r="773" spans="1:26" ht="16.5" customHeight="1">
      <c r="A773" s="54"/>
      <c r="B773" s="55"/>
      <c r="C773" s="56"/>
      <c r="D773" s="57"/>
      <c r="E773" s="57"/>
      <c r="F773" s="57"/>
      <c r="G773" s="57"/>
      <c r="H773" s="57"/>
      <c r="I773" s="53"/>
      <c r="J773" s="57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</row>
    <row r="774" spans="1:26" ht="16.5" customHeight="1">
      <c r="A774" s="54"/>
      <c r="B774" s="55"/>
      <c r="C774" s="56"/>
      <c r="D774" s="57"/>
      <c r="E774" s="57"/>
      <c r="F774" s="57"/>
      <c r="G774" s="57"/>
      <c r="H774" s="57"/>
      <c r="I774" s="53"/>
      <c r="J774" s="57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</row>
    <row r="775" spans="1:26" ht="16.5" customHeight="1">
      <c r="A775" s="54"/>
      <c r="B775" s="55"/>
      <c r="C775" s="56"/>
      <c r="D775" s="57"/>
      <c r="E775" s="57"/>
      <c r="F775" s="57"/>
      <c r="G775" s="57"/>
      <c r="H775" s="57"/>
      <c r="I775" s="53"/>
      <c r="J775" s="57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</row>
    <row r="776" spans="1:26" ht="16.5" customHeight="1">
      <c r="A776" s="54"/>
      <c r="B776" s="55"/>
      <c r="C776" s="56"/>
      <c r="D776" s="57"/>
      <c r="E776" s="57"/>
      <c r="F776" s="57"/>
      <c r="G776" s="57"/>
      <c r="H776" s="57"/>
      <c r="I776" s="53"/>
      <c r="J776" s="57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</row>
    <row r="777" spans="1:26" ht="16.5" customHeight="1">
      <c r="A777" s="54"/>
      <c r="B777" s="55"/>
      <c r="C777" s="56"/>
      <c r="D777" s="57"/>
      <c r="E777" s="57"/>
      <c r="F777" s="57"/>
      <c r="G777" s="57"/>
      <c r="H777" s="57"/>
      <c r="I777" s="53"/>
      <c r="J777" s="57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</row>
    <row r="778" spans="1:26" ht="16.5" customHeight="1">
      <c r="A778" s="54"/>
      <c r="B778" s="55"/>
      <c r="C778" s="56"/>
      <c r="D778" s="57"/>
      <c r="E778" s="57"/>
      <c r="F778" s="57"/>
      <c r="G778" s="57"/>
      <c r="H778" s="57"/>
      <c r="I778" s="53"/>
      <c r="J778" s="57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</row>
    <row r="779" spans="1:26" ht="16.5" customHeight="1">
      <c r="A779" s="54"/>
      <c r="B779" s="55"/>
      <c r="C779" s="56"/>
      <c r="D779" s="57"/>
      <c r="E779" s="57"/>
      <c r="F779" s="57"/>
      <c r="G779" s="57"/>
      <c r="H779" s="57"/>
      <c r="I779" s="53"/>
      <c r="J779" s="57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</row>
    <row r="780" spans="1:26" ht="16.5" customHeight="1">
      <c r="A780" s="54"/>
      <c r="B780" s="55"/>
      <c r="C780" s="56"/>
      <c r="D780" s="57"/>
      <c r="E780" s="57"/>
      <c r="F780" s="57"/>
      <c r="G780" s="57"/>
      <c r="H780" s="57"/>
      <c r="I780" s="53"/>
      <c r="J780" s="57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</row>
    <row r="781" spans="1:26" ht="16.5" customHeight="1">
      <c r="A781" s="54"/>
      <c r="B781" s="55"/>
      <c r="C781" s="56"/>
      <c r="D781" s="57"/>
      <c r="E781" s="57"/>
      <c r="F781" s="57"/>
      <c r="G781" s="57"/>
      <c r="H781" s="57"/>
      <c r="I781" s="53"/>
      <c r="J781" s="57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</row>
    <row r="782" spans="1:26" ht="16.5" customHeight="1">
      <c r="A782" s="54"/>
      <c r="B782" s="55"/>
      <c r="C782" s="56"/>
      <c r="D782" s="57"/>
      <c r="E782" s="57"/>
      <c r="F782" s="57"/>
      <c r="G782" s="57"/>
      <c r="H782" s="57"/>
      <c r="I782" s="53"/>
      <c r="J782" s="57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</row>
    <row r="783" spans="1:26" ht="16.5" customHeight="1">
      <c r="A783" s="54"/>
      <c r="B783" s="55"/>
      <c r="C783" s="56"/>
      <c r="D783" s="57"/>
      <c r="E783" s="57"/>
      <c r="F783" s="57"/>
      <c r="G783" s="57"/>
      <c r="H783" s="57"/>
      <c r="I783" s="53"/>
      <c r="J783" s="57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</row>
    <row r="784" spans="1:26" ht="16.5" customHeight="1">
      <c r="A784" s="54"/>
      <c r="B784" s="55"/>
      <c r="C784" s="56"/>
      <c r="D784" s="57"/>
      <c r="E784" s="57"/>
      <c r="F784" s="57"/>
      <c r="G784" s="57"/>
      <c r="H784" s="57"/>
      <c r="I784" s="53"/>
      <c r="J784" s="57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</row>
    <row r="785" spans="1:26" ht="16.5" customHeight="1">
      <c r="A785" s="54"/>
      <c r="B785" s="55"/>
      <c r="C785" s="56"/>
      <c r="D785" s="57"/>
      <c r="E785" s="57"/>
      <c r="F785" s="57"/>
      <c r="G785" s="57"/>
      <c r="H785" s="57"/>
      <c r="I785" s="53"/>
      <c r="J785" s="57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</row>
    <row r="786" spans="1:26" ht="16.5" customHeight="1">
      <c r="A786" s="54"/>
      <c r="B786" s="55"/>
      <c r="C786" s="56"/>
      <c r="D786" s="57"/>
      <c r="E786" s="57"/>
      <c r="F786" s="57"/>
      <c r="G786" s="57"/>
      <c r="H786" s="57"/>
      <c r="I786" s="53"/>
      <c r="J786" s="57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</row>
    <row r="787" spans="1:26" ht="16.5" customHeight="1">
      <c r="A787" s="54"/>
      <c r="B787" s="55"/>
      <c r="C787" s="56"/>
      <c r="D787" s="57"/>
      <c r="E787" s="57"/>
      <c r="F787" s="57"/>
      <c r="G787" s="57"/>
      <c r="H787" s="57"/>
      <c r="I787" s="53"/>
      <c r="J787" s="57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</row>
    <row r="788" spans="1:26" ht="16.5" customHeight="1">
      <c r="A788" s="54"/>
      <c r="B788" s="55"/>
      <c r="C788" s="56"/>
      <c r="D788" s="57"/>
      <c r="E788" s="57"/>
      <c r="F788" s="57"/>
      <c r="G788" s="57"/>
      <c r="H788" s="57"/>
      <c r="I788" s="53"/>
      <c r="J788" s="57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</row>
    <row r="789" spans="1:26" ht="16.5" customHeight="1">
      <c r="A789" s="54"/>
      <c r="B789" s="55"/>
      <c r="C789" s="56"/>
      <c r="D789" s="57"/>
      <c r="E789" s="57"/>
      <c r="F789" s="57"/>
      <c r="G789" s="57"/>
      <c r="H789" s="57"/>
      <c r="I789" s="53"/>
      <c r="J789" s="57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</row>
    <row r="790" spans="1:26" ht="16.5" customHeight="1">
      <c r="A790" s="54"/>
      <c r="B790" s="55"/>
      <c r="C790" s="56"/>
      <c r="D790" s="57"/>
      <c r="E790" s="57"/>
      <c r="F790" s="57"/>
      <c r="G790" s="57"/>
      <c r="H790" s="57"/>
      <c r="I790" s="53"/>
      <c r="J790" s="57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</row>
    <row r="791" spans="1:26" ht="16.5" customHeight="1">
      <c r="A791" s="54"/>
      <c r="B791" s="55"/>
      <c r="C791" s="56"/>
      <c r="D791" s="57"/>
      <c r="E791" s="57"/>
      <c r="F791" s="57"/>
      <c r="G791" s="57"/>
      <c r="H791" s="57"/>
      <c r="I791" s="53"/>
      <c r="J791" s="57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</row>
    <row r="792" spans="1:26" ht="16.5" customHeight="1">
      <c r="A792" s="54"/>
      <c r="B792" s="55"/>
      <c r="C792" s="56"/>
      <c r="D792" s="57"/>
      <c r="E792" s="57"/>
      <c r="F792" s="57"/>
      <c r="G792" s="57"/>
      <c r="H792" s="57"/>
      <c r="I792" s="53"/>
      <c r="J792" s="57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</row>
    <row r="793" spans="1:26" ht="16.5" customHeight="1">
      <c r="A793" s="54"/>
      <c r="B793" s="55"/>
      <c r="C793" s="56"/>
      <c r="D793" s="57"/>
      <c r="E793" s="57"/>
      <c r="F793" s="57"/>
      <c r="G793" s="57"/>
      <c r="H793" s="57"/>
      <c r="I793" s="53"/>
      <c r="J793" s="57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</row>
    <row r="794" spans="1:26" ht="16.5" customHeight="1">
      <c r="A794" s="54"/>
      <c r="B794" s="55"/>
      <c r="C794" s="56"/>
      <c r="D794" s="57"/>
      <c r="E794" s="57"/>
      <c r="F794" s="57"/>
      <c r="G794" s="57"/>
      <c r="H794" s="57"/>
      <c r="I794" s="53"/>
      <c r="J794" s="57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</row>
    <row r="795" spans="1:26" ht="16.5" customHeight="1">
      <c r="A795" s="54"/>
      <c r="B795" s="55"/>
      <c r="C795" s="56"/>
      <c r="D795" s="57"/>
      <c r="E795" s="57"/>
      <c r="F795" s="57"/>
      <c r="G795" s="57"/>
      <c r="H795" s="57"/>
      <c r="I795" s="53"/>
      <c r="J795" s="57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</row>
    <row r="796" spans="1:26" ht="16.5" customHeight="1">
      <c r="A796" s="54"/>
      <c r="B796" s="55"/>
      <c r="C796" s="56"/>
      <c r="D796" s="57"/>
      <c r="E796" s="57"/>
      <c r="F796" s="57"/>
      <c r="G796" s="57"/>
      <c r="H796" s="57"/>
      <c r="I796" s="53"/>
      <c r="J796" s="57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</row>
    <row r="797" spans="1:26" ht="16.5" customHeight="1">
      <c r="A797" s="54"/>
      <c r="B797" s="55"/>
      <c r="C797" s="56"/>
      <c r="D797" s="57"/>
      <c r="E797" s="57"/>
      <c r="F797" s="57"/>
      <c r="G797" s="57"/>
      <c r="H797" s="57"/>
      <c r="I797" s="53"/>
      <c r="J797" s="57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</row>
    <row r="798" spans="1:26" ht="16.5" customHeight="1">
      <c r="A798" s="54"/>
      <c r="B798" s="55"/>
      <c r="C798" s="56"/>
      <c r="D798" s="57"/>
      <c r="E798" s="57"/>
      <c r="F798" s="57"/>
      <c r="G798" s="57"/>
      <c r="H798" s="57"/>
      <c r="I798" s="53"/>
      <c r="J798" s="57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</row>
    <row r="799" spans="1:26" ht="16.5" customHeight="1">
      <c r="A799" s="54"/>
      <c r="B799" s="55"/>
      <c r="C799" s="56"/>
      <c r="D799" s="57"/>
      <c r="E799" s="57"/>
      <c r="F799" s="57"/>
      <c r="G799" s="57"/>
      <c r="H799" s="57"/>
      <c r="I799" s="53"/>
      <c r="J799" s="57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</row>
    <row r="800" spans="1:26" ht="16.5" customHeight="1">
      <c r="A800" s="54"/>
      <c r="B800" s="55"/>
      <c r="C800" s="56"/>
      <c r="D800" s="57"/>
      <c r="E800" s="57"/>
      <c r="F800" s="57"/>
      <c r="G800" s="57"/>
      <c r="H800" s="57"/>
      <c r="I800" s="53"/>
      <c r="J800" s="57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</row>
    <row r="801" spans="1:26" ht="16.5" customHeight="1">
      <c r="A801" s="54"/>
      <c r="B801" s="55"/>
      <c r="C801" s="56"/>
      <c r="D801" s="57"/>
      <c r="E801" s="57"/>
      <c r="F801" s="57"/>
      <c r="G801" s="57"/>
      <c r="H801" s="57"/>
      <c r="I801" s="53"/>
      <c r="J801" s="57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</row>
    <row r="802" spans="1:26" ht="16.5" customHeight="1">
      <c r="A802" s="54"/>
      <c r="B802" s="55"/>
      <c r="C802" s="56"/>
      <c r="D802" s="57"/>
      <c r="E802" s="57"/>
      <c r="F802" s="57"/>
      <c r="G802" s="57"/>
      <c r="H802" s="57"/>
      <c r="I802" s="53"/>
      <c r="J802" s="57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</row>
    <row r="803" spans="1:26" ht="16.5" customHeight="1">
      <c r="A803" s="54"/>
      <c r="B803" s="55"/>
      <c r="C803" s="56"/>
      <c r="D803" s="57"/>
      <c r="E803" s="57"/>
      <c r="F803" s="57"/>
      <c r="G803" s="57"/>
      <c r="H803" s="57"/>
      <c r="I803" s="53"/>
      <c r="J803" s="57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</row>
    <row r="804" spans="1:26" ht="16.5" customHeight="1">
      <c r="A804" s="54"/>
      <c r="B804" s="55"/>
      <c r="C804" s="56"/>
      <c r="D804" s="57"/>
      <c r="E804" s="57"/>
      <c r="F804" s="57"/>
      <c r="G804" s="57"/>
      <c r="H804" s="57"/>
      <c r="I804" s="53"/>
      <c r="J804" s="57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</row>
    <row r="805" spans="1:26" ht="16.5" customHeight="1">
      <c r="A805" s="54"/>
      <c r="B805" s="55"/>
      <c r="C805" s="56"/>
      <c r="D805" s="57"/>
      <c r="E805" s="57"/>
      <c r="F805" s="57"/>
      <c r="G805" s="57"/>
      <c r="H805" s="57"/>
      <c r="I805" s="53"/>
      <c r="J805" s="57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</row>
    <row r="806" spans="1:26" ht="16.5" customHeight="1">
      <c r="A806" s="54"/>
      <c r="B806" s="55"/>
      <c r="C806" s="56"/>
      <c r="D806" s="57"/>
      <c r="E806" s="57"/>
      <c r="F806" s="57"/>
      <c r="G806" s="57"/>
      <c r="H806" s="57"/>
      <c r="I806" s="53"/>
      <c r="J806" s="57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</row>
    <row r="807" spans="1:26" ht="16.5" customHeight="1">
      <c r="A807" s="54"/>
      <c r="B807" s="55"/>
      <c r="C807" s="56"/>
      <c r="D807" s="57"/>
      <c r="E807" s="57"/>
      <c r="F807" s="57"/>
      <c r="G807" s="57"/>
      <c r="H807" s="57"/>
      <c r="I807" s="53"/>
      <c r="J807" s="57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</row>
    <row r="808" spans="1:26" ht="16.5" customHeight="1">
      <c r="A808" s="54"/>
      <c r="B808" s="55"/>
      <c r="C808" s="56"/>
      <c r="D808" s="57"/>
      <c r="E808" s="57"/>
      <c r="F808" s="57"/>
      <c r="G808" s="57"/>
      <c r="H808" s="57"/>
      <c r="I808" s="53"/>
      <c r="J808" s="57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</row>
    <row r="809" spans="1:26" ht="16.5" customHeight="1">
      <c r="A809" s="54"/>
      <c r="B809" s="55"/>
      <c r="C809" s="56"/>
      <c r="D809" s="57"/>
      <c r="E809" s="57"/>
      <c r="F809" s="57"/>
      <c r="G809" s="57"/>
      <c r="H809" s="57"/>
      <c r="I809" s="53"/>
      <c r="J809" s="57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</row>
    <row r="810" spans="1:26" ht="16.5" customHeight="1">
      <c r="A810" s="54"/>
      <c r="B810" s="55"/>
      <c r="C810" s="56"/>
      <c r="D810" s="57"/>
      <c r="E810" s="57"/>
      <c r="F810" s="57"/>
      <c r="G810" s="57"/>
      <c r="H810" s="57"/>
      <c r="I810" s="53"/>
      <c r="J810" s="57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</row>
    <row r="811" spans="1:26" ht="16.5" customHeight="1">
      <c r="A811" s="54"/>
      <c r="B811" s="55"/>
      <c r="C811" s="56"/>
      <c r="D811" s="57"/>
      <c r="E811" s="57"/>
      <c r="F811" s="57"/>
      <c r="G811" s="57"/>
      <c r="H811" s="57"/>
      <c r="I811" s="53"/>
      <c r="J811" s="57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</row>
    <row r="812" spans="1:26" ht="16.5" customHeight="1">
      <c r="A812" s="54"/>
      <c r="B812" s="55"/>
      <c r="C812" s="56"/>
      <c r="D812" s="57"/>
      <c r="E812" s="57"/>
      <c r="F812" s="57"/>
      <c r="G812" s="57"/>
      <c r="H812" s="57"/>
      <c r="I812" s="53"/>
      <c r="J812" s="57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</row>
    <row r="813" spans="1:26" ht="16.5" customHeight="1">
      <c r="A813" s="54"/>
      <c r="B813" s="55"/>
      <c r="C813" s="56"/>
      <c r="D813" s="57"/>
      <c r="E813" s="57"/>
      <c r="F813" s="57"/>
      <c r="G813" s="57"/>
      <c r="H813" s="57"/>
      <c r="I813" s="53"/>
      <c r="J813" s="57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</row>
    <row r="814" spans="1:26" ht="16.5" customHeight="1">
      <c r="A814" s="54"/>
      <c r="B814" s="55"/>
      <c r="C814" s="56"/>
      <c r="D814" s="57"/>
      <c r="E814" s="57"/>
      <c r="F814" s="57"/>
      <c r="G814" s="57"/>
      <c r="H814" s="57"/>
      <c r="I814" s="53"/>
      <c r="J814" s="57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</row>
    <row r="815" spans="1:26" ht="16.5" customHeight="1">
      <c r="A815" s="54"/>
      <c r="B815" s="55"/>
      <c r="C815" s="56"/>
      <c r="D815" s="57"/>
      <c r="E815" s="57"/>
      <c r="F815" s="57"/>
      <c r="G815" s="57"/>
      <c r="H815" s="57"/>
      <c r="I815" s="53"/>
      <c r="J815" s="57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</row>
    <row r="816" spans="1:26" ht="16.5" customHeight="1">
      <c r="A816" s="54"/>
      <c r="B816" s="55"/>
      <c r="C816" s="56"/>
      <c r="D816" s="57"/>
      <c r="E816" s="57"/>
      <c r="F816" s="57"/>
      <c r="G816" s="57"/>
      <c r="H816" s="57"/>
      <c r="I816" s="53"/>
      <c r="J816" s="57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</row>
    <row r="817" spans="1:26" ht="16.5" customHeight="1">
      <c r="A817" s="54"/>
      <c r="B817" s="55"/>
      <c r="C817" s="56"/>
      <c r="D817" s="57"/>
      <c r="E817" s="57"/>
      <c r="F817" s="57"/>
      <c r="G817" s="57"/>
      <c r="H817" s="57"/>
      <c r="I817" s="53"/>
      <c r="J817" s="57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</row>
    <row r="818" spans="1:26" ht="16.5" customHeight="1">
      <c r="A818" s="54"/>
      <c r="B818" s="55"/>
      <c r="C818" s="56"/>
      <c r="D818" s="57"/>
      <c r="E818" s="57"/>
      <c r="F818" s="57"/>
      <c r="G818" s="57"/>
      <c r="H818" s="57"/>
      <c r="I818" s="53"/>
      <c r="J818" s="57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</row>
    <row r="819" spans="1:26" ht="16.5" customHeight="1">
      <c r="A819" s="54"/>
      <c r="B819" s="55"/>
      <c r="C819" s="56"/>
      <c r="D819" s="57"/>
      <c r="E819" s="57"/>
      <c r="F819" s="57"/>
      <c r="G819" s="57"/>
      <c r="H819" s="57"/>
      <c r="I819" s="53"/>
      <c r="J819" s="57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</row>
    <row r="820" spans="1:26" ht="16.5" customHeight="1">
      <c r="A820" s="54"/>
      <c r="B820" s="55"/>
      <c r="C820" s="56"/>
      <c r="D820" s="57"/>
      <c r="E820" s="57"/>
      <c r="F820" s="57"/>
      <c r="G820" s="57"/>
      <c r="H820" s="57"/>
      <c r="I820" s="53"/>
      <c r="J820" s="57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</row>
    <row r="821" spans="1:26" ht="16.5" customHeight="1">
      <c r="A821" s="54"/>
      <c r="B821" s="55"/>
      <c r="C821" s="56"/>
      <c r="D821" s="57"/>
      <c r="E821" s="57"/>
      <c r="F821" s="57"/>
      <c r="G821" s="57"/>
      <c r="H821" s="57"/>
      <c r="I821" s="53"/>
      <c r="J821" s="57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</row>
    <row r="822" spans="1:26" ht="16.5" customHeight="1">
      <c r="A822" s="54"/>
      <c r="B822" s="55"/>
      <c r="C822" s="56"/>
      <c r="D822" s="57"/>
      <c r="E822" s="57"/>
      <c r="F822" s="57"/>
      <c r="G822" s="57"/>
      <c r="H822" s="57"/>
      <c r="I822" s="53"/>
      <c r="J822" s="57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</row>
    <row r="823" spans="1:26" ht="16.5" customHeight="1">
      <c r="A823" s="54"/>
      <c r="B823" s="55"/>
      <c r="C823" s="56"/>
      <c r="D823" s="57"/>
      <c r="E823" s="57"/>
      <c r="F823" s="57"/>
      <c r="G823" s="57"/>
      <c r="H823" s="57"/>
      <c r="I823" s="53"/>
      <c r="J823" s="57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</row>
    <row r="824" spans="1:26" ht="16.5" customHeight="1">
      <c r="A824" s="54"/>
      <c r="B824" s="55"/>
      <c r="C824" s="56"/>
      <c r="D824" s="57"/>
      <c r="E824" s="57"/>
      <c r="F824" s="57"/>
      <c r="G824" s="57"/>
      <c r="H824" s="57"/>
      <c r="I824" s="53"/>
      <c r="J824" s="57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</row>
    <row r="825" spans="1:26" ht="16.5" customHeight="1">
      <c r="A825" s="54"/>
      <c r="B825" s="55"/>
      <c r="C825" s="56"/>
      <c r="D825" s="57"/>
      <c r="E825" s="57"/>
      <c r="F825" s="57"/>
      <c r="G825" s="57"/>
      <c r="H825" s="57"/>
      <c r="I825" s="53"/>
      <c r="J825" s="57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</row>
    <row r="826" spans="1:26" ht="16.5" customHeight="1">
      <c r="A826" s="54"/>
      <c r="B826" s="55"/>
      <c r="C826" s="56"/>
      <c r="D826" s="57"/>
      <c r="E826" s="57"/>
      <c r="F826" s="57"/>
      <c r="G826" s="57"/>
      <c r="H826" s="57"/>
      <c r="I826" s="53"/>
      <c r="J826" s="57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</row>
    <row r="827" spans="1:26" ht="16.5" customHeight="1">
      <c r="A827" s="54"/>
      <c r="B827" s="55"/>
      <c r="C827" s="56"/>
      <c r="D827" s="57"/>
      <c r="E827" s="57"/>
      <c r="F827" s="57"/>
      <c r="G827" s="57"/>
      <c r="H827" s="57"/>
      <c r="I827" s="53"/>
      <c r="J827" s="57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</row>
    <row r="828" spans="1:26" ht="16.5" customHeight="1">
      <c r="A828" s="54"/>
      <c r="B828" s="55"/>
      <c r="C828" s="56"/>
      <c r="D828" s="57"/>
      <c r="E828" s="57"/>
      <c r="F828" s="57"/>
      <c r="G828" s="57"/>
      <c r="H828" s="57"/>
      <c r="I828" s="53"/>
      <c r="J828" s="57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</row>
    <row r="829" spans="1:26" ht="16.5" customHeight="1">
      <c r="A829" s="54"/>
      <c r="B829" s="55"/>
      <c r="C829" s="56"/>
      <c r="D829" s="57"/>
      <c r="E829" s="57"/>
      <c r="F829" s="57"/>
      <c r="G829" s="57"/>
      <c r="H829" s="57"/>
      <c r="I829" s="53"/>
      <c r="J829" s="57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</row>
    <row r="830" spans="1:26" ht="16.5" customHeight="1">
      <c r="A830" s="54"/>
      <c r="B830" s="55"/>
      <c r="C830" s="56"/>
      <c r="D830" s="57"/>
      <c r="E830" s="57"/>
      <c r="F830" s="57"/>
      <c r="G830" s="57"/>
      <c r="H830" s="57"/>
      <c r="I830" s="53"/>
      <c r="J830" s="57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</row>
    <row r="831" spans="1:26" ht="16.5" customHeight="1">
      <c r="A831" s="54"/>
      <c r="B831" s="55"/>
      <c r="C831" s="56"/>
      <c r="D831" s="57"/>
      <c r="E831" s="57"/>
      <c r="F831" s="57"/>
      <c r="G831" s="57"/>
      <c r="H831" s="57"/>
      <c r="I831" s="53"/>
      <c r="J831" s="57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</row>
    <row r="832" spans="1:26" ht="16.5" customHeight="1">
      <c r="A832" s="54"/>
      <c r="B832" s="55"/>
      <c r="C832" s="56"/>
      <c r="D832" s="57"/>
      <c r="E832" s="57"/>
      <c r="F832" s="57"/>
      <c r="G832" s="57"/>
      <c r="H832" s="57"/>
      <c r="I832" s="53"/>
      <c r="J832" s="57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</row>
    <row r="833" spans="1:26" ht="16.5" customHeight="1">
      <c r="A833" s="54"/>
      <c r="B833" s="55"/>
      <c r="C833" s="56"/>
      <c r="D833" s="57"/>
      <c r="E833" s="57"/>
      <c r="F833" s="57"/>
      <c r="G833" s="57"/>
      <c r="H833" s="57"/>
      <c r="I833" s="53"/>
      <c r="J833" s="57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</row>
    <row r="834" spans="1:26" ht="16.5" customHeight="1">
      <c r="A834" s="54"/>
      <c r="B834" s="55"/>
      <c r="C834" s="56"/>
      <c r="D834" s="57"/>
      <c r="E834" s="57"/>
      <c r="F834" s="57"/>
      <c r="G834" s="57"/>
      <c r="H834" s="57"/>
      <c r="I834" s="53"/>
      <c r="J834" s="57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</row>
    <row r="835" spans="1:26" ht="16.5" customHeight="1">
      <c r="A835" s="54"/>
      <c r="B835" s="55"/>
      <c r="C835" s="56"/>
      <c r="D835" s="57"/>
      <c r="E835" s="57"/>
      <c r="F835" s="57"/>
      <c r="G835" s="57"/>
      <c r="H835" s="57"/>
      <c r="I835" s="53"/>
      <c r="J835" s="57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</row>
    <row r="836" spans="1:26" ht="16.5" customHeight="1">
      <c r="A836" s="54"/>
      <c r="B836" s="55"/>
      <c r="C836" s="56"/>
      <c r="D836" s="57"/>
      <c r="E836" s="57"/>
      <c r="F836" s="57"/>
      <c r="G836" s="57"/>
      <c r="H836" s="57"/>
      <c r="I836" s="53"/>
      <c r="J836" s="57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</row>
    <row r="837" spans="1:26" ht="16.5" customHeight="1">
      <c r="A837" s="54"/>
      <c r="B837" s="55"/>
      <c r="C837" s="56"/>
      <c r="D837" s="57"/>
      <c r="E837" s="57"/>
      <c r="F837" s="57"/>
      <c r="G837" s="57"/>
      <c r="H837" s="57"/>
      <c r="I837" s="53"/>
      <c r="J837" s="57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</row>
    <row r="838" spans="1:26" ht="16.5" customHeight="1">
      <c r="A838" s="54"/>
      <c r="B838" s="55"/>
      <c r="C838" s="56"/>
      <c r="D838" s="57"/>
      <c r="E838" s="57"/>
      <c r="F838" s="57"/>
      <c r="G838" s="57"/>
      <c r="H838" s="57"/>
      <c r="I838" s="53"/>
      <c r="J838" s="57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</row>
    <row r="839" spans="1:26" ht="16.5" customHeight="1">
      <c r="A839" s="54"/>
      <c r="B839" s="55"/>
      <c r="C839" s="56"/>
      <c r="D839" s="57"/>
      <c r="E839" s="57"/>
      <c r="F839" s="57"/>
      <c r="G839" s="57"/>
      <c r="H839" s="57"/>
      <c r="I839" s="53"/>
      <c r="J839" s="57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</row>
    <row r="840" spans="1:26" ht="16.5" customHeight="1">
      <c r="A840" s="54"/>
      <c r="B840" s="55"/>
      <c r="C840" s="56"/>
      <c r="D840" s="57"/>
      <c r="E840" s="57"/>
      <c r="F840" s="57"/>
      <c r="G840" s="57"/>
      <c r="H840" s="57"/>
      <c r="I840" s="53"/>
      <c r="J840" s="57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</row>
    <row r="841" spans="1:26" ht="16.5" customHeight="1">
      <c r="A841" s="54"/>
      <c r="B841" s="55"/>
      <c r="C841" s="56"/>
      <c r="D841" s="57"/>
      <c r="E841" s="57"/>
      <c r="F841" s="57"/>
      <c r="G841" s="57"/>
      <c r="H841" s="57"/>
      <c r="I841" s="53"/>
      <c r="J841" s="57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</row>
    <row r="842" spans="1:26" ht="16.5" customHeight="1">
      <c r="A842" s="54"/>
      <c r="B842" s="55"/>
      <c r="C842" s="56"/>
      <c r="D842" s="57"/>
      <c r="E842" s="57"/>
      <c r="F842" s="57"/>
      <c r="G842" s="57"/>
      <c r="H842" s="57"/>
      <c r="I842" s="53"/>
      <c r="J842" s="57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</row>
    <row r="843" spans="1:26" ht="16.5" customHeight="1">
      <c r="A843" s="54"/>
      <c r="B843" s="55"/>
      <c r="C843" s="56"/>
      <c r="D843" s="57"/>
      <c r="E843" s="57"/>
      <c r="F843" s="57"/>
      <c r="G843" s="57"/>
      <c r="H843" s="57"/>
      <c r="I843" s="53"/>
      <c r="J843" s="57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</row>
    <row r="844" spans="1:26" ht="16.5" customHeight="1">
      <c r="A844" s="54"/>
      <c r="B844" s="55"/>
      <c r="C844" s="56"/>
      <c r="D844" s="57"/>
      <c r="E844" s="57"/>
      <c r="F844" s="57"/>
      <c r="G844" s="57"/>
      <c r="H844" s="57"/>
      <c r="I844" s="53"/>
      <c r="J844" s="57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</row>
    <row r="845" spans="1:26" ht="16.5" customHeight="1">
      <c r="A845" s="54"/>
      <c r="B845" s="55"/>
      <c r="C845" s="56"/>
      <c r="D845" s="57"/>
      <c r="E845" s="57"/>
      <c r="F845" s="57"/>
      <c r="G845" s="57"/>
      <c r="H845" s="57"/>
      <c r="I845" s="53"/>
      <c r="J845" s="57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</row>
    <row r="846" spans="1:26" ht="16.5" customHeight="1">
      <c r="A846" s="54"/>
      <c r="B846" s="55"/>
      <c r="C846" s="56"/>
      <c r="D846" s="57"/>
      <c r="E846" s="57"/>
      <c r="F846" s="57"/>
      <c r="G846" s="57"/>
      <c r="H846" s="57"/>
      <c r="I846" s="53"/>
      <c r="J846" s="57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</row>
    <row r="847" spans="1:26" ht="16.5" customHeight="1">
      <c r="A847" s="54"/>
      <c r="B847" s="55"/>
      <c r="C847" s="56"/>
      <c r="D847" s="57"/>
      <c r="E847" s="57"/>
      <c r="F847" s="57"/>
      <c r="G847" s="57"/>
      <c r="H847" s="57"/>
      <c r="I847" s="53"/>
      <c r="J847" s="57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</row>
    <row r="848" spans="1:26" ht="16.5" customHeight="1">
      <c r="A848" s="54"/>
      <c r="B848" s="55"/>
      <c r="C848" s="56"/>
      <c r="D848" s="57"/>
      <c r="E848" s="57"/>
      <c r="F848" s="57"/>
      <c r="G848" s="57"/>
      <c r="H848" s="57"/>
      <c r="I848" s="53"/>
      <c r="J848" s="57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</row>
    <row r="849" spans="1:26" ht="16.5" customHeight="1">
      <c r="A849" s="54"/>
      <c r="B849" s="55"/>
      <c r="C849" s="56"/>
      <c r="D849" s="57"/>
      <c r="E849" s="57"/>
      <c r="F849" s="57"/>
      <c r="G849" s="57"/>
      <c r="H849" s="57"/>
      <c r="I849" s="53"/>
      <c r="J849" s="57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</row>
    <row r="850" spans="1:26" ht="16.5" customHeight="1">
      <c r="A850" s="54"/>
      <c r="B850" s="55"/>
      <c r="C850" s="56"/>
      <c r="D850" s="57"/>
      <c r="E850" s="57"/>
      <c r="F850" s="57"/>
      <c r="G850" s="57"/>
      <c r="H850" s="57"/>
      <c r="I850" s="53"/>
      <c r="J850" s="57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</row>
    <row r="851" spans="1:26" ht="16.5" customHeight="1">
      <c r="A851" s="54"/>
      <c r="B851" s="55"/>
      <c r="C851" s="56"/>
      <c r="D851" s="57"/>
      <c r="E851" s="57"/>
      <c r="F851" s="57"/>
      <c r="G851" s="57"/>
      <c r="H851" s="57"/>
      <c r="I851" s="53"/>
      <c r="J851" s="57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</row>
    <row r="852" spans="1:26" ht="16.5" customHeight="1">
      <c r="A852" s="54"/>
      <c r="B852" s="55"/>
      <c r="C852" s="56"/>
      <c r="D852" s="57"/>
      <c r="E852" s="57"/>
      <c r="F852" s="57"/>
      <c r="G852" s="57"/>
      <c r="H852" s="57"/>
      <c r="I852" s="53"/>
      <c r="J852" s="57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</row>
    <row r="853" spans="1:26" ht="16.5" customHeight="1">
      <c r="A853" s="54"/>
      <c r="B853" s="55"/>
      <c r="C853" s="56"/>
      <c r="D853" s="57"/>
      <c r="E853" s="57"/>
      <c r="F853" s="57"/>
      <c r="G853" s="57"/>
      <c r="H853" s="57"/>
      <c r="I853" s="53"/>
      <c r="J853" s="57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</row>
    <row r="854" spans="1:26" ht="16.5" customHeight="1">
      <c r="A854" s="54"/>
      <c r="B854" s="55"/>
      <c r="C854" s="56"/>
      <c r="D854" s="57"/>
      <c r="E854" s="57"/>
      <c r="F854" s="57"/>
      <c r="G854" s="57"/>
      <c r="H854" s="57"/>
      <c r="I854" s="53"/>
      <c r="J854" s="57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</row>
    <row r="855" spans="1:26" ht="16.5" customHeight="1">
      <c r="A855" s="54"/>
      <c r="B855" s="55"/>
      <c r="C855" s="56"/>
      <c r="D855" s="57"/>
      <c r="E855" s="57"/>
      <c r="F855" s="57"/>
      <c r="G855" s="57"/>
      <c r="H855" s="57"/>
      <c r="I855" s="53"/>
      <c r="J855" s="57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</row>
    <row r="856" spans="1:26" ht="16.5" customHeight="1">
      <c r="A856" s="54"/>
      <c r="B856" s="55"/>
      <c r="C856" s="56"/>
      <c r="D856" s="57"/>
      <c r="E856" s="57"/>
      <c r="F856" s="57"/>
      <c r="G856" s="57"/>
      <c r="H856" s="57"/>
      <c r="I856" s="53"/>
      <c r="J856" s="57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</row>
    <row r="857" spans="1:26" ht="16.5" customHeight="1">
      <c r="A857" s="54"/>
      <c r="B857" s="55"/>
      <c r="C857" s="56"/>
      <c r="D857" s="57"/>
      <c r="E857" s="57"/>
      <c r="F857" s="57"/>
      <c r="G857" s="57"/>
      <c r="H857" s="57"/>
      <c r="I857" s="53"/>
      <c r="J857" s="57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</row>
    <row r="858" spans="1:26" ht="16.5" customHeight="1">
      <c r="A858" s="54"/>
      <c r="B858" s="55"/>
      <c r="C858" s="56"/>
      <c r="D858" s="57"/>
      <c r="E858" s="57"/>
      <c r="F858" s="57"/>
      <c r="G858" s="57"/>
      <c r="H858" s="57"/>
      <c r="I858" s="53"/>
      <c r="J858" s="57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</row>
    <row r="859" spans="1:26" ht="16.5" customHeight="1">
      <c r="A859" s="54"/>
      <c r="B859" s="55"/>
      <c r="C859" s="56"/>
      <c r="D859" s="57"/>
      <c r="E859" s="57"/>
      <c r="F859" s="57"/>
      <c r="G859" s="57"/>
      <c r="H859" s="57"/>
      <c r="I859" s="53"/>
      <c r="J859" s="57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</row>
    <row r="860" spans="1:26" ht="16.5" customHeight="1">
      <c r="A860" s="54"/>
      <c r="B860" s="55"/>
      <c r="C860" s="56"/>
      <c r="D860" s="57"/>
      <c r="E860" s="57"/>
      <c r="F860" s="57"/>
      <c r="G860" s="57"/>
      <c r="H860" s="57"/>
      <c r="I860" s="53"/>
      <c r="J860" s="57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</row>
    <row r="861" spans="1:26" ht="16.5" customHeight="1">
      <c r="A861" s="54"/>
      <c r="B861" s="55"/>
      <c r="C861" s="56"/>
      <c r="D861" s="57"/>
      <c r="E861" s="57"/>
      <c r="F861" s="57"/>
      <c r="G861" s="57"/>
      <c r="H861" s="57"/>
      <c r="I861" s="53"/>
      <c r="J861" s="57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</row>
    <row r="862" spans="1:26" ht="16.5" customHeight="1">
      <c r="A862" s="54"/>
      <c r="B862" s="55"/>
      <c r="C862" s="56"/>
      <c r="D862" s="57"/>
      <c r="E862" s="57"/>
      <c r="F862" s="57"/>
      <c r="G862" s="57"/>
      <c r="H862" s="57"/>
      <c r="I862" s="53"/>
      <c r="J862" s="57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</row>
    <row r="863" spans="1:26" ht="16.5" customHeight="1">
      <c r="A863" s="54"/>
      <c r="B863" s="55"/>
      <c r="C863" s="56"/>
      <c r="D863" s="57"/>
      <c r="E863" s="57"/>
      <c r="F863" s="57"/>
      <c r="G863" s="57"/>
      <c r="H863" s="57"/>
      <c r="I863" s="53"/>
      <c r="J863" s="57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</row>
    <row r="864" spans="1:26" ht="16.5" customHeight="1">
      <c r="A864" s="54"/>
      <c r="B864" s="55"/>
      <c r="C864" s="56"/>
      <c r="D864" s="57"/>
      <c r="E864" s="57"/>
      <c r="F864" s="57"/>
      <c r="G864" s="57"/>
      <c r="H864" s="57"/>
      <c r="I864" s="53"/>
      <c r="J864" s="57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</row>
    <row r="865" spans="1:26" ht="16.5" customHeight="1">
      <c r="A865" s="54"/>
      <c r="B865" s="55"/>
      <c r="C865" s="56"/>
      <c r="D865" s="57"/>
      <c r="E865" s="57"/>
      <c r="F865" s="57"/>
      <c r="G865" s="57"/>
      <c r="H865" s="57"/>
      <c r="I865" s="53"/>
      <c r="J865" s="57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</row>
    <row r="866" spans="1:26" ht="16.5" customHeight="1">
      <c r="A866" s="54"/>
      <c r="B866" s="55"/>
      <c r="C866" s="56"/>
      <c r="D866" s="57"/>
      <c r="E866" s="57"/>
      <c r="F866" s="57"/>
      <c r="G866" s="57"/>
      <c r="H866" s="57"/>
      <c r="I866" s="53"/>
      <c r="J866" s="57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</row>
    <row r="867" spans="1:26" ht="16.5" customHeight="1">
      <c r="A867" s="54"/>
      <c r="B867" s="55"/>
      <c r="C867" s="56"/>
      <c r="D867" s="57"/>
      <c r="E867" s="57"/>
      <c r="F867" s="57"/>
      <c r="G867" s="57"/>
      <c r="H867" s="57"/>
      <c r="I867" s="53"/>
      <c r="J867" s="57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</row>
    <row r="868" spans="1:26" ht="16.5" customHeight="1">
      <c r="A868" s="54"/>
      <c r="B868" s="55"/>
      <c r="C868" s="56"/>
      <c r="D868" s="57"/>
      <c r="E868" s="57"/>
      <c r="F868" s="57"/>
      <c r="G868" s="57"/>
      <c r="H868" s="57"/>
      <c r="I868" s="53"/>
      <c r="J868" s="57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</row>
    <row r="869" spans="1:26" ht="16.5" customHeight="1">
      <c r="A869" s="54"/>
      <c r="B869" s="55"/>
      <c r="C869" s="56"/>
      <c r="D869" s="57"/>
      <c r="E869" s="57"/>
      <c r="F869" s="57"/>
      <c r="G869" s="57"/>
      <c r="H869" s="57"/>
      <c r="I869" s="53"/>
      <c r="J869" s="57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</row>
    <row r="870" spans="1:26" ht="16.5" customHeight="1">
      <c r="A870" s="54"/>
      <c r="B870" s="55"/>
      <c r="C870" s="56"/>
      <c r="D870" s="57"/>
      <c r="E870" s="57"/>
      <c r="F870" s="57"/>
      <c r="G870" s="57"/>
      <c r="H870" s="57"/>
      <c r="I870" s="53"/>
      <c r="J870" s="57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</row>
    <row r="871" spans="1:26" ht="16.5" customHeight="1">
      <c r="A871" s="54"/>
      <c r="B871" s="55"/>
      <c r="C871" s="56"/>
      <c r="D871" s="57"/>
      <c r="E871" s="57"/>
      <c r="F871" s="57"/>
      <c r="G871" s="57"/>
      <c r="H871" s="57"/>
      <c r="I871" s="53"/>
      <c r="J871" s="57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</row>
    <row r="872" spans="1:26" ht="16.5" customHeight="1">
      <c r="A872" s="54"/>
      <c r="B872" s="55"/>
      <c r="C872" s="56"/>
      <c r="D872" s="57"/>
      <c r="E872" s="57"/>
      <c r="F872" s="57"/>
      <c r="G872" s="57"/>
      <c r="H872" s="57"/>
      <c r="I872" s="53"/>
      <c r="J872" s="57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</row>
    <row r="873" spans="1:26" ht="16.5" customHeight="1">
      <c r="A873" s="54"/>
      <c r="B873" s="55"/>
      <c r="C873" s="56"/>
      <c r="D873" s="57"/>
      <c r="E873" s="57"/>
      <c r="F873" s="57"/>
      <c r="G873" s="57"/>
      <c r="H873" s="57"/>
      <c r="I873" s="53"/>
      <c r="J873" s="57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</row>
    <row r="874" spans="1:26" ht="16.5" customHeight="1">
      <c r="A874" s="54"/>
      <c r="B874" s="55"/>
      <c r="C874" s="56"/>
      <c r="D874" s="57"/>
      <c r="E874" s="57"/>
      <c r="F874" s="57"/>
      <c r="G874" s="57"/>
      <c r="H874" s="57"/>
      <c r="I874" s="53"/>
      <c r="J874" s="57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</row>
    <row r="875" spans="1:26" ht="16.5" customHeight="1">
      <c r="A875" s="54"/>
      <c r="B875" s="55"/>
      <c r="C875" s="56"/>
      <c r="D875" s="57"/>
      <c r="E875" s="57"/>
      <c r="F875" s="57"/>
      <c r="G875" s="57"/>
      <c r="H875" s="57"/>
      <c r="I875" s="53"/>
      <c r="J875" s="57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</row>
    <row r="876" spans="1:26" ht="16.5" customHeight="1">
      <c r="A876" s="54"/>
      <c r="B876" s="55"/>
      <c r="C876" s="56"/>
      <c r="D876" s="57"/>
      <c r="E876" s="57"/>
      <c r="F876" s="57"/>
      <c r="G876" s="57"/>
      <c r="H876" s="57"/>
      <c r="I876" s="53"/>
      <c r="J876" s="57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</row>
    <row r="877" spans="1:26" ht="16.5" customHeight="1">
      <c r="A877" s="54"/>
      <c r="B877" s="55"/>
      <c r="C877" s="56"/>
      <c r="D877" s="57"/>
      <c r="E877" s="57"/>
      <c r="F877" s="57"/>
      <c r="G877" s="57"/>
      <c r="H877" s="57"/>
      <c r="I877" s="53"/>
      <c r="J877" s="57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</row>
    <row r="878" spans="1:26" ht="16.5" customHeight="1">
      <c r="A878" s="54"/>
      <c r="B878" s="55"/>
      <c r="C878" s="56"/>
      <c r="D878" s="57"/>
      <c r="E878" s="57"/>
      <c r="F878" s="57"/>
      <c r="G878" s="57"/>
      <c r="H878" s="57"/>
      <c r="I878" s="53"/>
      <c r="J878" s="57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</row>
    <row r="879" spans="1:26" ht="16.5" customHeight="1">
      <c r="A879" s="54"/>
      <c r="B879" s="55"/>
      <c r="C879" s="56"/>
      <c r="D879" s="57"/>
      <c r="E879" s="57"/>
      <c r="F879" s="57"/>
      <c r="G879" s="57"/>
      <c r="H879" s="57"/>
      <c r="I879" s="53"/>
      <c r="J879" s="57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</row>
    <row r="880" spans="1:26" ht="16.5" customHeight="1">
      <c r="A880" s="54"/>
      <c r="B880" s="55"/>
      <c r="C880" s="56"/>
      <c r="D880" s="57"/>
      <c r="E880" s="57"/>
      <c r="F880" s="57"/>
      <c r="G880" s="57"/>
      <c r="H880" s="57"/>
      <c r="I880" s="53"/>
      <c r="J880" s="57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</row>
    <row r="881" spans="1:26" ht="16.5" customHeight="1">
      <c r="A881" s="54"/>
      <c r="B881" s="55"/>
      <c r="C881" s="56"/>
      <c r="D881" s="57"/>
      <c r="E881" s="57"/>
      <c r="F881" s="57"/>
      <c r="G881" s="57"/>
      <c r="H881" s="57"/>
      <c r="I881" s="53"/>
      <c r="J881" s="57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</row>
    <row r="882" spans="1:26" ht="16.5" customHeight="1">
      <c r="A882" s="54"/>
      <c r="B882" s="55"/>
      <c r="C882" s="56"/>
      <c r="D882" s="57"/>
      <c r="E882" s="57"/>
      <c r="F882" s="57"/>
      <c r="G882" s="57"/>
      <c r="H882" s="57"/>
      <c r="I882" s="53"/>
      <c r="J882" s="57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</row>
    <row r="883" spans="1:26" ht="16.5" customHeight="1">
      <c r="A883" s="54"/>
      <c r="B883" s="55"/>
      <c r="C883" s="56"/>
      <c r="D883" s="57"/>
      <c r="E883" s="57"/>
      <c r="F883" s="57"/>
      <c r="G883" s="57"/>
      <c r="H883" s="57"/>
      <c r="I883" s="53"/>
      <c r="J883" s="57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</row>
    <row r="884" spans="1:26" ht="16.5" customHeight="1">
      <c r="A884" s="54"/>
      <c r="B884" s="55"/>
      <c r="C884" s="56"/>
      <c r="D884" s="57"/>
      <c r="E884" s="57"/>
      <c r="F884" s="57"/>
      <c r="G884" s="57"/>
      <c r="H884" s="57"/>
      <c r="I884" s="53"/>
      <c r="J884" s="57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</row>
    <row r="885" spans="1:26" ht="16.5" customHeight="1">
      <c r="A885" s="54"/>
      <c r="B885" s="55"/>
      <c r="C885" s="56"/>
      <c r="D885" s="57"/>
      <c r="E885" s="57"/>
      <c r="F885" s="57"/>
      <c r="G885" s="57"/>
      <c r="H885" s="57"/>
      <c r="I885" s="53"/>
      <c r="J885" s="57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</row>
    <row r="886" spans="1:26" ht="16.5" customHeight="1">
      <c r="A886" s="54"/>
      <c r="B886" s="55"/>
      <c r="C886" s="56"/>
      <c r="D886" s="57"/>
      <c r="E886" s="57"/>
      <c r="F886" s="57"/>
      <c r="G886" s="57"/>
      <c r="H886" s="57"/>
      <c r="I886" s="53"/>
      <c r="J886" s="57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</row>
    <row r="887" spans="1:26" ht="16.5" customHeight="1">
      <c r="A887" s="54"/>
      <c r="B887" s="55"/>
      <c r="C887" s="56"/>
      <c r="D887" s="57"/>
      <c r="E887" s="57"/>
      <c r="F887" s="57"/>
      <c r="G887" s="57"/>
      <c r="H887" s="57"/>
      <c r="I887" s="53"/>
      <c r="J887" s="57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</row>
    <row r="888" spans="1:26" ht="16.5" customHeight="1">
      <c r="A888" s="54"/>
      <c r="B888" s="55"/>
      <c r="C888" s="56"/>
      <c r="D888" s="57"/>
      <c r="E888" s="57"/>
      <c r="F888" s="57"/>
      <c r="G888" s="57"/>
      <c r="H888" s="57"/>
      <c r="I888" s="53"/>
      <c r="J888" s="57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</row>
    <row r="889" spans="1:26" ht="16.5" customHeight="1">
      <c r="A889" s="54"/>
      <c r="B889" s="55"/>
      <c r="C889" s="56"/>
      <c r="D889" s="57"/>
      <c r="E889" s="57"/>
      <c r="F889" s="57"/>
      <c r="G889" s="57"/>
      <c r="H889" s="57"/>
      <c r="I889" s="53"/>
      <c r="J889" s="57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</row>
    <row r="890" spans="1:26" ht="16.5" customHeight="1">
      <c r="A890" s="54"/>
      <c r="B890" s="55"/>
      <c r="C890" s="56"/>
      <c r="D890" s="57"/>
      <c r="E890" s="57"/>
      <c r="F890" s="57"/>
      <c r="G890" s="57"/>
      <c r="H890" s="57"/>
      <c r="I890" s="53"/>
      <c r="J890" s="57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</row>
    <row r="891" spans="1:26" ht="16.5" customHeight="1">
      <c r="A891" s="54"/>
      <c r="B891" s="55"/>
      <c r="C891" s="56"/>
      <c r="D891" s="57"/>
      <c r="E891" s="57"/>
      <c r="F891" s="57"/>
      <c r="G891" s="57"/>
      <c r="H891" s="57"/>
      <c r="I891" s="53"/>
      <c r="J891" s="57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</row>
    <row r="892" spans="1:26" ht="16.5" customHeight="1">
      <c r="A892" s="54"/>
      <c r="B892" s="55"/>
      <c r="C892" s="56"/>
      <c r="D892" s="57"/>
      <c r="E892" s="57"/>
      <c r="F892" s="57"/>
      <c r="G892" s="57"/>
      <c r="H892" s="57"/>
      <c r="I892" s="53"/>
      <c r="J892" s="57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</row>
    <row r="893" spans="1:26" ht="16.5" customHeight="1">
      <c r="A893" s="54"/>
      <c r="B893" s="55"/>
      <c r="C893" s="56"/>
      <c r="D893" s="57"/>
      <c r="E893" s="57"/>
      <c r="F893" s="57"/>
      <c r="G893" s="57"/>
      <c r="H893" s="57"/>
      <c r="I893" s="53"/>
      <c r="J893" s="57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</row>
    <row r="894" spans="1:26" ht="16.5" customHeight="1">
      <c r="A894" s="54"/>
      <c r="B894" s="55"/>
      <c r="C894" s="56"/>
      <c r="D894" s="57"/>
      <c r="E894" s="57"/>
      <c r="F894" s="57"/>
      <c r="G894" s="57"/>
      <c r="H894" s="57"/>
      <c r="I894" s="53"/>
      <c r="J894" s="57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</row>
    <row r="895" spans="1:26" ht="16.5" customHeight="1">
      <c r="A895" s="54"/>
      <c r="B895" s="55"/>
      <c r="C895" s="56"/>
      <c r="D895" s="57"/>
      <c r="E895" s="57"/>
      <c r="F895" s="57"/>
      <c r="G895" s="57"/>
      <c r="H895" s="57"/>
      <c r="I895" s="53"/>
      <c r="J895" s="57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</row>
    <row r="896" spans="1:26" ht="16.5" customHeight="1">
      <c r="A896" s="54"/>
      <c r="B896" s="55"/>
      <c r="C896" s="56"/>
      <c r="D896" s="57"/>
      <c r="E896" s="57"/>
      <c r="F896" s="57"/>
      <c r="G896" s="57"/>
      <c r="H896" s="57"/>
      <c r="I896" s="53"/>
      <c r="J896" s="57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</row>
    <row r="897" spans="1:26" ht="16.5" customHeight="1">
      <c r="A897" s="54"/>
      <c r="B897" s="55"/>
      <c r="C897" s="56"/>
      <c r="D897" s="57"/>
      <c r="E897" s="57"/>
      <c r="F897" s="57"/>
      <c r="G897" s="57"/>
      <c r="H897" s="57"/>
      <c r="I897" s="53"/>
      <c r="J897" s="57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</row>
    <row r="898" spans="1:26" ht="16.5" customHeight="1">
      <c r="A898" s="54"/>
      <c r="B898" s="55"/>
      <c r="C898" s="56"/>
      <c r="D898" s="57"/>
      <c r="E898" s="57"/>
      <c r="F898" s="57"/>
      <c r="G898" s="57"/>
      <c r="H898" s="57"/>
      <c r="I898" s="53"/>
      <c r="J898" s="57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</row>
    <row r="899" spans="1:26" ht="16.5" customHeight="1">
      <c r="A899" s="54"/>
      <c r="B899" s="55"/>
      <c r="C899" s="56"/>
      <c r="D899" s="57"/>
      <c r="E899" s="57"/>
      <c r="F899" s="57"/>
      <c r="G899" s="57"/>
      <c r="H899" s="57"/>
      <c r="I899" s="53"/>
      <c r="J899" s="57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</row>
    <row r="900" spans="1:26" ht="16.5" customHeight="1">
      <c r="A900" s="54"/>
      <c r="B900" s="55"/>
      <c r="C900" s="56"/>
      <c r="D900" s="57"/>
      <c r="E900" s="57"/>
      <c r="F900" s="57"/>
      <c r="G900" s="57"/>
      <c r="H900" s="57"/>
      <c r="I900" s="53"/>
      <c r="J900" s="57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</row>
    <row r="901" spans="1:26" ht="16.5" customHeight="1">
      <c r="A901" s="54"/>
      <c r="B901" s="55"/>
      <c r="C901" s="56"/>
      <c r="D901" s="57"/>
      <c r="E901" s="57"/>
      <c r="F901" s="57"/>
      <c r="G901" s="57"/>
      <c r="H901" s="57"/>
      <c r="I901" s="53"/>
      <c r="J901" s="57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</row>
    <row r="902" spans="1:26" ht="16.5" customHeight="1">
      <c r="A902" s="54"/>
      <c r="B902" s="55"/>
      <c r="C902" s="56"/>
      <c r="D902" s="57"/>
      <c r="E902" s="57"/>
      <c r="F902" s="57"/>
      <c r="G902" s="57"/>
      <c r="H902" s="57"/>
      <c r="I902" s="53"/>
      <c r="J902" s="57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</row>
    <row r="903" spans="1:26" ht="16.5" customHeight="1">
      <c r="A903" s="54"/>
      <c r="B903" s="55"/>
      <c r="C903" s="56"/>
      <c r="D903" s="57"/>
      <c r="E903" s="57"/>
      <c r="F903" s="57"/>
      <c r="G903" s="57"/>
      <c r="H903" s="57"/>
      <c r="I903" s="53"/>
      <c r="J903" s="57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</row>
    <row r="904" spans="1:26" ht="16.5" customHeight="1">
      <c r="A904" s="54"/>
      <c r="B904" s="55"/>
      <c r="C904" s="56"/>
      <c r="D904" s="57"/>
      <c r="E904" s="57"/>
      <c r="F904" s="57"/>
      <c r="G904" s="57"/>
      <c r="H904" s="57"/>
      <c r="I904" s="53"/>
      <c r="J904" s="57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</row>
    <row r="905" spans="1:26" ht="16.5" customHeight="1">
      <c r="A905" s="54"/>
      <c r="B905" s="55"/>
      <c r="C905" s="56"/>
      <c r="D905" s="57"/>
      <c r="E905" s="57"/>
      <c r="F905" s="57"/>
      <c r="G905" s="57"/>
      <c r="H905" s="57"/>
      <c r="I905" s="53"/>
      <c r="J905" s="57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</row>
    <row r="906" spans="1:26" ht="16.5" customHeight="1">
      <c r="A906" s="54"/>
      <c r="B906" s="55"/>
      <c r="C906" s="56"/>
      <c r="D906" s="57"/>
      <c r="E906" s="57"/>
      <c r="F906" s="57"/>
      <c r="G906" s="57"/>
      <c r="H906" s="57"/>
      <c r="I906" s="53"/>
      <c r="J906" s="57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</row>
    <row r="907" spans="1:26" ht="16.5" customHeight="1">
      <c r="A907" s="54"/>
      <c r="B907" s="55"/>
      <c r="C907" s="56"/>
      <c r="D907" s="57"/>
      <c r="E907" s="57"/>
      <c r="F907" s="57"/>
      <c r="G907" s="57"/>
      <c r="H907" s="57"/>
      <c r="I907" s="53"/>
      <c r="J907" s="57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</row>
    <row r="908" spans="1:26" ht="16.5" customHeight="1">
      <c r="A908" s="54"/>
      <c r="B908" s="55"/>
      <c r="C908" s="56"/>
      <c r="D908" s="57"/>
      <c r="E908" s="57"/>
      <c r="F908" s="57"/>
      <c r="G908" s="57"/>
      <c r="H908" s="57"/>
      <c r="I908" s="53"/>
      <c r="J908" s="57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</row>
    <row r="909" spans="1:26" ht="16.5" customHeight="1">
      <c r="A909" s="54"/>
      <c r="B909" s="55"/>
      <c r="C909" s="56"/>
      <c r="D909" s="57"/>
      <c r="E909" s="57"/>
      <c r="F909" s="57"/>
      <c r="G909" s="57"/>
      <c r="H909" s="57"/>
      <c r="I909" s="53"/>
      <c r="J909" s="57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</row>
    <row r="910" spans="1:26" ht="16.5" customHeight="1">
      <c r="A910" s="54"/>
      <c r="B910" s="55"/>
      <c r="C910" s="56"/>
      <c r="D910" s="57"/>
      <c r="E910" s="57"/>
      <c r="F910" s="57"/>
      <c r="G910" s="57"/>
      <c r="H910" s="57"/>
      <c r="I910" s="53"/>
      <c r="J910" s="57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</row>
    <row r="911" spans="1:26" ht="16.5" customHeight="1">
      <c r="A911" s="54"/>
      <c r="B911" s="55"/>
      <c r="C911" s="56"/>
      <c r="D911" s="57"/>
      <c r="E911" s="57"/>
      <c r="F911" s="57"/>
      <c r="G911" s="57"/>
      <c r="H911" s="57"/>
      <c r="I911" s="53"/>
      <c r="J911" s="57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</row>
    <row r="912" spans="1:26" ht="16.5" customHeight="1">
      <c r="A912" s="54"/>
      <c r="B912" s="55"/>
      <c r="C912" s="56"/>
      <c r="D912" s="57"/>
      <c r="E912" s="57"/>
      <c r="F912" s="57"/>
      <c r="G912" s="57"/>
      <c r="H912" s="57"/>
      <c r="I912" s="53"/>
      <c r="J912" s="57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</row>
    <row r="913" spans="1:26" ht="16.5" customHeight="1">
      <c r="A913" s="54"/>
      <c r="B913" s="55"/>
      <c r="C913" s="56"/>
      <c r="D913" s="57"/>
      <c r="E913" s="57"/>
      <c r="F913" s="57"/>
      <c r="G913" s="57"/>
      <c r="H913" s="57"/>
      <c r="I913" s="53"/>
      <c r="J913" s="57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</row>
    <row r="914" spans="1:26" ht="16.5" customHeight="1">
      <c r="A914" s="54"/>
      <c r="B914" s="55"/>
      <c r="C914" s="56"/>
      <c r="D914" s="57"/>
      <c r="E914" s="57"/>
      <c r="F914" s="57"/>
      <c r="G914" s="57"/>
      <c r="H914" s="57"/>
      <c r="I914" s="53"/>
      <c r="J914" s="57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</row>
    <row r="915" spans="1:26" ht="16.5" customHeight="1">
      <c r="A915" s="54"/>
      <c r="B915" s="55"/>
      <c r="C915" s="56"/>
      <c r="D915" s="57"/>
      <c r="E915" s="57"/>
      <c r="F915" s="57"/>
      <c r="G915" s="57"/>
      <c r="H915" s="57"/>
      <c r="I915" s="53"/>
      <c r="J915" s="57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</row>
    <row r="916" spans="1:26" ht="16.5" customHeight="1">
      <c r="A916" s="54"/>
      <c r="B916" s="55"/>
      <c r="C916" s="56"/>
      <c r="D916" s="57"/>
      <c r="E916" s="57"/>
      <c r="F916" s="57"/>
      <c r="G916" s="57"/>
      <c r="H916" s="57"/>
      <c r="I916" s="53"/>
      <c r="J916" s="57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</row>
    <row r="917" spans="1:26" ht="16.5" customHeight="1">
      <c r="A917" s="54"/>
      <c r="B917" s="55"/>
      <c r="C917" s="56"/>
      <c r="D917" s="57"/>
      <c r="E917" s="57"/>
      <c r="F917" s="57"/>
      <c r="G917" s="57"/>
      <c r="H917" s="57"/>
      <c r="I917" s="53"/>
      <c r="J917" s="57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</row>
    <row r="918" spans="1:26" ht="16.5" customHeight="1">
      <c r="A918" s="54"/>
      <c r="B918" s="55"/>
      <c r="C918" s="56"/>
      <c r="D918" s="57"/>
      <c r="E918" s="57"/>
      <c r="F918" s="57"/>
      <c r="G918" s="57"/>
      <c r="H918" s="57"/>
      <c r="I918" s="53"/>
      <c r="J918" s="57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</row>
    <row r="919" spans="1:26" ht="16.5" customHeight="1">
      <c r="A919" s="54"/>
      <c r="B919" s="55"/>
      <c r="C919" s="56"/>
      <c r="D919" s="57"/>
      <c r="E919" s="57"/>
      <c r="F919" s="57"/>
      <c r="G919" s="57"/>
      <c r="H919" s="57"/>
      <c r="I919" s="53"/>
      <c r="J919" s="57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</row>
    <row r="920" spans="1:26" ht="16.5" customHeight="1">
      <c r="A920" s="54"/>
      <c r="B920" s="55"/>
      <c r="C920" s="56"/>
      <c r="D920" s="57"/>
      <c r="E920" s="57"/>
      <c r="F920" s="57"/>
      <c r="G920" s="57"/>
      <c r="H920" s="57"/>
      <c r="I920" s="53"/>
      <c r="J920" s="57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</row>
    <row r="921" spans="1:26" ht="16.5" customHeight="1">
      <c r="A921" s="54"/>
      <c r="B921" s="55"/>
      <c r="C921" s="56"/>
      <c r="D921" s="57"/>
      <c r="E921" s="57"/>
      <c r="F921" s="57"/>
      <c r="G921" s="57"/>
      <c r="H921" s="57"/>
      <c r="I921" s="53"/>
      <c r="J921" s="57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</row>
    <row r="922" spans="1:26" ht="16.5" customHeight="1">
      <c r="A922" s="54"/>
      <c r="B922" s="55"/>
      <c r="C922" s="56"/>
      <c r="D922" s="57"/>
      <c r="E922" s="57"/>
      <c r="F922" s="57"/>
      <c r="G922" s="57"/>
      <c r="H922" s="57"/>
      <c r="I922" s="53"/>
      <c r="J922" s="57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</row>
    <row r="923" spans="1:26" ht="16.5" customHeight="1">
      <c r="A923" s="54"/>
      <c r="B923" s="55"/>
      <c r="C923" s="56"/>
      <c r="D923" s="57"/>
      <c r="E923" s="57"/>
      <c r="F923" s="57"/>
      <c r="G923" s="57"/>
      <c r="H923" s="57"/>
      <c r="I923" s="53"/>
      <c r="J923" s="57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</row>
    <row r="924" spans="1:26" ht="16.5" customHeight="1">
      <c r="A924" s="54"/>
      <c r="B924" s="55"/>
      <c r="C924" s="56"/>
      <c r="D924" s="57"/>
      <c r="E924" s="57"/>
      <c r="F924" s="57"/>
      <c r="G924" s="57"/>
      <c r="H924" s="57"/>
      <c r="I924" s="53"/>
      <c r="J924" s="57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</row>
    <row r="925" spans="1:26" ht="16.5" customHeight="1">
      <c r="A925" s="54"/>
      <c r="B925" s="55"/>
      <c r="C925" s="56"/>
      <c r="D925" s="57"/>
      <c r="E925" s="57"/>
      <c r="F925" s="57"/>
      <c r="G925" s="57"/>
      <c r="H925" s="57"/>
      <c r="I925" s="53"/>
      <c r="J925" s="57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</row>
    <row r="926" spans="1:26" ht="16.5" customHeight="1">
      <c r="A926" s="54"/>
      <c r="B926" s="55"/>
      <c r="C926" s="56"/>
      <c r="D926" s="57"/>
      <c r="E926" s="57"/>
      <c r="F926" s="57"/>
      <c r="G926" s="57"/>
      <c r="H926" s="57"/>
      <c r="I926" s="53"/>
      <c r="J926" s="57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</row>
    <row r="927" spans="1:26" ht="16.5" customHeight="1">
      <c r="A927" s="54"/>
      <c r="B927" s="55"/>
      <c r="C927" s="56"/>
      <c r="D927" s="57"/>
      <c r="E927" s="57"/>
      <c r="F927" s="57"/>
      <c r="G927" s="57"/>
      <c r="H927" s="57"/>
      <c r="I927" s="53"/>
      <c r="J927" s="57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</row>
    <row r="928" spans="1:26" ht="16.5" customHeight="1">
      <c r="A928" s="54"/>
      <c r="B928" s="55"/>
      <c r="C928" s="56"/>
      <c r="D928" s="57"/>
      <c r="E928" s="57"/>
      <c r="F928" s="57"/>
      <c r="G928" s="57"/>
      <c r="H928" s="57"/>
      <c r="I928" s="53"/>
      <c r="J928" s="57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</row>
    <row r="929" spans="1:26" ht="16.5" customHeight="1">
      <c r="A929" s="54"/>
      <c r="B929" s="55"/>
      <c r="C929" s="56"/>
      <c r="D929" s="57"/>
      <c r="E929" s="57"/>
      <c r="F929" s="57"/>
      <c r="G929" s="57"/>
      <c r="H929" s="57"/>
      <c r="I929" s="53"/>
      <c r="J929" s="57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</row>
    <row r="930" spans="1:26" ht="16.5" customHeight="1">
      <c r="A930" s="54"/>
      <c r="B930" s="55"/>
      <c r="C930" s="56"/>
      <c r="D930" s="57"/>
      <c r="E930" s="57"/>
      <c r="F930" s="57"/>
      <c r="G930" s="57"/>
      <c r="H930" s="57"/>
      <c r="I930" s="53"/>
      <c r="J930" s="57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</row>
    <row r="931" spans="1:26" ht="16.5" customHeight="1">
      <c r="A931" s="54"/>
      <c r="B931" s="55"/>
      <c r="C931" s="56"/>
      <c r="D931" s="57"/>
      <c r="E931" s="57"/>
      <c r="F931" s="57"/>
      <c r="G931" s="57"/>
      <c r="H931" s="57"/>
      <c r="I931" s="53"/>
      <c r="J931" s="57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</row>
    <row r="932" spans="1:26" ht="16.5" customHeight="1">
      <c r="A932" s="54"/>
      <c r="B932" s="55"/>
      <c r="C932" s="56"/>
      <c r="D932" s="57"/>
      <c r="E932" s="57"/>
      <c r="F932" s="57"/>
      <c r="G932" s="57"/>
      <c r="H932" s="57"/>
      <c r="I932" s="53"/>
      <c r="J932" s="57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</row>
    <row r="933" spans="1:26" ht="16.5" customHeight="1">
      <c r="A933" s="54"/>
      <c r="B933" s="55"/>
      <c r="C933" s="56"/>
      <c r="D933" s="57"/>
      <c r="E933" s="57"/>
      <c r="F933" s="57"/>
      <c r="G933" s="57"/>
      <c r="H933" s="57"/>
      <c r="I933" s="53"/>
      <c r="J933" s="57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</row>
    <row r="934" spans="1:26" ht="16.5" customHeight="1">
      <c r="A934" s="54"/>
      <c r="B934" s="55"/>
      <c r="C934" s="56"/>
      <c r="D934" s="57"/>
      <c r="E934" s="57"/>
      <c r="F934" s="57"/>
      <c r="G934" s="57"/>
      <c r="H934" s="57"/>
      <c r="I934" s="53"/>
      <c r="J934" s="57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</row>
    <row r="935" spans="1:26" ht="16.5" customHeight="1">
      <c r="A935" s="54"/>
      <c r="B935" s="55"/>
      <c r="C935" s="56"/>
      <c r="D935" s="57"/>
      <c r="E935" s="57"/>
      <c r="F935" s="57"/>
      <c r="G935" s="57"/>
      <c r="H935" s="57"/>
      <c r="I935" s="53"/>
      <c r="J935" s="57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</row>
    <row r="936" spans="1:26" ht="16.5" customHeight="1">
      <c r="A936" s="54"/>
      <c r="B936" s="55"/>
      <c r="C936" s="56"/>
      <c r="D936" s="57"/>
      <c r="E936" s="57"/>
      <c r="F936" s="57"/>
      <c r="G936" s="57"/>
      <c r="H936" s="57"/>
      <c r="I936" s="53"/>
      <c r="J936" s="57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</row>
    <row r="937" spans="1:26" ht="16.5" customHeight="1">
      <c r="A937" s="54"/>
      <c r="B937" s="55"/>
      <c r="C937" s="56"/>
      <c r="D937" s="57"/>
      <c r="E937" s="57"/>
      <c r="F937" s="57"/>
      <c r="G937" s="57"/>
      <c r="H937" s="57"/>
      <c r="I937" s="53"/>
      <c r="J937" s="57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</row>
    <row r="938" spans="1:26" ht="16.5" customHeight="1">
      <c r="A938" s="54"/>
      <c r="B938" s="55"/>
      <c r="C938" s="56"/>
      <c r="D938" s="57"/>
      <c r="E938" s="57"/>
      <c r="F938" s="57"/>
      <c r="G938" s="57"/>
      <c r="H938" s="57"/>
      <c r="I938" s="53"/>
      <c r="J938" s="57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</row>
    <row r="939" spans="1:26" ht="16.5" customHeight="1">
      <c r="A939" s="54"/>
      <c r="B939" s="55"/>
      <c r="C939" s="56"/>
      <c r="D939" s="57"/>
      <c r="E939" s="57"/>
      <c r="F939" s="57"/>
      <c r="G939" s="57"/>
      <c r="H939" s="57"/>
      <c r="I939" s="53"/>
      <c r="J939" s="57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</row>
    <row r="940" spans="1:26" ht="16.5" customHeight="1">
      <c r="A940" s="54"/>
      <c r="B940" s="55"/>
      <c r="C940" s="56"/>
      <c r="D940" s="57"/>
      <c r="E940" s="57"/>
      <c r="F940" s="57"/>
      <c r="G940" s="57"/>
      <c r="H940" s="57"/>
      <c r="I940" s="53"/>
      <c r="J940" s="57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</row>
    <row r="941" spans="1:26" ht="16.5" customHeight="1">
      <c r="A941" s="54"/>
      <c r="B941" s="55"/>
      <c r="C941" s="56"/>
      <c r="D941" s="57"/>
      <c r="E941" s="57"/>
      <c r="F941" s="57"/>
      <c r="G941" s="57"/>
      <c r="H941" s="57"/>
      <c r="I941" s="53"/>
      <c r="J941" s="57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</row>
    <row r="942" spans="1:26" ht="16.5" customHeight="1">
      <c r="A942" s="54"/>
      <c r="B942" s="55"/>
      <c r="C942" s="56"/>
      <c r="D942" s="57"/>
      <c r="E942" s="57"/>
      <c r="F942" s="57"/>
      <c r="G942" s="57"/>
      <c r="H942" s="57"/>
      <c r="I942" s="53"/>
      <c r="J942" s="57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</row>
    <row r="943" spans="1:26" ht="16.5" customHeight="1">
      <c r="A943" s="54"/>
      <c r="B943" s="55"/>
      <c r="C943" s="56"/>
      <c r="D943" s="57"/>
      <c r="E943" s="57"/>
      <c r="F943" s="57"/>
      <c r="G943" s="57"/>
      <c r="H943" s="57"/>
      <c r="I943" s="53"/>
      <c r="J943" s="57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</row>
    <row r="944" spans="1:26" ht="16.5" customHeight="1">
      <c r="A944" s="54"/>
      <c r="B944" s="55"/>
      <c r="C944" s="56"/>
      <c r="D944" s="57"/>
      <c r="E944" s="57"/>
      <c r="F944" s="57"/>
      <c r="G944" s="57"/>
      <c r="H944" s="57"/>
      <c r="I944" s="53"/>
      <c r="J944" s="57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</row>
    <row r="945" spans="1:26" ht="16.5" customHeight="1">
      <c r="A945" s="54"/>
      <c r="B945" s="55"/>
      <c r="C945" s="56"/>
      <c r="D945" s="57"/>
      <c r="E945" s="57"/>
      <c r="F945" s="57"/>
      <c r="G945" s="57"/>
      <c r="H945" s="57"/>
      <c r="I945" s="53"/>
      <c r="J945" s="57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</row>
    <row r="946" spans="1:26" ht="16.5" customHeight="1">
      <c r="A946" s="54"/>
      <c r="B946" s="55"/>
      <c r="C946" s="56"/>
      <c r="D946" s="57"/>
      <c r="E946" s="57"/>
      <c r="F946" s="57"/>
      <c r="G946" s="57"/>
      <c r="H946" s="57"/>
      <c r="I946" s="53"/>
      <c r="J946" s="57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</row>
    <row r="947" spans="1:26" ht="16.5" customHeight="1">
      <c r="A947" s="54"/>
      <c r="B947" s="55"/>
      <c r="C947" s="56"/>
      <c r="D947" s="57"/>
      <c r="E947" s="57"/>
      <c r="F947" s="57"/>
      <c r="G947" s="57"/>
      <c r="H947" s="57"/>
      <c r="I947" s="53"/>
      <c r="J947" s="57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</row>
    <row r="948" spans="1:26" ht="16.5" customHeight="1">
      <c r="A948" s="54"/>
      <c r="B948" s="55"/>
      <c r="C948" s="56"/>
      <c r="D948" s="57"/>
      <c r="E948" s="57"/>
      <c r="F948" s="57"/>
      <c r="G948" s="57"/>
      <c r="H948" s="57"/>
      <c r="I948" s="53"/>
      <c r="J948" s="57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</row>
    <row r="949" spans="1:26" ht="16.5" customHeight="1">
      <c r="A949" s="54"/>
      <c r="B949" s="55"/>
      <c r="C949" s="56"/>
      <c r="D949" s="57"/>
      <c r="E949" s="57"/>
      <c r="F949" s="57"/>
      <c r="G949" s="57"/>
      <c r="H949" s="57"/>
      <c r="I949" s="53"/>
      <c r="J949" s="57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</row>
    <row r="950" spans="1:26" ht="16.5" customHeight="1">
      <c r="A950" s="54"/>
      <c r="B950" s="55"/>
      <c r="C950" s="56"/>
      <c r="D950" s="57"/>
      <c r="E950" s="57"/>
      <c r="F950" s="57"/>
      <c r="G950" s="57"/>
      <c r="H950" s="57"/>
      <c r="I950" s="53"/>
      <c r="J950" s="57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</row>
    <row r="951" spans="1:26" ht="16.5" customHeight="1">
      <c r="A951" s="54"/>
      <c r="B951" s="55"/>
      <c r="C951" s="56"/>
      <c r="D951" s="57"/>
      <c r="E951" s="57"/>
      <c r="F951" s="57"/>
      <c r="G951" s="57"/>
      <c r="H951" s="57"/>
      <c r="I951" s="53"/>
      <c r="J951" s="57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</row>
    <row r="952" spans="1:26" ht="16.5" customHeight="1">
      <c r="A952" s="54"/>
      <c r="B952" s="55"/>
      <c r="C952" s="56"/>
      <c r="D952" s="57"/>
      <c r="E952" s="57"/>
      <c r="F952" s="57"/>
      <c r="G952" s="57"/>
      <c r="H952" s="57"/>
      <c r="I952" s="53"/>
      <c r="J952" s="57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</row>
    <row r="953" spans="1:26" ht="16.5" customHeight="1">
      <c r="A953" s="54"/>
      <c r="B953" s="55"/>
      <c r="C953" s="56"/>
      <c r="D953" s="57"/>
      <c r="E953" s="57"/>
      <c r="F953" s="57"/>
      <c r="G953" s="57"/>
      <c r="H953" s="57"/>
      <c r="I953" s="53"/>
      <c r="J953" s="57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</row>
    <row r="954" spans="1:26" ht="16.5" customHeight="1">
      <c r="A954" s="54"/>
      <c r="B954" s="55"/>
      <c r="C954" s="56"/>
      <c r="D954" s="57"/>
      <c r="E954" s="57"/>
      <c r="F954" s="57"/>
      <c r="G954" s="57"/>
      <c r="H954" s="57"/>
      <c r="I954" s="53"/>
      <c r="J954" s="57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</row>
    <row r="955" spans="1:26" ht="16.5" customHeight="1">
      <c r="A955" s="54"/>
      <c r="B955" s="55"/>
      <c r="C955" s="56"/>
      <c r="D955" s="57"/>
      <c r="E955" s="57"/>
      <c r="F955" s="57"/>
      <c r="G955" s="57"/>
      <c r="H955" s="57"/>
      <c r="I955" s="53"/>
      <c r="J955" s="57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</row>
    <row r="956" spans="1:26" ht="16.5" customHeight="1">
      <c r="A956" s="54"/>
      <c r="B956" s="55"/>
      <c r="C956" s="56"/>
      <c r="D956" s="57"/>
      <c r="E956" s="57"/>
      <c r="F956" s="57"/>
      <c r="G956" s="57"/>
      <c r="H956" s="57"/>
      <c r="I956" s="53"/>
      <c r="J956" s="57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</row>
    <row r="957" spans="1:26" ht="16.5" customHeight="1">
      <c r="A957" s="54"/>
      <c r="B957" s="55"/>
      <c r="C957" s="56"/>
      <c r="D957" s="57"/>
      <c r="E957" s="57"/>
      <c r="F957" s="57"/>
      <c r="G957" s="57"/>
      <c r="H957" s="57"/>
      <c r="I957" s="53"/>
      <c r="J957" s="57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</row>
    <row r="958" spans="1:26" ht="16.5" customHeight="1">
      <c r="A958" s="54"/>
      <c r="B958" s="55"/>
      <c r="C958" s="56"/>
      <c r="D958" s="57"/>
      <c r="E958" s="57"/>
      <c r="F958" s="57"/>
      <c r="G958" s="57"/>
      <c r="H958" s="57"/>
      <c r="I958" s="53"/>
      <c r="J958" s="57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</row>
    <row r="959" spans="1:26" ht="16.5" customHeight="1">
      <c r="A959" s="54"/>
      <c r="B959" s="55"/>
      <c r="C959" s="56"/>
      <c r="D959" s="57"/>
      <c r="E959" s="57"/>
      <c r="F959" s="57"/>
      <c r="G959" s="57"/>
      <c r="H959" s="57"/>
      <c r="I959" s="53"/>
      <c r="J959" s="57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</row>
    <row r="960" spans="1:26" ht="16.5" customHeight="1">
      <c r="A960" s="54"/>
      <c r="B960" s="55"/>
      <c r="C960" s="56"/>
      <c r="D960" s="57"/>
      <c r="E960" s="57"/>
      <c r="F960" s="57"/>
      <c r="G960" s="57"/>
      <c r="H960" s="57"/>
      <c r="I960" s="53"/>
      <c r="J960" s="57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</row>
    <row r="961" spans="1:26" ht="16.5" customHeight="1">
      <c r="A961" s="54"/>
      <c r="B961" s="55"/>
      <c r="C961" s="56"/>
      <c r="D961" s="57"/>
      <c r="E961" s="57"/>
      <c r="F961" s="57"/>
      <c r="G961" s="57"/>
      <c r="H961" s="57"/>
      <c r="I961" s="53"/>
      <c r="J961" s="57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</row>
    <row r="962" spans="1:26" ht="16.5" customHeight="1">
      <c r="A962" s="54"/>
      <c r="B962" s="55"/>
      <c r="C962" s="56"/>
      <c r="D962" s="57"/>
      <c r="E962" s="57"/>
      <c r="F962" s="57"/>
      <c r="G962" s="57"/>
      <c r="H962" s="57"/>
      <c r="I962" s="53"/>
      <c r="J962" s="57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</row>
    <row r="963" spans="1:26" ht="16.5" customHeight="1">
      <c r="A963" s="54"/>
      <c r="B963" s="55"/>
      <c r="C963" s="56"/>
      <c r="D963" s="57"/>
      <c r="E963" s="57"/>
      <c r="F963" s="57"/>
      <c r="G963" s="57"/>
      <c r="H963" s="57"/>
      <c r="I963" s="53"/>
      <c r="J963" s="57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</row>
    <row r="964" spans="1:26" ht="16.5" customHeight="1">
      <c r="A964" s="54"/>
      <c r="B964" s="55"/>
      <c r="C964" s="56"/>
      <c r="D964" s="57"/>
      <c r="E964" s="57"/>
      <c r="F964" s="57"/>
      <c r="G964" s="57"/>
      <c r="H964" s="57"/>
      <c r="I964" s="53"/>
      <c r="J964" s="57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</row>
    <row r="965" spans="1:26" ht="16.5" customHeight="1">
      <c r="A965" s="54"/>
      <c r="B965" s="55"/>
      <c r="C965" s="56"/>
      <c r="D965" s="57"/>
      <c r="E965" s="57"/>
      <c r="F965" s="57"/>
      <c r="G965" s="57"/>
      <c r="H965" s="57"/>
      <c r="I965" s="53"/>
      <c r="J965" s="57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</row>
    <row r="966" spans="1:26" ht="16.5" customHeight="1">
      <c r="A966" s="54"/>
      <c r="B966" s="55"/>
      <c r="C966" s="56"/>
      <c r="D966" s="57"/>
      <c r="E966" s="57"/>
      <c r="F966" s="57"/>
      <c r="G966" s="57"/>
      <c r="H966" s="57"/>
      <c r="I966" s="53"/>
      <c r="J966" s="57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</row>
    <row r="967" spans="1:26" ht="16.5" customHeight="1">
      <c r="A967" s="54"/>
      <c r="B967" s="55"/>
      <c r="C967" s="56"/>
      <c r="D967" s="57"/>
      <c r="E967" s="57"/>
      <c r="F967" s="57"/>
      <c r="G967" s="57"/>
      <c r="H967" s="57"/>
      <c r="I967" s="53"/>
      <c r="J967" s="57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</row>
    <row r="968" spans="1:26" ht="16.5" customHeight="1">
      <c r="A968" s="54"/>
      <c r="B968" s="55"/>
      <c r="C968" s="56"/>
      <c r="D968" s="57"/>
      <c r="E968" s="57"/>
      <c r="F968" s="57"/>
      <c r="G968" s="57"/>
      <c r="H968" s="57"/>
      <c r="I968" s="53"/>
      <c r="J968" s="57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</row>
    <row r="969" spans="1:26" ht="16.5" customHeight="1">
      <c r="A969" s="54"/>
      <c r="B969" s="55"/>
      <c r="C969" s="56"/>
      <c r="D969" s="57"/>
      <c r="E969" s="57"/>
      <c r="F969" s="57"/>
      <c r="G969" s="57"/>
      <c r="H969" s="57"/>
      <c r="I969" s="53"/>
      <c r="J969" s="57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</row>
    <row r="970" spans="1:26" ht="16.5" customHeight="1">
      <c r="A970" s="54"/>
      <c r="B970" s="55"/>
      <c r="C970" s="56"/>
      <c r="D970" s="57"/>
      <c r="E970" s="57"/>
      <c r="F970" s="57"/>
      <c r="G970" s="57"/>
      <c r="H970" s="57"/>
      <c r="I970" s="53"/>
      <c r="J970" s="57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</row>
    <row r="971" spans="1:26" ht="16.5" customHeight="1">
      <c r="A971" s="54"/>
      <c r="B971" s="55"/>
      <c r="C971" s="56"/>
      <c r="D971" s="57"/>
      <c r="E971" s="57"/>
      <c r="F971" s="57"/>
      <c r="G971" s="57"/>
      <c r="H971" s="57"/>
      <c r="I971" s="53"/>
      <c r="J971" s="57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</row>
    <row r="972" spans="1:26" ht="16.5" customHeight="1">
      <c r="A972" s="54"/>
      <c r="B972" s="55"/>
      <c r="C972" s="56"/>
      <c r="D972" s="57"/>
      <c r="E972" s="57"/>
      <c r="F972" s="57"/>
      <c r="G972" s="57"/>
      <c r="H972" s="57"/>
      <c r="I972" s="53"/>
      <c r="J972" s="57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</row>
    <row r="973" spans="1:26" ht="16.5" customHeight="1">
      <c r="A973" s="54"/>
      <c r="B973" s="55"/>
      <c r="C973" s="56"/>
      <c r="D973" s="57"/>
      <c r="E973" s="57"/>
      <c r="F973" s="57"/>
      <c r="G973" s="57"/>
      <c r="H973" s="57"/>
      <c r="I973" s="53"/>
      <c r="J973" s="57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</row>
    <row r="974" spans="1:26" ht="16.5" customHeight="1">
      <c r="A974" s="54"/>
      <c r="B974" s="55"/>
      <c r="C974" s="56"/>
      <c r="D974" s="57"/>
      <c r="E974" s="57"/>
      <c r="F974" s="57"/>
      <c r="G974" s="57"/>
      <c r="H974" s="57"/>
      <c r="I974" s="53"/>
      <c r="J974" s="57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</row>
    <row r="975" spans="1:26" ht="16.5" customHeight="1">
      <c r="A975" s="54"/>
      <c r="B975" s="55"/>
      <c r="C975" s="56"/>
      <c r="D975" s="57"/>
      <c r="E975" s="57"/>
      <c r="F975" s="57"/>
      <c r="G975" s="57"/>
      <c r="H975" s="57"/>
      <c r="I975" s="53"/>
      <c r="J975" s="57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</row>
    <row r="976" spans="1:26" ht="16.5" customHeight="1">
      <c r="A976" s="54"/>
      <c r="B976" s="55"/>
      <c r="C976" s="56"/>
      <c r="D976" s="57"/>
      <c r="E976" s="57"/>
      <c r="F976" s="57"/>
      <c r="G976" s="57"/>
      <c r="H976" s="57"/>
      <c r="I976" s="53"/>
      <c r="J976" s="57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</row>
    <row r="977" spans="1:26" ht="16.5" customHeight="1">
      <c r="A977" s="54"/>
      <c r="B977" s="55"/>
      <c r="C977" s="56"/>
      <c r="D977" s="57"/>
      <c r="E977" s="57"/>
      <c r="F977" s="57"/>
      <c r="G977" s="57"/>
      <c r="H977" s="57"/>
      <c r="I977" s="53"/>
      <c r="J977" s="57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</row>
    <row r="978" spans="1:26" ht="16.5" customHeight="1">
      <c r="A978" s="54"/>
      <c r="B978" s="55"/>
      <c r="C978" s="56"/>
      <c r="D978" s="57"/>
      <c r="E978" s="57"/>
      <c r="F978" s="57"/>
      <c r="G978" s="57"/>
      <c r="H978" s="57"/>
      <c r="I978" s="53"/>
      <c r="J978" s="57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</row>
    <row r="979" spans="1:26" ht="16.5" customHeight="1">
      <c r="A979" s="54"/>
      <c r="B979" s="55"/>
      <c r="C979" s="56"/>
      <c r="D979" s="57"/>
      <c r="E979" s="57"/>
      <c r="F979" s="57"/>
      <c r="G979" s="57"/>
      <c r="H979" s="57"/>
      <c r="I979" s="53"/>
      <c r="J979" s="57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</row>
    <row r="980" spans="1:26" ht="16.5" customHeight="1">
      <c r="A980" s="54"/>
      <c r="B980" s="55"/>
      <c r="C980" s="56"/>
      <c r="D980" s="57"/>
      <c r="E980" s="57"/>
      <c r="F980" s="57"/>
      <c r="G980" s="57"/>
      <c r="H980" s="57"/>
      <c r="I980" s="53"/>
      <c r="J980" s="57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</row>
    <row r="981" spans="1:26" ht="16.5" customHeight="1">
      <c r="A981" s="54"/>
      <c r="B981" s="55"/>
      <c r="C981" s="56"/>
      <c r="D981" s="57"/>
      <c r="E981" s="57"/>
      <c r="F981" s="57"/>
      <c r="G981" s="57"/>
      <c r="H981" s="57"/>
      <c r="I981" s="53"/>
      <c r="J981" s="57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</row>
    <row r="982" spans="1:26" ht="16.5" customHeight="1">
      <c r="A982" s="54"/>
      <c r="B982" s="55"/>
      <c r="C982" s="56"/>
      <c r="D982" s="57"/>
      <c r="E982" s="57"/>
      <c r="F982" s="57"/>
      <c r="G982" s="57"/>
      <c r="H982" s="57"/>
      <c r="I982" s="53"/>
      <c r="J982" s="57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</row>
    <row r="983" spans="1:26" ht="16.5" customHeight="1">
      <c r="A983" s="54"/>
      <c r="B983" s="55"/>
      <c r="C983" s="56"/>
      <c r="D983" s="57"/>
      <c r="E983" s="57"/>
      <c r="F983" s="57"/>
      <c r="G983" s="57"/>
      <c r="H983" s="57"/>
      <c r="I983" s="53"/>
      <c r="J983" s="57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</row>
    <row r="984" spans="1:26" ht="16.5" customHeight="1">
      <c r="A984" s="54"/>
      <c r="B984" s="55"/>
      <c r="C984" s="56"/>
      <c r="D984" s="57"/>
      <c r="E984" s="57"/>
      <c r="F984" s="57"/>
      <c r="G984" s="57"/>
      <c r="H984" s="57"/>
      <c r="I984" s="53"/>
      <c r="J984" s="57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</row>
    <row r="985" spans="1:26" ht="16.5" customHeight="1">
      <c r="A985" s="54"/>
      <c r="B985" s="55"/>
      <c r="C985" s="56"/>
      <c r="D985" s="57"/>
      <c r="E985" s="57"/>
      <c r="F985" s="57"/>
      <c r="G985" s="57"/>
      <c r="H985" s="57"/>
      <c r="I985" s="53"/>
      <c r="J985" s="57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</row>
    <row r="986" spans="1:26" ht="16.5" customHeight="1">
      <c r="A986" s="54"/>
      <c r="B986" s="55"/>
      <c r="C986" s="56"/>
      <c r="D986" s="57"/>
      <c r="E986" s="57"/>
      <c r="F986" s="57"/>
      <c r="G986" s="57"/>
      <c r="H986" s="57"/>
      <c r="I986" s="53"/>
      <c r="J986" s="57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</row>
    <row r="987" spans="1:26" ht="16.5" customHeight="1">
      <c r="A987" s="54"/>
      <c r="B987" s="55"/>
      <c r="C987" s="56"/>
      <c r="D987" s="57"/>
      <c r="E987" s="57"/>
      <c r="F987" s="57"/>
      <c r="G987" s="57"/>
      <c r="H987" s="57"/>
      <c r="I987" s="53"/>
      <c r="J987" s="57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</row>
    <row r="988" spans="1:26" ht="16.5" customHeight="1">
      <c r="A988" s="54"/>
      <c r="B988" s="55"/>
      <c r="C988" s="56"/>
      <c r="D988" s="57"/>
      <c r="E988" s="57"/>
      <c r="F988" s="57"/>
      <c r="G988" s="57"/>
      <c r="H988" s="57"/>
      <c r="I988" s="53"/>
      <c r="J988" s="57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</row>
    <row r="989" spans="1:26" ht="16.5" customHeight="1">
      <c r="A989" s="54"/>
      <c r="B989" s="55"/>
      <c r="C989" s="56"/>
      <c r="D989" s="57"/>
      <c r="E989" s="57"/>
      <c r="F989" s="57"/>
      <c r="G989" s="57"/>
      <c r="H989" s="57"/>
      <c r="I989" s="53"/>
      <c r="J989" s="57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</row>
    <row r="990" spans="1:26" ht="16.5" customHeight="1">
      <c r="A990" s="54"/>
      <c r="B990" s="55"/>
      <c r="C990" s="56"/>
      <c r="D990" s="57"/>
      <c r="E990" s="57"/>
      <c r="F990" s="57"/>
      <c r="G990" s="57"/>
      <c r="H990" s="57"/>
      <c r="I990" s="53"/>
      <c r="J990" s="57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</row>
    <row r="991" spans="1:26" ht="16.5" customHeight="1">
      <c r="A991" s="54"/>
      <c r="B991" s="55"/>
      <c r="C991" s="56"/>
      <c r="D991" s="57"/>
      <c r="E991" s="57"/>
      <c r="F991" s="57"/>
      <c r="G991" s="57"/>
      <c r="H991" s="57"/>
      <c r="I991" s="53"/>
      <c r="J991" s="57"/>
      <c r="K991" s="53"/>
      <c r="L991" s="53"/>
      <c r="M991" s="53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</row>
    <row r="992" spans="1:26" ht="16.5" customHeight="1">
      <c r="A992" s="54"/>
      <c r="B992" s="55"/>
      <c r="C992" s="56"/>
      <c r="D992" s="57"/>
      <c r="E992" s="57"/>
      <c r="F992" s="57"/>
      <c r="G992" s="57"/>
      <c r="H992" s="57"/>
      <c r="I992" s="53"/>
      <c r="J992" s="57"/>
      <c r="K992" s="53"/>
      <c r="L992" s="53"/>
      <c r="M992" s="53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</row>
    <row r="993" spans="1:26" ht="16.5" customHeight="1">
      <c r="A993" s="54"/>
      <c r="B993" s="55"/>
      <c r="C993" s="56"/>
      <c r="D993" s="57"/>
      <c r="E993" s="57"/>
      <c r="F993" s="57"/>
      <c r="G993" s="57"/>
      <c r="H993" s="57"/>
      <c r="I993" s="53"/>
      <c r="J993" s="57"/>
      <c r="K993" s="53"/>
      <c r="L993" s="53"/>
      <c r="M993" s="53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</row>
    <row r="994" spans="1:26" ht="16.5" customHeight="1">
      <c r="A994" s="54"/>
      <c r="B994" s="55"/>
      <c r="C994" s="56"/>
      <c r="D994" s="57"/>
      <c r="E994" s="57"/>
      <c r="F994" s="57"/>
      <c r="G994" s="57"/>
      <c r="H994" s="57"/>
      <c r="I994" s="53"/>
      <c r="J994" s="57"/>
      <c r="K994" s="53"/>
      <c r="L994" s="53"/>
      <c r="M994" s="53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</row>
    <row r="995" spans="1:26" ht="16.5" customHeight="1">
      <c r="A995" s="54"/>
      <c r="B995" s="55"/>
      <c r="C995" s="56"/>
      <c r="D995" s="57"/>
      <c r="E995" s="57"/>
      <c r="F995" s="57"/>
      <c r="G995" s="57"/>
      <c r="H995" s="57"/>
      <c r="I995" s="53"/>
      <c r="J995" s="57"/>
      <c r="K995" s="53"/>
      <c r="L995" s="53"/>
      <c r="M995" s="53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</row>
    <row r="996" spans="1:26" ht="16.5" customHeight="1">
      <c r="A996" s="54"/>
      <c r="B996" s="55"/>
      <c r="C996" s="56"/>
      <c r="D996" s="57"/>
      <c r="E996" s="57"/>
      <c r="F996" s="57"/>
      <c r="G996" s="57"/>
      <c r="H996" s="57"/>
      <c r="I996" s="53"/>
      <c r="J996" s="57"/>
      <c r="K996" s="53"/>
      <c r="L996" s="53"/>
      <c r="M996" s="53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</row>
    <row r="997" spans="1:26" ht="16.5" customHeight="1">
      <c r="A997" s="54"/>
      <c r="B997" s="55"/>
      <c r="C997" s="56"/>
      <c r="D997" s="57"/>
      <c r="E997" s="57"/>
      <c r="F997" s="57"/>
      <c r="G997" s="57"/>
      <c r="H997" s="57"/>
      <c r="I997" s="53"/>
      <c r="J997" s="57"/>
      <c r="K997" s="53"/>
      <c r="L997" s="53"/>
      <c r="M997" s="53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</row>
    <row r="998" spans="1:26" ht="16.5" customHeight="1">
      <c r="A998" s="54"/>
      <c r="B998" s="55"/>
      <c r="C998" s="56"/>
      <c r="D998" s="57"/>
      <c r="E998" s="57"/>
      <c r="F998" s="57"/>
      <c r="G998" s="57"/>
      <c r="H998" s="57"/>
      <c r="I998" s="53"/>
      <c r="J998" s="57"/>
      <c r="K998" s="53"/>
      <c r="L998" s="53"/>
      <c r="M998" s="53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</row>
    <row r="999" spans="1:26" ht="16.5" customHeight="1">
      <c r="A999" s="54"/>
      <c r="B999" s="55"/>
      <c r="C999" s="56"/>
      <c r="D999" s="57"/>
      <c r="E999" s="57"/>
      <c r="F999" s="57"/>
      <c r="G999" s="57"/>
      <c r="H999" s="57"/>
      <c r="I999" s="53"/>
      <c r="J999" s="57"/>
      <c r="K999" s="53"/>
      <c r="L999" s="53"/>
      <c r="M999" s="53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</row>
    <row r="1000" spans="1:26" ht="16.5" customHeight="1">
      <c r="A1000" s="54"/>
      <c r="B1000" s="55"/>
      <c r="C1000" s="56"/>
      <c r="D1000" s="57"/>
      <c r="E1000" s="57"/>
      <c r="F1000" s="57"/>
      <c r="G1000" s="57"/>
      <c r="H1000" s="57"/>
      <c r="I1000" s="53"/>
      <c r="J1000" s="57"/>
      <c r="K1000" s="53"/>
      <c r="L1000" s="53"/>
      <c r="M1000" s="53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</row>
  </sheetData>
  <phoneticPr fontId="12" type="noConversion"/>
  <pageMargins left="0.7" right="0.7" top="0.75" bottom="0.75" header="0" footer="0"/>
  <pageSetup orientation="landscape"/>
  <headerFooter>
    <oddHeader>&amp;LCTCI Corp. Process Dept.&amp;CUnit 100 PSV Sizing&amp;RFPC/TX C6 PLANT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000"/>
  <sheetViews>
    <sheetView workbookViewId="0">
      <pane ySplit="2" topLeftCell="A3" activePane="bottomLeft" state="frozen"/>
      <selection pane="bottomLeft" activeCell="B4" sqref="B4"/>
    </sheetView>
  </sheetViews>
  <sheetFormatPr defaultColWidth="11.25" defaultRowHeight="15" customHeight="1"/>
  <cols>
    <col min="1" max="2" width="17.875" customWidth="1"/>
    <col min="3" max="4" width="13.375" hidden="1" customWidth="1"/>
    <col min="5" max="5" width="20" hidden="1" customWidth="1"/>
    <col min="6" max="6" width="13.375" customWidth="1"/>
    <col min="7" max="26" width="8" customWidth="1"/>
  </cols>
  <sheetData>
    <row r="1" spans="1:26" ht="46.5" customHeight="1">
      <c r="A1" s="58" t="s">
        <v>201</v>
      </c>
      <c r="B1" s="59" t="s">
        <v>202</v>
      </c>
      <c r="C1" s="111" t="s">
        <v>203</v>
      </c>
      <c r="D1" s="112"/>
      <c r="E1" s="113" t="s">
        <v>204</v>
      </c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1:26" ht="16.5" customHeight="1">
      <c r="A2" s="47" t="s">
        <v>205</v>
      </c>
      <c r="B2" s="18" t="s">
        <v>206</v>
      </c>
      <c r="C2" s="18" t="s">
        <v>26</v>
      </c>
      <c r="D2" s="18" t="s">
        <v>27</v>
      </c>
      <c r="E2" s="114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</row>
    <row r="3" spans="1:26" ht="16.5" customHeight="1">
      <c r="A3" s="61">
        <v>6.2E-2</v>
      </c>
      <c r="B3" s="62" t="s">
        <v>207</v>
      </c>
      <c r="C3" s="63">
        <v>0.75</v>
      </c>
      <c r="D3" s="63">
        <v>1</v>
      </c>
      <c r="E3" s="15" t="s">
        <v>208</v>
      </c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6.5" customHeight="1">
      <c r="A4" s="64">
        <v>0.11</v>
      </c>
      <c r="B4" s="21" t="s">
        <v>209</v>
      </c>
      <c r="C4" s="63">
        <v>1</v>
      </c>
      <c r="D4" s="63">
        <v>2</v>
      </c>
      <c r="E4" s="15" t="s">
        <v>210</v>
      </c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</row>
    <row r="5" spans="1:26" ht="16.5" customHeight="1">
      <c r="A5" s="64">
        <v>0.19600000000000001</v>
      </c>
      <c r="B5" s="21" t="s">
        <v>211</v>
      </c>
      <c r="C5" s="63">
        <v>1.5</v>
      </c>
      <c r="D5" s="63">
        <v>2</v>
      </c>
      <c r="E5" s="15" t="s">
        <v>210</v>
      </c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</row>
    <row r="6" spans="1:26" ht="16.5" customHeight="1">
      <c r="A6" s="64">
        <v>0.307</v>
      </c>
      <c r="B6" s="21" t="s">
        <v>212</v>
      </c>
      <c r="C6" s="63">
        <v>1.5</v>
      </c>
      <c r="D6" s="63">
        <v>3</v>
      </c>
      <c r="E6" s="15" t="s">
        <v>213</v>
      </c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</row>
    <row r="7" spans="1:26" ht="16.5" customHeight="1">
      <c r="A7" s="64">
        <v>0.503</v>
      </c>
      <c r="B7" s="21" t="s">
        <v>214</v>
      </c>
      <c r="C7" s="63">
        <v>2</v>
      </c>
      <c r="D7" s="63">
        <v>3</v>
      </c>
      <c r="E7" s="15" t="s">
        <v>215</v>
      </c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</row>
    <row r="8" spans="1:26" ht="16.5" customHeight="1">
      <c r="A8" s="64">
        <v>0.78500000000000003</v>
      </c>
      <c r="B8" s="21" t="s">
        <v>216</v>
      </c>
      <c r="C8" s="63">
        <v>2</v>
      </c>
      <c r="D8" s="63">
        <v>3</v>
      </c>
      <c r="E8" s="15" t="s">
        <v>215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</row>
    <row r="9" spans="1:26" ht="16.5" customHeight="1">
      <c r="A9" s="64">
        <v>1.2869999999999999</v>
      </c>
      <c r="B9" s="21" t="s">
        <v>217</v>
      </c>
      <c r="C9" s="63">
        <v>3</v>
      </c>
      <c r="D9" s="63">
        <v>4</v>
      </c>
      <c r="E9" s="15" t="s">
        <v>218</v>
      </c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</row>
    <row r="10" spans="1:26" ht="16.5" customHeight="1">
      <c r="A10" s="64">
        <v>1.8380000000000001</v>
      </c>
      <c r="B10" s="21" t="s">
        <v>219</v>
      </c>
      <c r="C10" s="63">
        <v>3</v>
      </c>
      <c r="D10" s="63">
        <v>6</v>
      </c>
      <c r="E10" s="15" t="s">
        <v>220</v>
      </c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</row>
    <row r="11" spans="1:26" ht="16.5" customHeight="1">
      <c r="A11" s="64">
        <v>2.8530000000000002</v>
      </c>
      <c r="B11" s="21" t="s">
        <v>221</v>
      </c>
      <c r="C11" s="63">
        <v>4</v>
      </c>
      <c r="D11" s="63">
        <v>6</v>
      </c>
      <c r="E11" s="15" t="s">
        <v>222</v>
      </c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</row>
    <row r="12" spans="1:26" ht="16.5" customHeight="1">
      <c r="A12" s="64">
        <v>3.6</v>
      </c>
      <c r="B12" s="21" t="s">
        <v>76</v>
      </c>
      <c r="C12" s="63">
        <v>4</v>
      </c>
      <c r="D12" s="63">
        <v>6</v>
      </c>
      <c r="E12" s="15" t="s">
        <v>223</v>
      </c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</row>
    <row r="13" spans="1:26" ht="16.5" customHeight="1">
      <c r="A13" s="64">
        <v>4.34</v>
      </c>
      <c r="B13" s="21" t="s">
        <v>224</v>
      </c>
      <c r="C13" s="63">
        <v>4</v>
      </c>
      <c r="D13" s="63">
        <v>6</v>
      </c>
      <c r="E13" s="15" t="s">
        <v>223</v>
      </c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</row>
    <row r="14" spans="1:26" ht="16.5" customHeight="1">
      <c r="A14" s="64">
        <v>6.38</v>
      </c>
      <c r="B14" s="21" t="s">
        <v>225</v>
      </c>
      <c r="C14" s="63">
        <v>4</v>
      </c>
      <c r="D14" s="63">
        <v>6</v>
      </c>
      <c r="E14" s="15" t="s">
        <v>223</v>
      </c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</row>
    <row r="15" spans="1:26" ht="16.5" customHeight="1">
      <c r="A15" s="64">
        <v>11.05</v>
      </c>
      <c r="B15" s="21" t="s">
        <v>226</v>
      </c>
      <c r="C15" s="63">
        <v>6</v>
      </c>
      <c r="D15" s="63">
        <v>8</v>
      </c>
      <c r="E15" s="15" t="s">
        <v>227</v>
      </c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</row>
    <row r="16" spans="1:26" ht="16.5" customHeight="1">
      <c r="A16" s="64">
        <v>16</v>
      </c>
      <c r="B16" s="21" t="s">
        <v>228</v>
      </c>
      <c r="C16" s="63">
        <v>6</v>
      </c>
      <c r="D16" s="63">
        <v>10</v>
      </c>
      <c r="E16" s="15" t="s">
        <v>229</v>
      </c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</row>
    <row r="17" spans="1:26" ht="16.5" customHeight="1">
      <c r="A17" s="64">
        <v>26</v>
      </c>
      <c r="B17" s="21" t="s">
        <v>88</v>
      </c>
      <c r="C17" s="63">
        <v>8</v>
      </c>
      <c r="D17" s="63">
        <v>10</v>
      </c>
      <c r="E17" s="15" t="s">
        <v>230</v>
      </c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</row>
    <row r="18" spans="1:26" ht="16.5" customHeight="1">
      <c r="A18" s="64"/>
      <c r="B18" s="21"/>
      <c r="C18" s="63"/>
      <c r="D18" s="63"/>
      <c r="E18" s="15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</row>
    <row r="19" spans="1:26" ht="16.5" customHeight="1">
      <c r="A19" s="64"/>
      <c r="B19" s="63"/>
      <c r="C19" s="63"/>
      <c r="D19" s="63"/>
      <c r="E19" s="65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 spans="1:26" ht="16.5" customHeight="1">
      <c r="A20" s="64"/>
      <c r="B20" s="63"/>
      <c r="C20" s="63"/>
      <c r="D20" s="63"/>
      <c r="E20" s="65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</row>
    <row r="21" spans="1:26" ht="16.5" customHeight="1">
      <c r="A21" s="64"/>
      <c r="B21" s="63"/>
      <c r="C21" s="63"/>
      <c r="D21" s="63"/>
      <c r="E21" s="65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</row>
    <row r="22" spans="1:26" ht="16.5" customHeight="1">
      <c r="A22" s="64"/>
      <c r="B22" s="63"/>
      <c r="C22" s="63"/>
      <c r="D22" s="63"/>
      <c r="E22" s="65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</row>
    <row r="23" spans="1:26" ht="16.5" customHeight="1">
      <c r="A23" s="64"/>
      <c r="B23" s="63"/>
      <c r="C23" s="63"/>
      <c r="D23" s="63"/>
      <c r="E23" s="65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</row>
    <row r="24" spans="1:26" ht="16.5" customHeight="1">
      <c r="A24" s="64"/>
      <c r="B24" s="63"/>
      <c r="C24" s="63"/>
      <c r="D24" s="63"/>
      <c r="E24" s="65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</row>
    <row r="25" spans="1:26" ht="16.5" customHeight="1">
      <c r="A25" s="64"/>
      <c r="B25" s="63"/>
      <c r="C25" s="63"/>
      <c r="D25" s="63"/>
      <c r="E25" s="65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</row>
    <row r="26" spans="1:26" ht="16.5" customHeight="1">
      <c r="A26" s="64"/>
      <c r="B26" s="63"/>
      <c r="C26" s="63"/>
      <c r="D26" s="63"/>
      <c r="E26" s="65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</row>
    <row r="27" spans="1:26" ht="16.5" customHeight="1">
      <c r="A27" s="64"/>
      <c r="B27" s="63"/>
      <c r="C27" s="63"/>
      <c r="D27" s="63"/>
      <c r="E27" s="65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</row>
    <row r="28" spans="1:26" ht="16.5" customHeight="1">
      <c r="A28" s="64"/>
      <c r="B28" s="63"/>
      <c r="C28" s="63"/>
      <c r="D28" s="63"/>
      <c r="E28" s="65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</row>
    <row r="29" spans="1:26" ht="16.5" customHeight="1">
      <c r="A29" s="64"/>
      <c r="B29" s="63"/>
      <c r="C29" s="63"/>
      <c r="D29" s="63"/>
      <c r="E29" s="65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</row>
    <row r="30" spans="1:26" ht="16.5" customHeight="1">
      <c r="A30" s="64"/>
      <c r="B30" s="63"/>
      <c r="C30" s="63"/>
      <c r="D30" s="63"/>
      <c r="E30" s="65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</row>
    <row r="31" spans="1:26" ht="16.5" customHeight="1">
      <c r="A31" s="64"/>
      <c r="B31" s="63"/>
      <c r="C31" s="63"/>
      <c r="D31" s="63"/>
      <c r="E31" s="65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</row>
    <row r="32" spans="1:26" ht="16.5" customHeight="1">
      <c r="A32" s="64"/>
      <c r="B32" s="63"/>
      <c r="C32" s="63"/>
      <c r="D32" s="63"/>
      <c r="E32" s="65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</row>
    <row r="33" spans="1:26" ht="16.5" customHeight="1">
      <c r="A33" s="64"/>
      <c r="B33" s="63"/>
      <c r="C33" s="63"/>
      <c r="D33" s="63"/>
      <c r="E33" s="65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</row>
    <row r="34" spans="1:26" ht="16.5" customHeight="1">
      <c r="A34" s="64"/>
      <c r="B34" s="63"/>
      <c r="C34" s="63"/>
      <c r="D34" s="63"/>
      <c r="E34" s="65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</row>
    <row r="35" spans="1:26" ht="16.5" customHeight="1">
      <c r="A35" s="64"/>
      <c r="B35" s="63"/>
      <c r="C35" s="63"/>
      <c r="D35" s="63"/>
      <c r="E35" s="65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</row>
    <row r="36" spans="1:26" ht="16.5" customHeight="1">
      <c r="A36" s="64"/>
      <c r="B36" s="63"/>
      <c r="C36" s="63"/>
      <c r="D36" s="63"/>
      <c r="E36" s="65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</row>
    <row r="37" spans="1:26" ht="16.5" customHeight="1">
      <c r="A37" s="64"/>
      <c r="B37" s="63"/>
      <c r="C37" s="63"/>
      <c r="D37" s="63"/>
      <c r="E37" s="65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</row>
    <row r="38" spans="1:26" ht="16.5" customHeight="1">
      <c r="A38" s="64"/>
      <c r="B38" s="63"/>
      <c r="C38" s="63"/>
      <c r="D38" s="63"/>
      <c r="E38" s="65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</row>
    <row r="39" spans="1:26" ht="16.5" customHeight="1">
      <c r="A39" s="64"/>
      <c r="B39" s="63"/>
      <c r="C39" s="63"/>
      <c r="D39" s="63"/>
      <c r="E39" s="65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</row>
    <row r="40" spans="1:26" ht="16.5" customHeight="1">
      <c r="A40" s="64"/>
      <c r="B40" s="63"/>
      <c r="C40" s="63"/>
      <c r="D40" s="63"/>
      <c r="E40" s="65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</row>
    <row r="41" spans="1:26" ht="16.5" customHeight="1">
      <c r="A41" s="64"/>
      <c r="B41" s="63"/>
      <c r="C41" s="63"/>
      <c r="D41" s="63"/>
      <c r="E41" s="65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</row>
    <row r="42" spans="1:26" ht="16.5" customHeight="1">
      <c r="A42" s="64"/>
      <c r="B42" s="63"/>
      <c r="C42" s="63"/>
      <c r="D42" s="63"/>
      <c r="E42" s="65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</row>
    <row r="43" spans="1:26" ht="16.5" customHeight="1">
      <c r="A43" s="64"/>
      <c r="B43" s="63"/>
      <c r="C43" s="63"/>
      <c r="D43" s="63"/>
      <c r="E43" s="65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</row>
    <row r="44" spans="1:26" ht="16.5" customHeight="1">
      <c r="A44" s="64"/>
      <c r="B44" s="63"/>
      <c r="C44" s="63"/>
      <c r="D44" s="63"/>
      <c r="E44" s="65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</row>
    <row r="45" spans="1:26" ht="16.5" customHeight="1">
      <c r="A45" s="64"/>
      <c r="B45" s="63"/>
      <c r="C45" s="63"/>
      <c r="D45" s="63"/>
      <c r="E45" s="65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</row>
    <row r="46" spans="1:26" ht="16.5" customHeight="1">
      <c r="A46" s="64"/>
      <c r="B46" s="63"/>
      <c r="C46" s="63"/>
      <c r="D46" s="63"/>
      <c r="E46" s="65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</row>
    <row r="47" spans="1:26" ht="16.5" customHeight="1">
      <c r="A47" s="64"/>
      <c r="B47" s="63"/>
      <c r="C47" s="63"/>
      <c r="D47" s="63"/>
      <c r="E47" s="65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</row>
    <row r="48" spans="1:26" ht="16.5" customHeight="1">
      <c r="A48" s="64"/>
      <c r="B48" s="63"/>
      <c r="C48" s="63"/>
      <c r="D48" s="63"/>
      <c r="E48" s="65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</row>
    <row r="49" spans="1:26" ht="16.5" customHeight="1">
      <c r="A49" s="64"/>
      <c r="B49" s="63"/>
      <c r="C49" s="63"/>
      <c r="D49" s="63"/>
      <c r="E49" s="65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</row>
    <row r="50" spans="1:26" ht="16.5" customHeight="1">
      <c r="A50" s="64"/>
      <c r="B50" s="63"/>
      <c r="C50" s="63"/>
      <c r="D50" s="63"/>
      <c r="E50" s="65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</row>
    <row r="51" spans="1:26" ht="16.5" customHeight="1">
      <c r="A51" s="64"/>
      <c r="B51" s="63"/>
      <c r="C51" s="63"/>
      <c r="D51" s="63"/>
      <c r="E51" s="65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</row>
    <row r="52" spans="1:26" ht="16.5" customHeight="1">
      <c r="A52" s="64"/>
      <c r="B52" s="63"/>
      <c r="C52" s="63"/>
      <c r="D52" s="63"/>
      <c r="E52" s="65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</row>
    <row r="53" spans="1:26" ht="16.5" customHeight="1">
      <c r="A53" s="64"/>
      <c r="B53" s="63"/>
      <c r="C53" s="63"/>
      <c r="D53" s="63"/>
      <c r="E53" s="65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</row>
    <row r="54" spans="1:26" ht="16.5" customHeight="1">
      <c r="A54" s="64"/>
      <c r="B54" s="63"/>
      <c r="C54" s="63"/>
      <c r="D54" s="63"/>
      <c r="E54" s="65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</row>
    <row r="55" spans="1:26" ht="16.5" customHeight="1">
      <c r="A55" s="64"/>
      <c r="B55" s="63"/>
      <c r="C55" s="63"/>
      <c r="D55" s="63"/>
      <c r="E55" s="65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</row>
    <row r="56" spans="1:26" ht="16.5" customHeight="1">
      <c r="A56" s="64"/>
      <c r="B56" s="63"/>
      <c r="C56" s="63"/>
      <c r="D56" s="63"/>
      <c r="E56" s="65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</row>
    <row r="57" spans="1:26" ht="16.5" customHeight="1">
      <c r="A57" s="64"/>
      <c r="B57" s="63"/>
      <c r="C57" s="63"/>
      <c r="D57" s="63"/>
      <c r="E57" s="65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</row>
    <row r="58" spans="1:26" ht="16.5" customHeight="1">
      <c r="A58" s="64"/>
      <c r="B58" s="63"/>
      <c r="C58" s="63"/>
      <c r="D58" s="63"/>
      <c r="E58" s="65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</row>
    <row r="59" spans="1:26" ht="16.5" customHeight="1">
      <c r="A59" s="64"/>
      <c r="B59" s="63"/>
      <c r="C59" s="63"/>
      <c r="D59" s="63"/>
      <c r="E59" s="65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</row>
    <row r="60" spans="1:26" ht="16.5" customHeight="1">
      <c r="A60" s="64"/>
      <c r="B60" s="63"/>
      <c r="C60" s="63"/>
      <c r="D60" s="63"/>
      <c r="E60" s="65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</row>
    <row r="61" spans="1:26" ht="16.5" customHeight="1">
      <c r="A61" s="64"/>
      <c r="B61" s="63"/>
      <c r="C61" s="63"/>
      <c r="D61" s="63"/>
      <c r="E61" s="65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</row>
    <row r="62" spans="1:26" ht="16.5" customHeight="1">
      <c r="A62" s="64"/>
      <c r="B62" s="63"/>
      <c r="C62" s="63"/>
      <c r="D62" s="63"/>
      <c r="E62" s="65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</row>
    <row r="63" spans="1:26" ht="16.5" customHeight="1">
      <c r="A63" s="64"/>
      <c r="B63" s="63"/>
      <c r="C63" s="63"/>
      <c r="D63" s="63"/>
      <c r="E63" s="65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</row>
    <row r="64" spans="1:26" ht="16.5" customHeight="1">
      <c r="A64" s="64"/>
      <c r="B64" s="63"/>
      <c r="C64" s="63"/>
      <c r="D64" s="63"/>
      <c r="E64" s="65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</row>
    <row r="65" spans="1:26" ht="16.5" customHeight="1">
      <c r="A65" s="64"/>
      <c r="B65" s="63"/>
      <c r="C65" s="63"/>
      <c r="D65" s="63"/>
      <c r="E65" s="65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spans="1:26" ht="16.5" customHeight="1">
      <c r="A66" s="64"/>
      <c r="B66" s="63"/>
      <c r="C66" s="63"/>
      <c r="D66" s="63"/>
      <c r="E66" s="65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</row>
    <row r="67" spans="1:26" ht="16.5" customHeight="1">
      <c r="A67" s="64"/>
      <c r="B67" s="63"/>
      <c r="C67" s="63"/>
      <c r="D67" s="63"/>
      <c r="E67" s="65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</row>
    <row r="68" spans="1:26" ht="16.5" customHeight="1">
      <c r="A68" s="64"/>
      <c r="B68" s="63"/>
      <c r="C68" s="63"/>
      <c r="D68" s="63"/>
      <c r="E68" s="65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</row>
    <row r="69" spans="1:26" ht="16.5" customHeight="1">
      <c r="A69" s="64"/>
      <c r="B69" s="63"/>
      <c r="C69" s="63"/>
      <c r="D69" s="63"/>
      <c r="E69" s="65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</row>
    <row r="70" spans="1:26" ht="16.5" customHeight="1">
      <c r="A70" s="64"/>
      <c r="B70" s="63"/>
      <c r="C70" s="63"/>
      <c r="D70" s="63"/>
      <c r="E70" s="65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</row>
    <row r="71" spans="1:26" ht="16.5" customHeight="1">
      <c r="A71" s="64"/>
      <c r="B71" s="63"/>
      <c r="C71" s="63"/>
      <c r="D71" s="63"/>
      <c r="E71" s="65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</row>
    <row r="72" spans="1:26" ht="16.5" customHeight="1">
      <c r="A72" s="64"/>
      <c r="B72" s="63"/>
      <c r="C72" s="63"/>
      <c r="D72" s="63"/>
      <c r="E72" s="65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</row>
    <row r="73" spans="1:26" ht="16.5" customHeight="1">
      <c r="A73" s="64"/>
      <c r="B73" s="63"/>
      <c r="C73" s="63"/>
      <c r="D73" s="63"/>
      <c r="E73" s="65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</row>
    <row r="74" spans="1:26" ht="16.5" customHeight="1">
      <c r="A74" s="64"/>
      <c r="B74" s="63"/>
      <c r="C74" s="63"/>
      <c r="D74" s="63"/>
      <c r="E74" s="65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</row>
    <row r="75" spans="1:26" ht="16.5" customHeight="1">
      <c r="A75" s="64"/>
      <c r="B75" s="63"/>
      <c r="C75" s="63"/>
      <c r="D75" s="63"/>
      <c r="E75" s="65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</row>
    <row r="76" spans="1:26" ht="16.5" customHeight="1">
      <c r="A76" s="64"/>
      <c r="B76" s="63"/>
      <c r="C76" s="63"/>
      <c r="D76" s="63"/>
      <c r="E76" s="65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</row>
    <row r="77" spans="1:26" ht="16.5" customHeight="1">
      <c r="A77" s="64"/>
      <c r="B77" s="63"/>
      <c r="C77" s="63"/>
      <c r="D77" s="63"/>
      <c r="E77" s="65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</row>
    <row r="78" spans="1:26" ht="16.5" customHeight="1">
      <c r="A78" s="64"/>
      <c r="B78" s="63"/>
      <c r="C78" s="63"/>
      <c r="D78" s="63"/>
      <c r="E78" s="65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</row>
    <row r="79" spans="1:26" ht="16.5" customHeight="1">
      <c r="A79" s="64"/>
      <c r="B79" s="63"/>
      <c r="C79" s="63"/>
      <c r="D79" s="63"/>
      <c r="E79" s="65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</row>
    <row r="80" spans="1:26" ht="16.5" customHeight="1">
      <c r="A80" s="64"/>
      <c r="B80" s="63"/>
      <c r="C80" s="63"/>
      <c r="D80" s="63"/>
      <c r="E80" s="65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</row>
    <row r="81" spans="1:26" ht="16.5" customHeight="1">
      <c r="A81" s="64"/>
      <c r="B81" s="63"/>
      <c r="C81" s="63"/>
      <c r="D81" s="63"/>
      <c r="E81" s="65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</row>
    <row r="82" spans="1:26" ht="16.5" customHeight="1">
      <c r="A82" s="64"/>
      <c r="B82" s="63"/>
      <c r="C82" s="63"/>
      <c r="D82" s="63"/>
      <c r="E82" s="65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</row>
    <row r="83" spans="1:26" ht="16.5" customHeight="1">
      <c r="A83" s="64"/>
      <c r="B83" s="63"/>
      <c r="C83" s="63"/>
      <c r="D83" s="63"/>
      <c r="E83" s="65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</row>
    <row r="84" spans="1:26" ht="16.5" customHeight="1">
      <c r="A84" s="64"/>
      <c r="B84" s="63"/>
      <c r="C84" s="63"/>
      <c r="D84" s="63"/>
      <c r="E84" s="65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</row>
    <row r="85" spans="1:26" ht="16.5" customHeight="1">
      <c r="A85" s="64"/>
      <c r="B85" s="63"/>
      <c r="C85" s="63"/>
      <c r="D85" s="63"/>
      <c r="E85" s="65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</row>
    <row r="86" spans="1:26" ht="16.5" customHeight="1">
      <c r="A86" s="64"/>
      <c r="B86" s="63"/>
      <c r="C86" s="63"/>
      <c r="D86" s="63"/>
      <c r="E86" s="65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</row>
    <row r="87" spans="1:26" ht="16.5" customHeight="1">
      <c r="A87" s="64"/>
      <c r="B87" s="63"/>
      <c r="C87" s="63"/>
      <c r="D87" s="63"/>
      <c r="E87" s="65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</row>
    <row r="88" spans="1:26" ht="16.5" customHeight="1">
      <c r="A88" s="64"/>
      <c r="B88" s="63"/>
      <c r="C88" s="63"/>
      <c r="D88" s="63"/>
      <c r="E88" s="65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</row>
    <row r="89" spans="1:26" ht="16.5" customHeight="1">
      <c r="A89" s="64"/>
      <c r="B89" s="63"/>
      <c r="C89" s="63"/>
      <c r="D89" s="63"/>
      <c r="E89" s="65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</row>
    <row r="90" spans="1:26" ht="16.5" customHeight="1">
      <c r="A90" s="64"/>
      <c r="B90" s="63"/>
      <c r="C90" s="63"/>
      <c r="D90" s="63"/>
      <c r="E90" s="65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</row>
    <row r="91" spans="1:26" ht="16.5" customHeight="1">
      <c r="A91" s="64"/>
      <c r="B91" s="63"/>
      <c r="C91" s="63"/>
      <c r="D91" s="63"/>
      <c r="E91" s="65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</row>
    <row r="92" spans="1:26" ht="16.5" customHeight="1">
      <c r="A92" s="64"/>
      <c r="B92" s="63"/>
      <c r="C92" s="63"/>
      <c r="D92" s="63"/>
      <c r="E92" s="65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</row>
    <row r="93" spans="1:26" ht="16.5" customHeight="1">
      <c r="A93" s="64"/>
      <c r="B93" s="63"/>
      <c r="C93" s="63"/>
      <c r="D93" s="63"/>
      <c r="E93" s="65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</row>
    <row r="94" spans="1:26" ht="16.5" customHeight="1">
      <c r="A94" s="64"/>
      <c r="B94" s="63"/>
      <c r="C94" s="63"/>
      <c r="D94" s="63"/>
      <c r="E94" s="65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</row>
    <row r="95" spans="1:26" ht="16.5" customHeight="1">
      <c r="A95" s="64"/>
      <c r="B95" s="63"/>
      <c r="C95" s="63"/>
      <c r="D95" s="63"/>
      <c r="E95" s="65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</row>
    <row r="96" spans="1:26" ht="16.5" customHeight="1">
      <c r="A96" s="64"/>
      <c r="B96" s="63"/>
      <c r="C96" s="63"/>
      <c r="D96" s="63"/>
      <c r="E96" s="65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</row>
    <row r="97" spans="1:26" ht="16.5" customHeight="1">
      <c r="A97" s="64"/>
      <c r="B97" s="63"/>
      <c r="C97" s="63"/>
      <c r="D97" s="63"/>
      <c r="E97" s="65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</row>
    <row r="98" spans="1:26" ht="16.5" customHeight="1">
      <c r="A98" s="64"/>
      <c r="B98" s="63"/>
      <c r="C98" s="63"/>
      <c r="D98" s="63"/>
      <c r="E98" s="65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</row>
    <row r="99" spans="1:26" ht="16.5" customHeight="1">
      <c r="A99" s="64"/>
      <c r="B99" s="63"/>
      <c r="C99" s="63"/>
      <c r="D99" s="63"/>
      <c r="E99" s="65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</row>
    <row r="100" spans="1:26" ht="16.5" customHeight="1">
      <c r="A100" s="64"/>
      <c r="B100" s="63"/>
      <c r="C100" s="63"/>
      <c r="D100" s="63"/>
      <c r="E100" s="65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</row>
    <row r="101" spans="1:26" ht="16.5" customHeight="1">
      <c r="A101" s="64"/>
      <c r="B101" s="63"/>
      <c r="C101" s="63"/>
      <c r="D101" s="63"/>
      <c r="E101" s="65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</row>
    <row r="102" spans="1:26" ht="16.5" customHeight="1">
      <c r="A102" s="64"/>
      <c r="B102" s="63"/>
      <c r="C102" s="63"/>
      <c r="D102" s="63"/>
      <c r="E102" s="65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</row>
    <row r="103" spans="1:26" ht="16.5" customHeight="1">
      <c r="A103" s="64"/>
      <c r="B103" s="63"/>
      <c r="C103" s="63"/>
      <c r="D103" s="63"/>
      <c r="E103" s="65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</row>
    <row r="104" spans="1:26" ht="16.5" customHeight="1">
      <c r="A104" s="64"/>
      <c r="B104" s="63"/>
      <c r="C104" s="63"/>
      <c r="D104" s="63"/>
      <c r="E104" s="65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</row>
    <row r="105" spans="1:26" ht="16.5" customHeight="1">
      <c r="A105" s="64"/>
      <c r="B105" s="63"/>
      <c r="C105" s="63"/>
      <c r="D105" s="63"/>
      <c r="E105" s="65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</row>
    <row r="106" spans="1:26" ht="16.5" customHeight="1">
      <c r="A106" s="64"/>
      <c r="B106" s="63"/>
      <c r="C106" s="63"/>
      <c r="D106" s="63"/>
      <c r="E106" s="65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</row>
    <row r="107" spans="1:26" ht="16.5" customHeight="1">
      <c r="A107" s="64"/>
      <c r="B107" s="63"/>
      <c r="C107" s="63"/>
      <c r="D107" s="63"/>
      <c r="E107" s="65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</row>
    <row r="108" spans="1:26" ht="16.5" customHeight="1">
      <c r="A108" s="64"/>
      <c r="B108" s="63"/>
      <c r="C108" s="63"/>
      <c r="D108" s="63"/>
      <c r="E108" s="65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</row>
    <row r="109" spans="1:26" ht="16.5" customHeight="1">
      <c r="A109" s="64"/>
      <c r="B109" s="63"/>
      <c r="C109" s="63"/>
      <c r="D109" s="63"/>
      <c r="E109" s="65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</row>
    <row r="110" spans="1:26" ht="16.5" customHeight="1">
      <c r="A110" s="64"/>
      <c r="B110" s="63"/>
      <c r="C110" s="63"/>
      <c r="D110" s="63"/>
      <c r="E110" s="65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</row>
    <row r="111" spans="1:26" ht="16.5" customHeight="1">
      <c r="A111" s="64"/>
      <c r="B111" s="63"/>
      <c r="C111" s="63"/>
      <c r="D111" s="63"/>
      <c r="E111" s="65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</row>
    <row r="112" spans="1:26" ht="16.5" customHeight="1">
      <c r="A112" s="64"/>
      <c r="B112" s="63"/>
      <c r="C112" s="63"/>
      <c r="D112" s="63"/>
      <c r="E112" s="65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</row>
    <row r="113" spans="1:26" ht="16.5" customHeight="1">
      <c r="A113" s="64"/>
      <c r="B113" s="63"/>
      <c r="C113" s="63"/>
      <c r="D113" s="63"/>
      <c r="E113" s="65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</row>
    <row r="114" spans="1:26" ht="16.5" customHeight="1">
      <c r="A114" s="64"/>
      <c r="B114" s="63"/>
      <c r="C114" s="63"/>
      <c r="D114" s="63"/>
      <c r="E114" s="65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</row>
    <row r="115" spans="1:26" ht="16.5" customHeight="1">
      <c r="A115" s="64"/>
      <c r="B115" s="63"/>
      <c r="C115" s="63"/>
      <c r="D115" s="63"/>
      <c r="E115" s="65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</row>
    <row r="116" spans="1:26" ht="16.5" customHeight="1">
      <c r="A116" s="64"/>
      <c r="B116" s="63"/>
      <c r="C116" s="63"/>
      <c r="D116" s="63"/>
      <c r="E116" s="65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</row>
    <row r="117" spans="1:26" ht="16.5" customHeight="1">
      <c r="A117" s="64"/>
      <c r="B117" s="63"/>
      <c r="C117" s="63"/>
      <c r="D117" s="63"/>
      <c r="E117" s="65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</row>
    <row r="118" spans="1:26" ht="16.5" customHeight="1">
      <c r="A118" s="64"/>
      <c r="B118" s="63"/>
      <c r="C118" s="63"/>
      <c r="D118" s="63"/>
      <c r="E118" s="65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</row>
    <row r="119" spans="1:26" ht="16.5" customHeight="1">
      <c r="A119" s="64"/>
      <c r="B119" s="63"/>
      <c r="C119" s="63"/>
      <c r="D119" s="63"/>
      <c r="E119" s="65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</row>
    <row r="120" spans="1:26" ht="16.5" customHeight="1">
      <c r="A120" s="64"/>
      <c r="B120" s="63"/>
      <c r="C120" s="63"/>
      <c r="D120" s="63"/>
      <c r="E120" s="65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</row>
    <row r="121" spans="1:26" ht="16.5" customHeight="1">
      <c r="A121" s="64"/>
      <c r="B121" s="63"/>
      <c r="C121" s="63"/>
      <c r="D121" s="63"/>
      <c r="E121" s="65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</row>
    <row r="122" spans="1:26" ht="16.5" customHeight="1">
      <c r="A122" s="64"/>
      <c r="B122" s="63"/>
      <c r="C122" s="63"/>
      <c r="D122" s="63"/>
      <c r="E122" s="65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spans="1:26" ht="16.5" customHeight="1">
      <c r="A123" s="64"/>
      <c r="B123" s="63"/>
      <c r="C123" s="63"/>
      <c r="D123" s="63"/>
      <c r="E123" s="65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</row>
    <row r="124" spans="1:26" ht="16.5" customHeight="1">
      <c r="A124" s="64"/>
      <c r="B124" s="63"/>
      <c r="C124" s="63"/>
      <c r="D124" s="63"/>
      <c r="E124" s="65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</row>
    <row r="125" spans="1:26" ht="16.5" customHeight="1">
      <c r="A125" s="64"/>
      <c r="B125" s="63"/>
      <c r="C125" s="63"/>
      <c r="D125" s="63"/>
      <c r="E125" s="65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</row>
    <row r="126" spans="1:26" ht="16.5" customHeight="1">
      <c r="A126" s="64"/>
      <c r="B126" s="63"/>
      <c r="C126" s="63"/>
      <c r="D126" s="63"/>
      <c r="E126" s="65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</row>
    <row r="127" spans="1:26" ht="16.5" customHeight="1">
      <c r="A127" s="64"/>
      <c r="B127" s="63"/>
      <c r="C127" s="63"/>
      <c r="D127" s="63"/>
      <c r="E127" s="65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</row>
    <row r="128" spans="1:26" ht="16.5" customHeight="1">
      <c r="A128" s="64"/>
      <c r="B128" s="63"/>
      <c r="C128" s="63"/>
      <c r="D128" s="63"/>
      <c r="E128" s="65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</row>
    <row r="129" spans="1:26" ht="16.5" customHeight="1">
      <c r="A129" s="64"/>
      <c r="B129" s="63"/>
      <c r="C129" s="63"/>
      <c r="D129" s="63"/>
      <c r="E129" s="65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</row>
    <row r="130" spans="1:26" ht="16.5" customHeight="1">
      <c r="A130" s="64"/>
      <c r="B130" s="63"/>
      <c r="C130" s="63"/>
      <c r="D130" s="63"/>
      <c r="E130" s="65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</row>
    <row r="131" spans="1:26" ht="16.5" customHeight="1">
      <c r="A131" s="64"/>
      <c r="B131" s="63"/>
      <c r="C131" s="63"/>
      <c r="D131" s="63"/>
      <c r="E131" s="65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</row>
    <row r="132" spans="1:26" ht="16.5" customHeight="1">
      <c r="A132" s="64"/>
      <c r="B132" s="63"/>
      <c r="C132" s="63"/>
      <c r="D132" s="63"/>
      <c r="E132" s="65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</row>
    <row r="133" spans="1:26" ht="16.5" customHeight="1">
      <c r="A133" s="64"/>
      <c r="B133" s="63"/>
      <c r="C133" s="63"/>
      <c r="D133" s="63"/>
      <c r="E133" s="65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</row>
    <row r="134" spans="1:26" ht="16.5" customHeight="1">
      <c r="A134" s="64"/>
      <c r="B134" s="63"/>
      <c r="C134" s="63"/>
      <c r="D134" s="63"/>
      <c r="E134" s="65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</row>
    <row r="135" spans="1:26" ht="16.5" customHeight="1">
      <c r="A135" s="64"/>
      <c r="B135" s="63"/>
      <c r="C135" s="63"/>
      <c r="D135" s="63"/>
      <c r="E135" s="65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</row>
    <row r="136" spans="1:26" ht="16.5" customHeight="1">
      <c r="A136" s="64"/>
      <c r="B136" s="63"/>
      <c r="C136" s="63"/>
      <c r="D136" s="63"/>
      <c r="E136" s="65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</row>
    <row r="137" spans="1:26" ht="16.5" customHeight="1">
      <c r="A137" s="64"/>
      <c r="B137" s="63"/>
      <c r="C137" s="63"/>
      <c r="D137" s="63"/>
      <c r="E137" s="65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</row>
    <row r="138" spans="1:26" ht="16.5" customHeight="1">
      <c r="A138" s="64"/>
      <c r="B138" s="63"/>
      <c r="C138" s="63"/>
      <c r="D138" s="63"/>
      <c r="E138" s="65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</row>
    <row r="139" spans="1:26" ht="16.5" customHeight="1">
      <c r="A139" s="64"/>
      <c r="B139" s="63"/>
      <c r="C139" s="63"/>
      <c r="D139" s="63"/>
      <c r="E139" s="65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</row>
    <row r="140" spans="1:26" ht="16.5" customHeight="1">
      <c r="A140" s="64"/>
      <c r="B140" s="63"/>
      <c r="C140" s="63"/>
      <c r="D140" s="63"/>
      <c r="E140" s="65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</row>
    <row r="141" spans="1:26" ht="16.5" customHeight="1">
      <c r="A141" s="64"/>
      <c r="B141" s="63"/>
      <c r="C141" s="63"/>
      <c r="D141" s="63"/>
      <c r="E141" s="65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</row>
    <row r="142" spans="1:26" ht="16.5" customHeight="1">
      <c r="A142" s="64"/>
      <c r="B142" s="63"/>
      <c r="C142" s="63"/>
      <c r="D142" s="63"/>
      <c r="E142" s="65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</row>
    <row r="143" spans="1:26" ht="16.5" customHeight="1">
      <c r="A143" s="64"/>
      <c r="B143" s="63"/>
      <c r="C143" s="63"/>
      <c r="D143" s="63"/>
      <c r="E143" s="65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</row>
    <row r="144" spans="1:26" ht="16.5" customHeight="1">
      <c r="A144" s="64"/>
      <c r="B144" s="63"/>
      <c r="C144" s="63"/>
      <c r="D144" s="63"/>
      <c r="E144" s="65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</row>
    <row r="145" spans="1:26" ht="16.5" customHeight="1">
      <c r="A145" s="64"/>
      <c r="B145" s="63"/>
      <c r="C145" s="63"/>
      <c r="D145" s="63"/>
      <c r="E145" s="65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</row>
    <row r="146" spans="1:26" ht="16.5" customHeight="1">
      <c r="A146" s="64"/>
      <c r="B146" s="63"/>
      <c r="C146" s="63"/>
      <c r="D146" s="63"/>
      <c r="E146" s="65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</row>
    <row r="147" spans="1:26" ht="16.5" customHeight="1">
      <c r="A147" s="64"/>
      <c r="B147" s="63"/>
      <c r="C147" s="63"/>
      <c r="D147" s="63"/>
      <c r="E147" s="65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</row>
    <row r="148" spans="1:26" ht="16.5" customHeight="1">
      <c r="A148" s="64"/>
      <c r="B148" s="63"/>
      <c r="C148" s="63"/>
      <c r="D148" s="63"/>
      <c r="E148" s="65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</row>
    <row r="149" spans="1:26" ht="16.5" customHeight="1">
      <c r="A149" s="64"/>
      <c r="B149" s="63"/>
      <c r="C149" s="63"/>
      <c r="D149" s="63"/>
      <c r="E149" s="65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</row>
    <row r="150" spans="1:26" ht="16.5" customHeight="1">
      <c r="A150" s="64"/>
      <c r="B150" s="63"/>
      <c r="C150" s="63"/>
      <c r="D150" s="63"/>
      <c r="E150" s="65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</row>
    <row r="151" spans="1:26" ht="16.5" customHeight="1">
      <c r="A151" s="64"/>
      <c r="B151" s="63"/>
      <c r="C151" s="63"/>
      <c r="D151" s="63"/>
      <c r="E151" s="65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</row>
    <row r="152" spans="1:26" ht="16.5" customHeight="1">
      <c r="A152" s="64"/>
      <c r="B152" s="63"/>
      <c r="C152" s="63"/>
      <c r="D152" s="63"/>
      <c r="E152" s="65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</row>
    <row r="153" spans="1:26" ht="16.5" customHeight="1">
      <c r="A153" s="64"/>
      <c r="B153" s="63"/>
      <c r="C153" s="63"/>
      <c r="D153" s="63"/>
      <c r="E153" s="65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</row>
    <row r="154" spans="1:26" ht="16.5" customHeight="1">
      <c r="A154" s="64"/>
      <c r="B154" s="63"/>
      <c r="C154" s="63"/>
      <c r="D154" s="63"/>
      <c r="E154" s="65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</row>
    <row r="155" spans="1:26" ht="16.5" customHeight="1">
      <c r="A155" s="64"/>
      <c r="B155" s="63"/>
      <c r="C155" s="63"/>
      <c r="D155" s="63"/>
      <c r="E155" s="65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</row>
    <row r="156" spans="1:26" ht="16.5" customHeight="1">
      <c r="A156" s="64"/>
      <c r="B156" s="63"/>
      <c r="C156" s="63"/>
      <c r="D156" s="63"/>
      <c r="E156" s="65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</row>
    <row r="157" spans="1:26" ht="16.5" customHeight="1">
      <c r="A157" s="64"/>
      <c r="B157" s="63"/>
      <c r="C157" s="63"/>
      <c r="D157" s="63"/>
      <c r="E157" s="65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</row>
    <row r="158" spans="1:26" ht="16.5" customHeight="1">
      <c r="A158" s="64"/>
      <c r="B158" s="63"/>
      <c r="C158" s="63"/>
      <c r="D158" s="63"/>
      <c r="E158" s="65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</row>
    <row r="159" spans="1:26" ht="16.5" customHeight="1">
      <c r="A159" s="64"/>
      <c r="B159" s="63"/>
      <c r="C159" s="63"/>
      <c r="D159" s="63"/>
      <c r="E159" s="65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</row>
    <row r="160" spans="1:26" ht="16.5" customHeight="1">
      <c r="A160" s="64"/>
      <c r="B160" s="63"/>
      <c r="C160" s="63"/>
      <c r="D160" s="63"/>
      <c r="E160" s="65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</row>
    <row r="161" spans="1:26" ht="16.5" customHeight="1">
      <c r="A161" s="64"/>
      <c r="B161" s="63"/>
      <c r="C161" s="63"/>
      <c r="D161" s="63"/>
      <c r="E161" s="65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</row>
    <row r="162" spans="1:26" ht="16.5" customHeight="1">
      <c r="A162" s="64"/>
      <c r="B162" s="63"/>
      <c r="C162" s="63"/>
      <c r="D162" s="63"/>
      <c r="E162" s="65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</row>
    <row r="163" spans="1:26" ht="16.5" customHeight="1">
      <c r="A163" s="64"/>
      <c r="B163" s="63"/>
      <c r="C163" s="63"/>
      <c r="D163" s="63"/>
      <c r="E163" s="65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</row>
    <row r="164" spans="1:26" ht="16.5" customHeight="1">
      <c r="A164" s="64"/>
      <c r="B164" s="63"/>
      <c r="C164" s="63"/>
      <c r="D164" s="63"/>
      <c r="E164" s="65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</row>
    <row r="165" spans="1:26" ht="16.5" customHeight="1">
      <c r="A165" s="64"/>
      <c r="B165" s="63"/>
      <c r="C165" s="63"/>
      <c r="D165" s="63"/>
      <c r="E165" s="65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</row>
    <row r="166" spans="1:26" ht="16.5" customHeight="1">
      <c r="A166" s="64"/>
      <c r="B166" s="63"/>
      <c r="C166" s="63"/>
      <c r="D166" s="63"/>
      <c r="E166" s="65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</row>
    <row r="167" spans="1:26" ht="16.5" customHeight="1">
      <c r="A167" s="64"/>
      <c r="B167" s="63"/>
      <c r="C167" s="63"/>
      <c r="D167" s="63"/>
      <c r="E167" s="65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</row>
    <row r="168" spans="1:26" ht="16.5" customHeight="1">
      <c r="A168" s="64"/>
      <c r="B168" s="63"/>
      <c r="C168" s="63"/>
      <c r="D168" s="63"/>
      <c r="E168" s="65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</row>
    <row r="169" spans="1:26" ht="16.5" customHeight="1">
      <c r="A169" s="64"/>
      <c r="B169" s="63"/>
      <c r="C169" s="63"/>
      <c r="D169" s="63"/>
      <c r="E169" s="65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</row>
    <row r="170" spans="1:26" ht="16.5" customHeight="1">
      <c r="A170" s="64"/>
      <c r="B170" s="63"/>
      <c r="C170" s="63"/>
      <c r="D170" s="63"/>
      <c r="E170" s="65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</row>
    <row r="171" spans="1:26" ht="16.5" customHeight="1">
      <c r="A171" s="64"/>
      <c r="B171" s="63"/>
      <c r="C171" s="63"/>
      <c r="D171" s="63"/>
      <c r="E171" s="65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</row>
    <row r="172" spans="1:26" ht="16.5" customHeight="1">
      <c r="A172" s="64"/>
      <c r="B172" s="63"/>
      <c r="C172" s="63"/>
      <c r="D172" s="63"/>
      <c r="E172" s="65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</row>
    <row r="173" spans="1:26" ht="16.5" customHeight="1">
      <c r="A173" s="64"/>
      <c r="B173" s="63"/>
      <c r="C173" s="63"/>
      <c r="D173" s="63"/>
      <c r="E173" s="65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</row>
    <row r="174" spans="1:26" ht="16.5" customHeight="1">
      <c r="A174" s="64"/>
      <c r="B174" s="63"/>
      <c r="C174" s="63"/>
      <c r="D174" s="63"/>
      <c r="E174" s="65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</row>
    <row r="175" spans="1:26" ht="16.5" customHeight="1">
      <c r="A175" s="64"/>
      <c r="B175" s="63"/>
      <c r="C175" s="63"/>
      <c r="D175" s="63"/>
      <c r="E175" s="65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</row>
    <row r="176" spans="1:26" ht="16.5" customHeight="1">
      <c r="A176" s="64"/>
      <c r="B176" s="63"/>
      <c r="C176" s="63"/>
      <c r="D176" s="63"/>
      <c r="E176" s="65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</row>
    <row r="177" spans="1:26" ht="16.5" customHeight="1">
      <c r="A177" s="64"/>
      <c r="B177" s="63"/>
      <c r="C177" s="63"/>
      <c r="D177" s="63"/>
      <c r="E177" s="65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</row>
    <row r="178" spans="1:26" ht="16.5" customHeight="1">
      <c r="A178" s="64"/>
      <c r="B178" s="63"/>
      <c r="C178" s="63"/>
      <c r="D178" s="63"/>
      <c r="E178" s="65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</row>
    <row r="179" spans="1:26" ht="16.5" customHeight="1">
      <c r="A179" s="64"/>
      <c r="B179" s="63"/>
      <c r="C179" s="63"/>
      <c r="D179" s="63"/>
      <c r="E179" s="65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</row>
    <row r="180" spans="1:26" ht="16.5" customHeight="1">
      <c r="A180" s="64"/>
      <c r="B180" s="63"/>
      <c r="C180" s="63"/>
      <c r="D180" s="63"/>
      <c r="E180" s="65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</row>
    <row r="181" spans="1:26" ht="16.5" customHeight="1">
      <c r="A181" s="64"/>
      <c r="B181" s="63"/>
      <c r="C181" s="63"/>
      <c r="D181" s="63"/>
      <c r="E181" s="65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</row>
    <row r="182" spans="1:26" ht="16.5" customHeight="1">
      <c r="A182" s="64"/>
      <c r="B182" s="63"/>
      <c r="C182" s="63"/>
      <c r="D182" s="63"/>
      <c r="E182" s="65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</row>
    <row r="183" spans="1:26" ht="16.5" customHeight="1">
      <c r="A183" s="64"/>
      <c r="B183" s="63"/>
      <c r="C183" s="63"/>
      <c r="D183" s="63"/>
      <c r="E183" s="65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</row>
    <row r="184" spans="1:26" ht="16.5" customHeight="1">
      <c r="A184" s="64"/>
      <c r="B184" s="63"/>
      <c r="C184" s="63"/>
      <c r="D184" s="63"/>
      <c r="E184" s="65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</row>
    <row r="185" spans="1:26" ht="16.5" customHeight="1">
      <c r="A185" s="64"/>
      <c r="B185" s="63"/>
      <c r="C185" s="63"/>
      <c r="D185" s="63"/>
      <c r="E185" s="65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</row>
    <row r="186" spans="1:26" ht="16.5" customHeight="1">
      <c r="A186" s="64"/>
      <c r="B186" s="63"/>
      <c r="C186" s="63"/>
      <c r="D186" s="63"/>
      <c r="E186" s="65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</row>
    <row r="187" spans="1:26" ht="16.5" customHeight="1">
      <c r="A187" s="64"/>
      <c r="B187" s="63"/>
      <c r="C187" s="63"/>
      <c r="D187" s="63"/>
      <c r="E187" s="65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</row>
    <row r="188" spans="1:26" ht="16.5" customHeight="1">
      <c r="A188" s="64"/>
      <c r="B188" s="63"/>
      <c r="C188" s="63"/>
      <c r="D188" s="63"/>
      <c r="E188" s="65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</row>
    <row r="189" spans="1:26" ht="16.5" customHeight="1">
      <c r="A189" s="64"/>
      <c r="B189" s="63"/>
      <c r="C189" s="63"/>
      <c r="D189" s="63"/>
      <c r="E189" s="65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</row>
    <row r="190" spans="1:26" ht="16.5" customHeight="1">
      <c r="A190" s="64"/>
      <c r="B190" s="63"/>
      <c r="C190" s="63"/>
      <c r="D190" s="63"/>
      <c r="E190" s="65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</row>
    <row r="191" spans="1:26" ht="16.5" customHeight="1">
      <c r="A191" s="64"/>
      <c r="B191" s="63"/>
      <c r="C191" s="63"/>
      <c r="D191" s="63"/>
      <c r="E191" s="65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</row>
    <row r="192" spans="1:26" ht="16.5" customHeight="1">
      <c r="A192" s="64"/>
      <c r="B192" s="63"/>
      <c r="C192" s="63"/>
      <c r="D192" s="63"/>
      <c r="E192" s="65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</row>
    <row r="193" spans="1:26" ht="16.5" customHeight="1">
      <c r="A193" s="64"/>
      <c r="B193" s="63"/>
      <c r="C193" s="63"/>
      <c r="D193" s="63"/>
      <c r="E193" s="65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</row>
    <row r="194" spans="1:26" ht="16.5" customHeight="1">
      <c r="A194" s="64"/>
      <c r="B194" s="63"/>
      <c r="C194" s="63"/>
      <c r="D194" s="63"/>
      <c r="E194" s="65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</row>
    <row r="195" spans="1:26" ht="16.5" customHeight="1">
      <c r="A195" s="64"/>
      <c r="B195" s="63"/>
      <c r="C195" s="63"/>
      <c r="D195" s="63"/>
      <c r="E195" s="65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</row>
    <row r="196" spans="1:26" ht="16.5" customHeight="1">
      <c r="A196" s="64"/>
      <c r="B196" s="63"/>
      <c r="C196" s="63"/>
      <c r="D196" s="63"/>
      <c r="E196" s="65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</row>
    <row r="197" spans="1:26" ht="16.5" customHeight="1">
      <c r="A197" s="64"/>
      <c r="B197" s="63"/>
      <c r="C197" s="63"/>
      <c r="D197" s="63"/>
      <c r="E197" s="65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</row>
    <row r="198" spans="1:26" ht="16.5" customHeight="1">
      <c r="A198" s="64"/>
      <c r="B198" s="63"/>
      <c r="C198" s="63"/>
      <c r="D198" s="63"/>
      <c r="E198" s="65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</row>
    <row r="199" spans="1:26" ht="16.5" customHeight="1">
      <c r="A199" s="64"/>
      <c r="B199" s="63"/>
      <c r="C199" s="63"/>
      <c r="D199" s="63"/>
      <c r="E199" s="65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</row>
    <row r="200" spans="1:26" ht="16.5" customHeight="1">
      <c r="A200" s="64"/>
      <c r="B200" s="63"/>
      <c r="C200" s="63"/>
      <c r="D200" s="63"/>
      <c r="E200" s="65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</row>
    <row r="201" spans="1:26" ht="16.5" customHeight="1">
      <c r="A201" s="64"/>
      <c r="B201" s="63"/>
      <c r="C201" s="63"/>
      <c r="D201" s="63"/>
      <c r="E201" s="65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</row>
    <row r="202" spans="1:26" ht="16.5" customHeight="1">
      <c r="A202" s="64"/>
      <c r="B202" s="63"/>
      <c r="C202" s="63"/>
      <c r="D202" s="63"/>
      <c r="E202" s="65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</row>
    <row r="203" spans="1:26" ht="16.5" customHeight="1">
      <c r="A203" s="64"/>
      <c r="B203" s="63"/>
      <c r="C203" s="63"/>
      <c r="D203" s="63"/>
      <c r="E203" s="65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</row>
    <row r="204" spans="1:26" ht="16.5" customHeight="1">
      <c r="A204" s="64"/>
      <c r="B204" s="63"/>
      <c r="C204" s="63"/>
      <c r="D204" s="63"/>
      <c r="E204" s="65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</row>
    <row r="205" spans="1:26" ht="16.5" customHeight="1">
      <c r="A205" s="64"/>
      <c r="B205" s="63"/>
      <c r="C205" s="63"/>
      <c r="D205" s="63"/>
      <c r="E205" s="65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</row>
    <row r="206" spans="1:26" ht="16.5" customHeight="1">
      <c r="A206" s="64"/>
      <c r="B206" s="63"/>
      <c r="C206" s="63"/>
      <c r="D206" s="63"/>
      <c r="E206" s="65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</row>
    <row r="207" spans="1:26" ht="16.5" customHeight="1">
      <c r="A207" s="64"/>
      <c r="B207" s="63"/>
      <c r="C207" s="63"/>
      <c r="D207" s="63"/>
      <c r="E207" s="65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</row>
    <row r="208" spans="1:26" ht="16.5" customHeight="1">
      <c r="A208" s="64"/>
      <c r="B208" s="63"/>
      <c r="C208" s="63"/>
      <c r="D208" s="63"/>
      <c r="E208" s="65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</row>
    <row r="209" spans="1:26" ht="16.5" customHeight="1">
      <c r="A209" s="64"/>
      <c r="B209" s="63"/>
      <c r="C209" s="63"/>
      <c r="D209" s="63"/>
      <c r="E209" s="65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</row>
    <row r="210" spans="1:26" ht="16.5" customHeight="1">
      <c r="A210" s="64"/>
      <c r="B210" s="63"/>
      <c r="C210" s="63"/>
      <c r="D210" s="63"/>
      <c r="E210" s="65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</row>
    <row r="211" spans="1:26" ht="16.5" customHeight="1">
      <c r="A211" s="64"/>
      <c r="B211" s="63"/>
      <c r="C211" s="63"/>
      <c r="D211" s="63"/>
      <c r="E211" s="65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</row>
    <row r="212" spans="1:26" ht="16.5" customHeight="1">
      <c r="A212" s="64"/>
      <c r="B212" s="63"/>
      <c r="C212" s="63"/>
      <c r="D212" s="63"/>
      <c r="E212" s="65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</row>
    <row r="213" spans="1:26" ht="16.5" customHeight="1">
      <c r="A213" s="64"/>
      <c r="B213" s="63"/>
      <c r="C213" s="63"/>
      <c r="D213" s="63"/>
      <c r="E213" s="65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</row>
    <row r="214" spans="1:26" ht="16.5" customHeight="1">
      <c r="A214" s="64"/>
      <c r="B214" s="63"/>
      <c r="C214" s="63"/>
      <c r="D214" s="63"/>
      <c r="E214" s="65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</row>
    <row r="215" spans="1:26" ht="16.5" customHeight="1">
      <c r="A215" s="64"/>
      <c r="B215" s="63"/>
      <c r="C215" s="63"/>
      <c r="D215" s="63"/>
      <c r="E215" s="65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</row>
    <row r="216" spans="1:26" ht="16.5" customHeight="1">
      <c r="A216" s="64"/>
      <c r="B216" s="63"/>
      <c r="C216" s="63"/>
      <c r="D216" s="63"/>
      <c r="E216" s="65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</row>
    <row r="217" spans="1:26" ht="16.5" customHeight="1">
      <c r="A217" s="64"/>
      <c r="B217" s="63"/>
      <c r="C217" s="63"/>
      <c r="D217" s="63"/>
      <c r="E217" s="65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</row>
    <row r="218" spans="1:26" ht="16.5" customHeight="1">
      <c r="A218" s="64"/>
      <c r="B218" s="63"/>
      <c r="C218" s="63"/>
      <c r="D218" s="63"/>
      <c r="E218" s="65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</row>
    <row r="219" spans="1:26" ht="16.5" customHeight="1">
      <c r="A219" s="64"/>
      <c r="B219" s="63"/>
      <c r="C219" s="63"/>
      <c r="D219" s="63"/>
      <c r="E219" s="65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</row>
    <row r="220" spans="1:26" ht="16.5" customHeight="1">
      <c r="A220" s="64"/>
      <c r="B220" s="63"/>
      <c r="C220" s="63"/>
      <c r="D220" s="63"/>
      <c r="E220" s="65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</row>
    <row r="221" spans="1:26" ht="16.5" customHeight="1">
      <c r="A221" s="64"/>
      <c r="B221" s="63"/>
      <c r="C221" s="63"/>
      <c r="D221" s="63"/>
      <c r="E221" s="65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</row>
    <row r="222" spans="1:26" ht="16.5" customHeight="1">
      <c r="A222" s="64"/>
      <c r="B222" s="63"/>
      <c r="C222" s="63"/>
      <c r="D222" s="63"/>
      <c r="E222" s="65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</row>
    <row r="223" spans="1:26" ht="16.5" customHeight="1">
      <c r="A223" s="64"/>
      <c r="B223" s="63"/>
      <c r="C223" s="63"/>
      <c r="D223" s="63"/>
      <c r="E223" s="65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</row>
    <row r="224" spans="1:26" ht="16.5" customHeight="1">
      <c r="A224" s="64"/>
      <c r="B224" s="63"/>
      <c r="C224" s="63"/>
      <c r="D224" s="63"/>
      <c r="E224" s="65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</row>
    <row r="225" spans="1:26" ht="16.5" customHeight="1">
      <c r="A225" s="64"/>
      <c r="B225" s="63"/>
      <c r="C225" s="63"/>
      <c r="D225" s="63"/>
      <c r="E225" s="65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</row>
    <row r="226" spans="1:26" ht="16.5" customHeight="1">
      <c r="A226" s="64"/>
      <c r="B226" s="63"/>
      <c r="C226" s="63"/>
      <c r="D226" s="63"/>
      <c r="E226" s="65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</row>
    <row r="227" spans="1:26" ht="16.5" customHeight="1">
      <c r="A227" s="64"/>
      <c r="B227" s="63"/>
      <c r="C227" s="63"/>
      <c r="D227" s="63"/>
      <c r="E227" s="65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</row>
    <row r="228" spans="1:26" ht="16.5" customHeight="1">
      <c r="A228" s="64"/>
      <c r="B228" s="63"/>
      <c r="C228" s="63"/>
      <c r="D228" s="63"/>
      <c r="E228" s="65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</row>
    <row r="229" spans="1:26" ht="16.5" customHeight="1">
      <c r="A229" s="64"/>
      <c r="B229" s="63"/>
      <c r="C229" s="63"/>
      <c r="D229" s="63"/>
      <c r="E229" s="65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</row>
    <row r="230" spans="1:26" ht="16.5" customHeight="1">
      <c r="A230" s="64"/>
      <c r="B230" s="63"/>
      <c r="C230" s="63"/>
      <c r="D230" s="63"/>
      <c r="E230" s="65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</row>
    <row r="231" spans="1:26" ht="16.5" customHeight="1">
      <c r="A231" s="64"/>
      <c r="B231" s="63"/>
      <c r="C231" s="63"/>
      <c r="D231" s="63"/>
      <c r="E231" s="65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</row>
    <row r="232" spans="1:26" ht="16.5" customHeight="1">
      <c r="A232" s="64"/>
      <c r="B232" s="63"/>
      <c r="C232" s="63"/>
      <c r="D232" s="63"/>
      <c r="E232" s="65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</row>
    <row r="233" spans="1:26" ht="16.5" customHeight="1">
      <c r="A233" s="64"/>
      <c r="B233" s="63"/>
      <c r="C233" s="63"/>
      <c r="D233" s="63"/>
      <c r="E233" s="65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</row>
    <row r="234" spans="1:26" ht="16.5" customHeight="1">
      <c r="A234" s="64"/>
      <c r="B234" s="63"/>
      <c r="C234" s="63"/>
      <c r="D234" s="63"/>
      <c r="E234" s="65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</row>
    <row r="235" spans="1:26" ht="16.5" customHeight="1">
      <c r="A235" s="64"/>
      <c r="B235" s="63"/>
      <c r="C235" s="63"/>
      <c r="D235" s="63"/>
      <c r="E235" s="65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</row>
    <row r="236" spans="1:26" ht="16.5" customHeight="1">
      <c r="A236" s="64"/>
      <c r="B236" s="63"/>
      <c r="C236" s="63"/>
      <c r="D236" s="63"/>
      <c r="E236" s="65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</row>
    <row r="237" spans="1:26" ht="16.5" customHeight="1">
      <c r="A237" s="64"/>
      <c r="B237" s="63"/>
      <c r="C237" s="63"/>
      <c r="D237" s="63"/>
      <c r="E237" s="65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</row>
    <row r="238" spans="1:26" ht="16.5" customHeight="1">
      <c r="A238" s="64"/>
      <c r="B238" s="63"/>
      <c r="C238" s="63"/>
      <c r="D238" s="63"/>
      <c r="E238" s="65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</row>
    <row r="239" spans="1:26" ht="16.5" customHeight="1">
      <c r="A239" s="64"/>
      <c r="B239" s="63"/>
      <c r="C239" s="63"/>
      <c r="D239" s="63"/>
      <c r="E239" s="65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</row>
    <row r="240" spans="1:26" ht="16.5" customHeight="1">
      <c r="A240" s="64"/>
      <c r="B240" s="63"/>
      <c r="C240" s="63"/>
      <c r="D240" s="63"/>
      <c r="E240" s="65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</row>
    <row r="241" spans="1:26" ht="16.5" customHeight="1">
      <c r="A241" s="64"/>
      <c r="B241" s="63"/>
      <c r="C241" s="63"/>
      <c r="D241" s="63"/>
      <c r="E241" s="65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</row>
    <row r="242" spans="1:26" ht="16.5" customHeight="1">
      <c r="A242" s="64"/>
      <c r="B242" s="63"/>
      <c r="C242" s="63"/>
      <c r="D242" s="63"/>
      <c r="E242" s="65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</row>
    <row r="243" spans="1:26" ht="16.5" customHeight="1">
      <c r="A243" s="64"/>
      <c r="B243" s="63"/>
      <c r="C243" s="63"/>
      <c r="D243" s="63"/>
      <c r="E243" s="65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</row>
    <row r="244" spans="1:26" ht="16.5" customHeight="1">
      <c r="A244" s="64"/>
      <c r="B244" s="63"/>
      <c r="C244" s="63"/>
      <c r="D244" s="63"/>
      <c r="E244" s="65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</row>
    <row r="245" spans="1:26" ht="16.5" customHeight="1">
      <c r="A245" s="64"/>
      <c r="B245" s="63"/>
      <c r="C245" s="63"/>
      <c r="D245" s="63"/>
      <c r="E245" s="65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</row>
    <row r="246" spans="1:26" ht="16.5" customHeight="1">
      <c r="A246" s="64"/>
      <c r="B246" s="63"/>
      <c r="C246" s="63"/>
      <c r="D246" s="63"/>
      <c r="E246" s="65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</row>
    <row r="247" spans="1:26" ht="16.5" customHeight="1">
      <c r="A247" s="64"/>
      <c r="B247" s="63"/>
      <c r="C247" s="63"/>
      <c r="D247" s="63"/>
      <c r="E247" s="65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</row>
    <row r="248" spans="1:26" ht="16.5" customHeight="1">
      <c r="A248" s="64"/>
      <c r="B248" s="63"/>
      <c r="C248" s="63"/>
      <c r="D248" s="63"/>
      <c r="E248" s="65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</row>
    <row r="249" spans="1:26" ht="16.5" customHeight="1">
      <c r="A249" s="64"/>
      <c r="B249" s="63"/>
      <c r="C249" s="63"/>
      <c r="D249" s="63"/>
      <c r="E249" s="65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</row>
    <row r="250" spans="1:26" ht="16.5" customHeight="1">
      <c r="A250" s="64"/>
      <c r="B250" s="63"/>
      <c r="C250" s="63"/>
      <c r="D250" s="63"/>
      <c r="E250" s="65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</row>
    <row r="251" spans="1:26" ht="16.5" customHeight="1">
      <c r="A251" s="64"/>
      <c r="B251" s="63"/>
      <c r="C251" s="63"/>
      <c r="D251" s="63"/>
      <c r="E251" s="65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</row>
    <row r="252" spans="1:26" ht="16.5" customHeight="1">
      <c r="A252" s="64"/>
      <c r="B252" s="63"/>
      <c r="C252" s="63"/>
      <c r="D252" s="63"/>
      <c r="E252" s="65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</row>
    <row r="253" spans="1:26" ht="16.5" customHeight="1">
      <c r="A253" s="64"/>
      <c r="B253" s="63"/>
      <c r="C253" s="63"/>
      <c r="D253" s="63"/>
      <c r="E253" s="65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</row>
    <row r="254" spans="1:26" ht="16.5" customHeight="1">
      <c r="A254" s="64"/>
      <c r="B254" s="63"/>
      <c r="C254" s="63"/>
      <c r="D254" s="63"/>
      <c r="E254" s="65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</row>
    <row r="255" spans="1:26" ht="16.5" customHeight="1">
      <c r="A255" s="64"/>
      <c r="B255" s="63"/>
      <c r="C255" s="63"/>
      <c r="D255" s="63"/>
      <c r="E255" s="65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</row>
    <row r="256" spans="1:26" ht="16.5" customHeight="1">
      <c r="A256" s="64"/>
      <c r="B256" s="63"/>
      <c r="C256" s="63"/>
      <c r="D256" s="63"/>
      <c r="E256" s="65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</row>
    <row r="257" spans="1:26" ht="16.5" customHeight="1">
      <c r="A257" s="64"/>
      <c r="B257" s="63"/>
      <c r="C257" s="63"/>
      <c r="D257" s="63"/>
      <c r="E257" s="65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</row>
    <row r="258" spans="1:26" ht="16.5" customHeight="1">
      <c r="A258" s="64"/>
      <c r="B258" s="63"/>
      <c r="C258" s="63"/>
      <c r="D258" s="63"/>
      <c r="E258" s="65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</row>
    <row r="259" spans="1:26" ht="16.5" customHeight="1">
      <c r="A259" s="64"/>
      <c r="B259" s="63"/>
      <c r="C259" s="63"/>
      <c r="D259" s="63"/>
      <c r="E259" s="65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</row>
    <row r="260" spans="1:26" ht="16.5" customHeight="1">
      <c r="A260" s="64"/>
      <c r="B260" s="63"/>
      <c r="C260" s="63"/>
      <c r="D260" s="63"/>
      <c r="E260" s="65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</row>
    <row r="261" spans="1:26" ht="16.5" customHeight="1">
      <c r="A261" s="64"/>
      <c r="B261" s="63"/>
      <c r="C261" s="63"/>
      <c r="D261" s="63"/>
      <c r="E261" s="65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</row>
    <row r="262" spans="1:26" ht="16.5" customHeight="1">
      <c r="A262" s="64"/>
      <c r="B262" s="63"/>
      <c r="C262" s="63"/>
      <c r="D262" s="63"/>
      <c r="E262" s="65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</row>
    <row r="263" spans="1:26" ht="16.5" customHeight="1">
      <c r="A263" s="64"/>
      <c r="B263" s="63"/>
      <c r="C263" s="63"/>
      <c r="D263" s="63"/>
      <c r="E263" s="65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</row>
    <row r="264" spans="1:26" ht="16.5" customHeight="1">
      <c r="A264" s="64"/>
      <c r="B264" s="63"/>
      <c r="C264" s="63"/>
      <c r="D264" s="63"/>
      <c r="E264" s="65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</row>
    <row r="265" spans="1:26" ht="16.5" customHeight="1">
      <c r="A265" s="64"/>
      <c r="B265" s="63"/>
      <c r="C265" s="63"/>
      <c r="D265" s="63"/>
      <c r="E265" s="65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</row>
    <row r="266" spans="1:26" ht="16.5" customHeight="1">
      <c r="A266" s="64"/>
      <c r="B266" s="63"/>
      <c r="C266" s="63"/>
      <c r="D266" s="63"/>
      <c r="E266" s="65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</row>
    <row r="267" spans="1:26" ht="16.5" customHeight="1">
      <c r="A267" s="64"/>
      <c r="B267" s="63"/>
      <c r="C267" s="63"/>
      <c r="D267" s="63"/>
      <c r="E267" s="65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</row>
    <row r="268" spans="1:26" ht="16.5" customHeight="1">
      <c r="A268" s="64"/>
      <c r="B268" s="63"/>
      <c r="C268" s="63"/>
      <c r="D268" s="63"/>
      <c r="E268" s="65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</row>
    <row r="269" spans="1:26" ht="16.5" customHeight="1">
      <c r="A269" s="64"/>
      <c r="B269" s="63"/>
      <c r="C269" s="63"/>
      <c r="D269" s="63"/>
      <c r="E269" s="65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</row>
    <row r="270" spans="1:26" ht="16.5" customHeight="1">
      <c r="A270" s="64"/>
      <c r="B270" s="63"/>
      <c r="C270" s="63"/>
      <c r="D270" s="63"/>
      <c r="E270" s="65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</row>
    <row r="271" spans="1:26" ht="16.5" customHeight="1">
      <c r="A271" s="64"/>
      <c r="B271" s="63"/>
      <c r="C271" s="63"/>
      <c r="D271" s="63"/>
      <c r="E271" s="65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</row>
    <row r="272" spans="1:26" ht="16.5" customHeight="1">
      <c r="A272" s="64"/>
      <c r="B272" s="63"/>
      <c r="C272" s="63"/>
      <c r="D272" s="63"/>
      <c r="E272" s="65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</row>
    <row r="273" spans="1:26" ht="16.5" customHeight="1">
      <c r="A273" s="64"/>
      <c r="B273" s="63"/>
      <c r="C273" s="63"/>
      <c r="D273" s="63"/>
      <c r="E273" s="65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</row>
    <row r="274" spans="1:26" ht="16.5" customHeight="1">
      <c r="A274" s="64"/>
      <c r="B274" s="63"/>
      <c r="C274" s="63"/>
      <c r="D274" s="63"/>
      <c r="E274" s="65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</row>
    <row r="275" spans="1:26" ht="16.5" customHeight="1">
      <c r="A275" s="64"/>
      <c r="B275" s="63"/>
      <c r="C275" s="63"/>
      <c r="D275" s="63"/>
      <c r="E275" s="65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</row>
    <row r="276" spans="1:26" ht="16.5" customHeight="1">
      <c r="A276" s="64"/>
      <c r="B276" s="63"/>
      <c r="C276" s="63"/>
      <c r="D276" s="63"/>
      <c r="E276" s="65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</row>
    <row r="277" spans="1:26" ht="16.5" customHeight="1">
      <c r="A277" s="64"/>
      <c r="B277" s="63"/>
      <c r="C277" s="63"/>
      <c r="D277" s="63"/>
      <c r="E277" s="65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</row>
    <row r="278" spans="1:26" ht="16.5" customHeight="1">
      <c r="A278" s="64"/>
      <c r="B278" s="63"/>
      <c r="C278" s="63"/>
      <c r="D278" s="63"/>
      <c r="E278" s="65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</row>
    <row r="279" spans="1:26" ht="16.5" customHeight="1">
      <c r="A279" s="64"/>
      <c r="B279" s="63"/>
      <c r="C279" s="63"/>
      <c r="D279" s="63"/>
      <c r="E279" s="65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</row>
    <row r="280" spans="1:26" ht="16.5" customHeight="1">
      <c r="A280" s="64"/>
      <c r="B280" s="63"/>
      <c r="C280" s="63"/>
      <c r="D280" s="63"/>
      <c r="E280" s="65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</row>
    <row r="281" spans="1:26" ht="16.5" customHeight="1">
      <c r="A281" s="64"/>
      <c r="B281" s="63"/>
      <c r="C281" s="63"/>
      <c r="D281" s="63"/>
      <c r="E281" s="65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</row>
    <row r="282" spans="1:26" ht="16.5" customHeight="1">
      <c r="A282" s="64"/>
      <c r="B282" s="63"/>
      <c r="C282" s="63"/>
      <c r="D282" s="63"/>
      <c r="E282" s="65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</row>
    <row r="283" spans="1:26" ht="16.5" customHeight="1">
      <c r="A283" s="64"/>
      <c r="B283" s="63"/>
      <c r="C283" s="63"/>
      <c r="D283" s="63"/>
      <c r="E283" s="65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</row>
    <row r="284" spans="1:26" ht="16.5" customHeight="1">
      <c r="A284" s="64"/>
      <c r="B284" s="63"/>
      <c r="C284" s="63"/>
      <c r="D284" s="63"/>
      <c r="E284" s="65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</row>
    <row r="285" spans="1:26" ht="16.5" customHeight="1">
      <c r="A285" s="64"/>
      <c r="B285" s="63"/>
      <c r="C285" s="63"/>
      <c r="D285" s="63"/>
      <c r="E285" s="65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</row>
    <row r="286" spans="1:26" ht="16.5" customHeight="1">
      <c r="A286" s="64"/>
      <c r="B286" s="63"/>
      <c r="C286" s="63"/>
      <c r="D286" s="63"/>
      <c r="E286" s="65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</row>
    <row r="287" spans="1:26" ht="16.5" customHeight="1">
      <c r="A287" s="64"/>
      <c r="B287" s="63"/>
      <c r="C287" s="63"/>
      <c r="D287" s="63"/>
      <c r="E287" s="65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</row>
    <row r="288" spans="1:26" ht="16.5" customHeight="1">
      <c r="A288" s="64"/>
      <c r="B288" s="63"/>
      <c r="C288" s="63"/>
      <c r="D288" s="63"/>
      <c r="E288" s="65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</row>
    <row r="289" spans="1:26" ht="16.5" customHeight="1">
      <c r="A289" s="64"/>
      <c r="B289" s="63"/>
      <c r="C289" s="63"/>
      <c r="D289" s="63"/>
      <c r="E289" s="65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</row>
    <row r="290" spans="1:26" ht="16.5" customHeight="1">
      <c r="A290" s="64"/>
      <c r="B290" s="63"/>
      <c r="C290" s="63"/>
      <c r="D290" s="63"/>
      <c r="E290" s="65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</row>
    <row r="291" spans="1:26" ht="16.5" customHeight="1">
      <c r="A291" s="64"/>
      <c r="B291" s="63"/>
      <c r="C291" s="63"/>
      <c r="D291" s="63"/>
      <c r="E291" s="65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</row>
    <row r="292" spans="1:26" ht="16.5" customHeight="1">
      <c r="A292" s="64"/>
      <c r="B292" s="63"/>
      <c r="C292" s="63"/>
      <c r="D292" s="63"/>
      <c r="E292" s="65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</row>
    <row r="293" spans="1:26" ht="16.5" customHeight="1">
      <c r="A293" s="64"/>
      <c r="B293" s="63"/>
      <c r="C293" s="63"/>
      <c r="D293" s="63"/>
      <c r="E293" s="65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</row>
    <row r="294" spans="1:26" ht="16.5" customHeight="1">
      <c r="A294" s="64"/>
      <c r="B294" s="63"/>
      <c r="C294" s="63"/>
      <c r="D294" s="63"/>
      <c r="E294" s="65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</row>
    <row r="295" spans="1:26" ht="16.5" customHeight="1">
      <c r="A295" s="64"/>
      <c r="B295" s="63"/>
      <c r="C295" s="63"/>
      <c r="D295" s="63"/>
      <c r="E295" s="65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</row>
    <row r="296" spans="1:26" ht="16.5" customHeight="1">
      <c r="A296" s="64"/>
      <c r="B296" s="63"/>
      <c r="C296" s="63"/>
      <c r="D296" s="63"/>
      <c r="E296" s="65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</row>
    <row r="297" spans="1:26" ht="16.5" customHeight="1">
      <c r="A297" s="64"/>
      <c r="B297" s="63"/>
      <c r="C297" s="63"/>
      <c r="D297" s="63"/>
      <c r="E297" s="65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</row>
    <row r="298" spans="1:26" ht="16.5" customHeight="1">
      <c r="A298" s="64"/>
      <c r="B298" s="63"/>
      <c r="C298" s="63"/>
      <c r="D298" s="63"/>
      <c r="E298" s="65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</row>
    <row r="299" spans="1:26" ht="16.5" customHeight="1">
      <c r="A299" s="64"/>
      <c r="B299" s="63"/>
      <c r="C299" s="63"/>
      <c r="D299" s="63"/>
      <c r="E299" s="65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</row>
    <row r="300" spans="1:26" ht="16.5" customHeight="1">
      <c r="A300" s="64"/>
      <c r="B300" s="63"/>
      <c r="C300" s="63"/>
      <c r="D300" s="63"/>
      <c r="E300" s="65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</row>
    <row r="301" spans="1:26" ht="16.5" customHeight="1">
      <c r="A301" s="64"/>
      <c r="B301" s="63"/>
      <c r="C301" s="63"/>
      <c r="D301" s="63"/>
      <c r="E301" s="65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</row>
    <row r="302" spans="1:26" ht="16.5" customHeight="1">
      <c r="A302" s="64"/>
      <c r="B302" s="63"/>
      <c r="C302" s="63"/>
      <c r="D302" s="63"/>
      <c r="E302" s="65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</row>
    <row r="303" spans="1:26" ht="16.5" customHeight="1">
      <c r="A303" s="64"/>
      <c r="B303" s="63"/>
      <c r="C303" s="63"/>
      <c r="D303" s="63"/>
      <c r="E303" s="65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</row>
    <row r="304" spans="1:26" ht="16.5" customHeight="1">
      <c r="A304" s="64"/>
      <c r="B304" s="63"/>
      <c r="C304" s="63"/>
      <c r="D304" s="63"/>
      <c r="E304" s="65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</row>
    <row r="305" spans="1:26" ht="16.5" customHeight="1">
      <c r="A305" s="64"/>
      <c r="B305" s="63"/>
      <c r="C305" s="63"/>
      <c r="D305" s="63"/>
      <c r="E305" s="65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</row>
    <row r="306" spans="1:26" ht="16.5" customHeight="1">
      <c r="A306" s="64"/>
      <c r="B306" s="63"/>
      <c r="C306" s="63"/>
      <c r="D306" s="63"/>
      <c r="E306" s="65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</row>
    <row r="307" spans="1:26" ht="16.5" customHeight="1">
      <c r="A307" s="64"/>
      <c r="B307" s="63"/>
      <c r="C307" s="63"/>
      <c r="D307" s="63"/>
      <c r="E307" s="65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</row>
    <row r="308" spans="1:26" ht="16.5" customHeight="1">
      <c r="A308" s="64"/>
      <c r="B308" s="63"/>
      <c r="C308" s="63"/>
      <c r="D308" s="63"/>
      <c r="E308" s="65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</row>
    <row r="309" spans="1:26" ht="16.5" customHeight="1">
      <c r="A309" s="64"/>
      <c r="B309" s="63"/>
      <c r="C309" s="63"/>
      <c r="D309" s="63"/>
      <c r="E309" s="65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</row>
    <row r="310" spans="1:26" ht="16.5" customHeight="1">
      <c r="A310" s="64"/>
      <c r="B310" s="63"/>
      <c r="C310" s="63"/>
      <c r="D310" s="63"/>
      <c r="E310" s="65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</row>
    <row r="311" spans="1:26" ht="16.5" customHeight="1">
      <c r="A311" s="64"/>
      <c r="B311" s="63"/>
      <c r="C311" s="63"/>
      <c r="D311" s="63"/>
      <c r="E311" s="65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</row>
    <row r="312" spans="1:26" ht="16.5" customHeight="1">
      <c r="A312" s="64"/>
      <c r="B312" s="63"/>
      <c r="C312" s="63"/>
      <c r="D312" s="63"/>
      <c r="E312" s="65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</row>
    <row r="313" spans="1:26" ht="16.5" customHeight="1">
      <c r="A313" s="64"/>
      <c r="B313" s="63"/>
      <c r="C313" s="63"/>
      <c r="D313" s="63"/>
      <c r="E313" s="65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</row>
    <row r="314" spans="1:26" ht="16.5" customHeight="1">
      <c r="A314" s="64"/>
      <c r="B314" s="63"/>
      <c r="C314" s="63"/>
      <c r="D314" s="63"/>
      <c r="E314" s="65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</row>
    <row r="315" spans="1:26" ht="16.5" customHeight="1">
      <c r="A315" s="64"/>
      <c r="B315" s="63"/>
      <c r="C315" s="63"/>
      <c r="D315" s="63"/>
      <c r="E315" s="65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</row>
    <row r="316" spans="1:26" ht="16.5" customHeight="1">
      <c r="A316" s="64"/>
      <c r="B316" s="63"/>
      <c r="C316" s="63"/>
      <c r="D316" s="63"/>
      <c r="E316" s="65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</row>
    <row r="317" spans="1:26" ht="16.5" customHeight="1">
      <c r="A317" s="64"/>
      <c r="B317" s="63"/>
      <c r="C317" s="63"/>
      <c r="D317" s="63"/>
      <c r="E317" s="65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</row>
    <row r="318" spans="1:26" ht="16.5" customHeight="1">
      <c r="A318" s="64"/>
      <c r="B318" s="63"/>
      <c r="C318" s="63"/>
      <c r="D318" s="63"/>
      <c r="E318" s="65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</row>
    <row r="319" spans="1:26" ht="16.5" customHeight="1">
      <c r="A319" s="64"/>
      <c r="B319" s="63"/>
      <c r="C319" s="63"/>
      <c r="D319" s="63"/>
      <c r="E319" s="65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</row>
    <row r="320" spans="1:26" ht="16.5" customHeight="1">
      <c r="A320" s="64"/>
      <c r="B320" s="63"/>
      <c r="C320" s="63"/>
      <c r="D320" s="63"/>
      <c r="E320" s="65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</row>
    <row r="321" spans="1:26" ht="16.5" customHeight="1">
      <c r="A321" s="64"/>
      <c r="B321" s="63"/>
      <c r="C321" s="63"/>
      <c r="D321" s="63"/>
      <c r="E321" s="65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</row>
    <row r="322" spans="1:26" ht="16.5" customHeight="1">
      <c r="A322" s="64"/>
      <c r="B322" s="63"/>
      <c r="C322" s="63"/>
      <c r="D322" s="63"/>
      <c r="E322" s="65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</row>
    <row r="323" spans="1:26" ht="16.5" customHeight="1">
      <c r="A323" s="64"/>
      <c r="B323" s="63"/>
      <c r="C323" s="63"/>
      <c r="D323" s="63"/>
      <c r="E323" s="65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</row>
    <row r="324" spans="1:26" ht="16.5" customHeight="1">
      <c r="A324" s="64"/>
      <c r="B324" s="63"/>
      <c r="C324" s="63"/>
      <c r="D324" s="63"/>
      <c r="E324" s="65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</row>
    <row r="325" spans="1:26" ht="16.5" customHeight="1">
      <c r="A325" s="64"/>
      <c r="B325" s="63"/>
      <c r="C325" s="63"/>
      <c r="D325" s="63"/>
      <c r="E325" s="65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</row>
    <row r="326" spans="1:26" ht="16.5" customHeight="1">
      <c r="A326" s="64"/>
      <c r="B326" s="63"/>
      <c r="C326" s="63"/>
      <c r="D326" s="63"/>
      <c r="E326" s="65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</row>
    <row r="327" spans="1:26" ht="16.5" customHeight="1">
      <c r="A327" s="64"/>
      <c r="B327" s="63"/>
      <c r="C327" s="63"/>
      <c r="D327" s="63"/>
      <c r="E327" s="65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</row>
    <row r="328" spans="1:26" ht="16.5" customHeight="1">
      <c r="A328" s="64"/>
      <c r="B328" s="63"/>
      <c r="C328" s="63"/>
      <c r="D328" s="63"/>
      <c r="E328" s="65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</row>
    <row r="329" spans="1:26" ht="16.5" customHeight="1">
      <c r="A329" s="64"/>
      <c r="B329" s="63"/>
      <c r="C329" s="63"/>
      <c r="D329" s="63"/>
      <c r="E329" s="65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</row>
    <row r="330" spans="1:26" ht="16.5" customHeight="1">
      <c r="A330" s="64"/>
      <c r="B330" s="63"/>
      <c r="C330" s="63"/>
      <c r="D330" s="63"/>
      <c r="E330" s="65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</row>
    <row r="331" spans="1:26" ht="16.5" customHeight="1">
      <c r="A331" s="64"/>
      <c r="B331" s="63"/>
      <c r="C331" s="63"/>
      <c r="D331" s="63"/>
      <c r="E331" s="65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</row>
    <row r="332" spans="1:26" ht="16.5" customHeight="1">
      <c r="A332" s="64"/>
      <c r="B332" s="63"/>
      <c r="C332" s="63"/>
      <c r="D332" s="63"/>
      <c r="E332" s="65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</row>
    <row r="333" spans="1:26" ht="16.5" customHeight="1">
      <c r="A333" s="64"/>
      <c r="B333" s="63"/>
      <c r="C333" s="63"/>
      <c r="D333" s="63"/>
      <c r="E333" s="65"/>
      <c r="F333" s="60"/>
      <c r="G333" s="60"/>
      <c r="H333" s="60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</row>
    <row r="334" spans="1:26" ht="16.5" customHeight="1">
      <c r="A334" s="64"/>
      <c r="B334" s="63"/>
      <c r="C334" s="63"/>
      <c r="D334" s="63"/>
      <c r="E334" s="65"/>
      <c r="F334" s="60"/>
      <c r="G334" s="60"/>
      <c r="H334" s="60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</row>
    <row r="335" spans="1:26" ht="16.5" customHeight="1">
      <c r="A335" s="64"/>
      <c r="B335" s="63"/>
      <c r="C335" s="63"/>
      <c r="D335" s="63"/>
      <c r="E335" s="65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</row>
    <row r="336" spans="1:26" ht="16.5" customHeight="1">
      <c r="A336" s="64"/>
      <c r="B336" s="63"/>
      <c r="C336" s="63"/>
      <c r="D336" s="63"/>
      <c r="E336" s="65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</row>
    <row r="337" spans="1:26" ht="16.5" customHeight="1">
      <c r="A337" s="64"/>
      <c r="B337" s="63"/>
      <c r="C337" s="63"/>
      <c r="D337" s="63"/>
      <c r="E337" s="65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</row>
    <row r="338" spans="1:26" ht="16.5" customHeight="1">
      <c r="A338" s="64"/>
      <c r="B338" s="63"/>
      <c r="C338" s="63"/>
      <c r="D338" s="63"/>
      <c r="E338" s="65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</row>
    <row r="339" spans="1:26" ht="16.5" customHeight="1">
      <c r="A339" s="64"/>
      <c r="B339" s="63"/>
      <c r="C339" s="63"/>
      <c r="D339" s="63"/>
      <c r="E339" s="65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</row>
    <row r="340" spans="1:26" ht="16.5" customHeight="1">
      <c r="A340" s="64"/>
      <c r="B340" s="63"/>
      <c r="C340" s="63"/>
      <c r="D340" s="63"/>
      <c r="E340" s="65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</row>
    <row r="341" spans="1:26" ht="16.5" customHeight="1">
      <c r="A341" s="64"/>
      <c r="B341" s="63"/>
      <c r="C341" s="63"/>
      <c r="D341" s="63"/>
      <c r="E341" s="65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</row>
    <row r="342" spans="1:26" ht="16.5" customHeight="1">
      <c r="A342" s="64"/>
      <c r="B342" s="63"/>
      <c r="C342" s="63"/>
      <c r="D342" s="63"/>
      <c r="E342" s="65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</row>
    <row r="343" spans="1:26" ht="16.5" customHeight="1">
      <c r="A343" s="64"/>
      <c r="B343" s="63"/>
      <c r="C343" s="63"/>
      <c r="D343" s="63"/>
      <c r="E343" s="65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</row>
    <row r="344" spans="1:26" ht="16.5" customHeight="1">
      <c r="A344" s="64"/>
      <c r="B344" s="63"/>
      <c r="C344" s="63"/>
      <c r="D344" s="63"/>
      <c r="E344" s="65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</row>
    <row r="345" spans="1:26" ht="16.5" customHeight="1">
      <c r="A345" s="64"/>
      <c r="B345" s="63"/>
      <c r="C345" s="63"/>
      <c r="D345" s="63"/>
      <c r="E345" s="65"/>
      <c r="F345" s="60"/>
      <c r="G345" s="60"/>
      <c r="H345" s="60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</row>
    <row r="346" spans="1:26" ht="16.5" customHeight="1">
      <c r="A346" s="64"/>
      <c r="B346" s="63"/>
      <c r="C346" s="63"/>
      <c r="D346" s="63"/>
      <c r="E346" s="65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</row>
    <row r="347" spans="1:26" ht="16.5" customHeight="1">
      <c r="A347" s="64"/>
      <c r="B347" s="63"/>
      <c r="C347" s="63"/>
      <c r="D347" s="63"/>
      <c r="E347" s="65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</row>
    <row r="348" spans="1:26" ht="16.5" customHeight="1">
      <c r="A348" s="64"/>
      <c r="B348" s="63"/>
      <c r="C348" s="63"/>
      <c r="D348" s="63"/>
      <c r="E348" s="65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</row>
    <row r="349" spans="1:26" ht="16.5" customHeight="1">
      <c r="A349" s="64"/>
      <c r="B349" s="63"/>
      <c r="C349" s="63"/>
      <c r="D349" s="63"/>
      <c r="E349" s="65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</row>
    <row r="350" spans="1:26" ht="16.5" customHeight="1">
      <c r="A350" s="64"/>
      <c r="B350" s="63"/>
      <c r="C350" s="63"/>
      <c r="D350" s="63"/>
      <c r="E350" s="65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</row>
    <row r="351" spans="1:26" ht="16.5" customHeight="1">
      <c r="A351" s="64"/>
      <c r="B351" s="63"/>
      <c r="C351" s="63"/>
      <c r="D351" s="63"/>
      <c r="E351" s="65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</row>
    <row r="352" spans="1:26" ht="16.5" customHeight="1">
      <c r="A352" s="64"/>
      <c r="B352" s="63"/>
      <c r="C352" s="63"/>
      <c r="D352" s="63"/>
      <c r="E352" s="65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</row>
    <row r="353" spans="1:26" ht="16.5" customHeight="1">
      <c r="A353" s="64"/>
      <c r="B353" s="63"/>
      <c r="C353" s="63"/>
      <c r="D353" s="63"/>
      <c r="E353" s="65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</row>
    <row r="354" spans="1:26" ht="16.5" customHeight="1">
      <c r="A354" s="64"/>
      <c r="B354" s="63"/>
      <c r="C354" s="63"/>
      <c r="D354" s="63"/>
      <c r="E354" s="65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</row>
    <row r="355" spans="1:26" ht="16.5" customHeight="1">
      <c r="A355" s="64"/>
      <c r="B355" s="63"/>
      <c r="C355" s="63"/>
      <c r="D355" s="63"/>
      <c r="E355" s="65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</row>
    <row r="356" spans="1:26" ht="16.5" customHeight="1">
      <c r="A356" s="64"/>
      <c r="B356" s="63"/>
      <c r="C356" s="63"/>
      <c r="D356" s="63"/>
      <c r="E356" s="65"/>
      <c r="F356" s="60"/>
      <c r="G356" s="60"/>
      <c r="H356" s="60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</row>
    <row r="357" spans="1:26" ht="16.5" customHeight="1">
      <c r="A357" s="64"/>
      <c r="B357" s="63"/>
      <c r="C357" s="63"/>
      <c r="D357" s="63"/>
      <c r="E357" s="65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</row>
    <row r="358" spans="1:26" ht="16.5" customHeight="1">
      <c r="A358" s="64"/>
      <c r="B358" s="63"/>
      <c r="C358" s="63"/>
      <c r="D358" s="63"/>
      <c r="E358" s="65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</row>
    <row r="359" spans="1:26" ht="16.5" customHeight="1">
      <c r="A359" s="64"/>
      <c r="B359" s="63"/>
      <c r="C359" s="63"/>
      <c r="D359" s="63"/>
      <c r="E359" s="65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</row>
    <row r="360" spans="1:26" ht="16.5" customHeight="1">
      <c r="A360" s="64"/>
      <c r="B360" s="63"/>
      <c r="C360" s="63"/>
      <c r="D360" s="63"/>
      <c r="E360" s="65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</row>
    <row r="361" spans="1:26" ht="16.5" customHeight="1">
      <c r="A361" s="64"/>
      <c r="B361" s="63"/>
      <c r="C361" s="63"/>
      <c r="D361" s="63"/>
      <c r="E361" s="65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</row>
    <row r="362" spans="1:26" ht="16.5" customHeight="1">
      <c r="A362" s="64"/>
      <c r="B362" s="63"/>
      <c r="C362" s="63"/>
      <c r="D362" s="63"/>
      <c r="E362" s="65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</row>
    <row r="363" spans="1:26" ht="16.5" customHeight="1">
      <c r="A363" s="64"/>
      <c r="B363" s="63"/>
      <c r="C363" s="63"/>
      <c r="D363" s="63"/>
      <c r="E363" s="65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</row>
    <row r="364" spans="1:26" ht="16.5" customHeight="1">
      <c r="A364" s="64"/>
      <c r="B364" s="63"/>
      <c r="C364" s="63"/>
      <c r="D364" s="63"/>
      <c r="E364" s="65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</row>
    <row r="365" spans="1:26" ht="16.5" customHeight="1">
      <c r="A365" s="64"/>
      <c r="B365" s="63"/>
      <c r="C365" s="63"/>
      <c r="D365" s="63"/>
      <c r="E365" s="65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</row>
    <row r="366" spans="1:26" ht="16.5" customHeight="1">
      <c r="A366" s="64"/>
      <c r="B366" s="63"/>
      <c r="C366" s="63"/>
      <c r="D366" s="63"/>
      <c r="E366" s="65"/>
      <c r="F366" s="60"/>
      <c r="G366" s="60"/>
      <c r="H366" s="60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</row>
    <row r="367" spans="1:26" ht="16.5" customHeight="1">
      <c r="A367" s="64"/>
      <c r="B367" s="63"/>
      <c r="C367" s="63"/>
      <c r="D367" s="63"/>
      <c r="E367" s="65"/>
      <c r="F367" s="60"/>
      <c r="G367" s="60"/>
      <c r="H367" s="60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</row>
    <row r="368" spans="1:26" ht="16.5" customHeight="1">
      <c r="A368" s="64"/>
      <c r="B368" s="63"/>
      <c r="C368" s="63"/>
      <c r="D368" s="63"/>
      <c r="E368" s="65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</row>
    <row r="369" spans="1:26" ht="16.5" customHeight="1">
      <c r="A369" s="64"/>
      <c r="B369" s="63"/>
      <c r="C369" s="63"/>
      <c r="D369" s="63"/>
      <c r="E369" s="65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</row>
    <row r="370" spans="1:26" ht="16.5" customHeight="1">
      <c r="A370" s="64"/>
      <c r="B370" s="63"/>
      <c r="C370" s="63"/>
      <c r="D370" s="63"/>
      <c r="E370" s="65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</row>
    <row r="371" spans="1:26" ht="16.5" customHeight="1">
      <c r="A371" s="64"/>
      <c r="B371" s="63"/>
      <c r="C371" s="63"/>
      <c r="D371" s="63"/>
      <c r="E371" s="65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</row>
    <row r="372" spans="1:26" ht="16.5" customHeight="1">
      <c r="A372" s="64"/>
      <c r="B372" s="63"/>
      <c r="C372" s="63"/>
      <c r="D372" s="63"/>
      <c r="E372" s="65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</row>
    <row r="373" spans="1:26" ht="16.5" customHeight="1">
      <c r="A373" s="64"/>
      <c r="B373" s="63"/>
      <c r="C373" s="63"/>
      <c r="D373" s="63"/>
      <c r="E373" s="65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</row>
    <row r="374" spans="1:26" ht="16.5" customHeight="1">
      <c r="A374" s="64"/>
      <c r="B374" s="63"/>
      <c r="C374" s="63"/>
      <c r="D374" s="63"/>
      <c r="E374" s="65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</row>
    <row r="375" spans="1:26" ht="16.5" customHeight="1">
      <c r="A375" s="64"/>
      <c r="B375" s="63"/>
      <c r="C375" s="63"/>
      <c r="D375" s="63"/>
      <c r="E375" s="65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</row>
    <row r="376" spans="1:26" ht="16.5" customHeight="1">
      <c r="A376" s="64"/>
      <c r="B376" s="63"/>
      <c r="C376" s="63"/>
      <c r="D376" s="63"/>
      <c r="E376" s="65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</row>
    <row r="377" spans="1:26" ht="16.5" customHeight="1">
      <c r="A377" s="64"/>
      <c r="B377" s="63"/>
      <c r="C377" s="63"/>
      <c r="D377" s="63"/>
      <c r="E377" s="65"/>
      <c r="F377" s="60"/>
      <c r="G377" s="60"/>
      <c r="H377" s="60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</row>
    <row r="378" spans="1:26" ht="16.5" customHeight="1">
      <c r="A378" s="64"/>
      <c r="B378" s="63"/>
      <c r="C378" s="63"/>
      <c r="D378" s="63"/>
      <c r="E378" s="65"/>
      <c r="F378" s="60"/>
      <c r="G378" s="60"/>
      <c r="H378" s="60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</row>
    <row r="379" spans="1:26" ht="16.5" customHeight="1">
      <c r="A379" s="64"/>
      <c r="B379" s="63"/>
      <c r="C379" s="63"/>
      <c r="D379" s="63"/>
      <c r="E379" s="65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</row>
    <row r="380" spans="1:26" ht="16.5" customHeight="1">
      <c r="A380" s="64"/>
      <c r="B380" s="63"/>
      <c r="C380" s="63"/>
      <c r="D380" s="63"/>
      <c r="E380" s="65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</row>
    <row r="381" spans="1:26" ht="16.5" customHeight="1">
      <c r="A381" s="64"/>
      <c r="B381" s="63"/>
      <c r="C381" s="63"/>
      <c r="D381" s="63"/>
      <c r="E381" s="65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</row>
    <row r="382" spans="1:26" ht="16.5" customHeight="1">
      <c r="A382" s="64"/>
      <c r="B382" s="63"/>
      <c r="C382" s="63"/>
      <c r="D382" s="63"/>
      <c r="E382" s="65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</row>
    <row r="383" spans="1:26" ht="16.5" customHeight="1">
      <c r="A383" s="64"/>
      <c r="B383" s="63"/>
      <c r="C383" s="63"/>
      <c r="D383" s="63"/>
      <c r="E383" s="65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</row>
    <row r="384" spans="1:26" ht="16.5" customHeight="1">
      <c r="A384" s="64"/>
      <c r="B384" s="63"/>
      <c r="C384" s="63"/>
      <c r="D384" s="63"/>
      <c r="E384" s="65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</row>
    <row r="385" spans="1:26" ht="16.5" customHeight="1">
      <c r="A385" s="64"/>
      <c r="B385" s="63"/>
      <c r="C385" s="63"/>
      <c r="D385" s="63"/>
      <c r="E385" s="65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</row>
    <row r="386" spans="1:26" ht="16.5" customHeight="1">
      <c r="A386" s="64"/>
      <c r="B386" s="63"/>
      <c r="C386" s="63"/>
      <c r="D386" s="63"/>
      <c r="E386" s="65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</row>
    <row r="387" spans="1:26" ht="16.5" customHeight="1">
      <c r="A387" s="64"/>
      <c r="B387" s="63"/>
      <c r="C387" s="63"/>
      <c r="D387" s="63"/>
      <c r="E387" s="65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</row>
    <row r="388" spans="1:26" ht="16.5" customHeight="1">
      <c r="A388" s="64"/>
      <c r="B388" s="63"/>
      <c r="C388" s="63"/>
      <c r="D388" s="63"/>
      <c r="E388" s="65"/>
      <c r="F388" s="60"/>
      <c r="G388" s="60"/>
      <c r="H388" s="60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</row>
    <row r="389" spans="1:26" ht="16.5" customHeight="1">
      <c r="A389" s="64"/>
      <c r="B389" s="63"/>
      <c r="C389" s="63"/>
      <c r="D389" s="63"/>
      <c r="E389" s="65"/>
      <c r="F389" s="60"/>
      <c r="G389" s="60"/>
      <c r="H389" s="60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</row>
    <row r="390" spans="1:26" ht="16.5" customHeight="1">
      <c r="A390" s="64"/>
      <c r="B390" s="63"/>
      <c r="C390" s="63"/>
      <c r="D390" s="63"/>
      <c r="E390" s="65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</row>
    <row r="391" spans="1:26" ht="16.5" customHeight="1">
      <c r="A391" s="64"/>
      <c r="B391" s="63"/>
      <c r="C391" s="63"/>
      <c r="D391" s="63"/>
      <c r="E391" s="65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</row>
    <row r="392" spans="1:26" ht="16.5" customHeight="1">
      <c r="A392" s="64"/>
      <c r="B392" s="63"/>
      <c r="C392" s="63"/>
      <c r="D392" s="63"/>
      <c r="E392" s="65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</row>
    <row r="393" spans="1:26" ht="16.5" customHeight="1">
      <c r="A393" s="64"/>
      <c r="B393" s="63"/>
      <c r="C393" s="63"/>
      <c r="D393" s="63"/>
      <c r="E393" s="65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</row>
    <row r="394" spans="1:26" ht="16.5" customHeight="1">
      <c r="A394" s="64"/>
      <c r="B394" s="63"/>
      <c r="C394" s="63"/>
      <c r="D394" s="63"/>
      <c r="E394" s="65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</row>
    <row r="395" spans="1:26" ht="16.5" customHeight="1">
      <c r="A395" s="64"/>
      <c r="B395" s="63"/>
      <c r="C395" s="63"/>
      <c r="D395" s="63"/>
      <c r="E395" s="65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</row>
    <row r="396" spans="1:26" ht="16.5" customHeight="1">
      <c r="A396" s="64"/>
      <c r="B396" s="63"/>
      <c r="C396" s="63"/>
      <c r="D396" s="63"/>
      <c r="E396" s="65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</row>
    <row r="397" spans="1:26" ht="16.5" customHeight="1">
      <c r="A397" s="64"/>
      <c r="B397" s="63"/>
      <c r="C397" s="63"/>
      <c r="D397" s="63"/>
      <c r="E397" s="65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</row>
    <row r="398" spans="1:26" ht="16.5" customHeight="1">
      <c r="A398" s="64"/>
      <c r="B398" s="63"/>
      <c r="C398" s="63"/>
      <c r="D398" s="63"/>
      <c r="E398" s="65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</row>
    <row r="399" spans="1:26" ht="16.5" customHeight="1">
      <c r="A399" s="64"/>
      <c r="B399" s="63"/>
      <c r="C399" s="63"/>
      <c r="D399" s="63"/>
      <c r="E399" s="65"/>
      <c r="F399" s="60"/>
      <c r="G399" s="60"/>
      <c r="H399" s="60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</row>
    <row r="400" spans="1:26" ht="16.5" customHeight="1">
      <c r="A400" s="64"/>
      <c r="B400" s="63"/>
      <c r="C400" s="63"/>
      <c r="D400" s="63"/>
      <c r="E400" s="65"/>
      <c r="F400" s="60"/>
      <c r="G400" s="60"/>
      <c r="H400" s="60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</row>
    <row r="401" spans="1:26" ht="16.5" customHeight="1">
      <c r="A401" s="64"/>
      <c r="B401" s="63"/>
      <c r="C401" s="63"/>
      <c r="D401" s="63"/>
      <c r="E401" s="65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</row>
    <row r="402" spans="1:26" ht="16.5" customHeight="1">
      <c r="A402" s="64"/>
      <c r="B402" s="63"/>
      <c r="C402" s="63"/>
      <c r="D402" s="63"/>
      <c r="E402" s="65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</row>
    <row r="403" spans="1:26" ht="16.5" customHeight="1">
      <c r="A403" s="64"/>
      <c r="B403" s="63"/>
      <c r="C403" s="63"/>
      <c r="D403" s="63"/>
      <c r="E403" s="65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</row>
    <row r="404" spans="1:26" ht="16.5" customHeight="1">
      <c r="A404" s="64"/>
      <c r="B404" s="63"/>
      <c r="C404" s="63"/>
      <c r="D404" s="63"/>
      <c r="E404" s="65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</row>
    <row r="405" spans="1:26" ht="16.5" customHeight="1">
      <c r="A405" s="64"/>
      <c r="B405" s="63"/>
      <c r="C405" s="63"/>
      <c r="D405" s="63"/>
      <c r="E405" s="65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</row>
    <row r="406" spans="1:26" ht="16.5" customHeight="1">
      <c r="A406" s="64"/>
      <c r="B406" s="63"/>
      <c r="C406" s="63"/>
      <c r="D406" s="63"/>
      <c r="E406" s="65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</row>
    <row r="407" spans="1:26" ht="16.5" customHeight="1">
      <c r="A407" s="64"/>
      <c r="B407" s="63"/>
      <c r="C407" s="63"/>
      <c r="D407" s="63"/>
      <c r="E407" s="65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</row>
    <row r="408" spans="1:26" ht="16.5" customHeight="1">
      <c r="A408" s="64"/>
      <c r="B408" s="63"/>
      <c r="C408" s="63"/>
      <c r="D408" s="63"/>
      <c r="E408" s="65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</row>
    <row r="409" spans="1:26" ht="16.5" customHeight="1">
      <c r="A409" s="64"/>
      <c r="B409" s="63"/>
      <c r="C409" s="63"/>
      <c r="D409" s="63"/>
      <c r="E409" s="65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</row>
    <row r="410" spans="1:26" ht="16.5" customHeight="1">
      <c r="A410" s="64"/>
      <c r="B410" s="63"/>
      <c r="C410" s="63"/>
      <c r="D410" s="63"/>
      <c r="E410" s="65"/>
      <c r="F410" s="60"/>
      <c r="G410" s="60"/>
      <c r="H410" s="60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</row>
    <row r="411" spans="1:26" ht="16.5" customHeight="1">
      <c r="A411" s="64"/>
      <c r="B411" s="63"/>
      <c r="C411" s="63"/>
      <c r="D411" s="63"/>
      <c r="E411" s="65"/>
      <c r="F411" s="60"/>
      <c r="G411" s="60"/>
      <c r="H411" s="60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</row>
    <row r="412" spans="1:26" ht="16.5" customHeight="1">
      <c r="A412" s="64"/>
      <c r="B412" s="63"/>
      <c r="C412" s="63"/>
      <c r="D412" s="63"/>
      <c r="E412" s="65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</row>
    <row r="413" spans="1:26" ht="16.5" customHeight="1">
      <c r="A413" s="64"/>
      <c r="B413" s="63"/>
      <c r="C413" s="63"/>
      <c r="D413" s="63"/>
      <c r="E413" s="65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</row>
    <row r="414" spans="1:26" ht="16.5" customHeight="1">
      <c r="A414" s="64"/>
      <c r="B414" s="63"/>
      <c r="C414" s="63"/>
      <c r="D414" s="63"/>
      <c r="E414" s="65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</row>
    <row r="415" spans="1:26" ht="16.5" customHeight="1">
      <c r="A415" s="64"/>
      <c r="B415" s="63"/>
      <c r="C415" s="63"/>
      <c r="D415" s="63"/>
      <c r="E415" s="65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</row>
    <row r="416" spans="1:26" ht="16.5" customHeight="1">
      <c r="A416" s="64"/>
      <c r="B416" s="63"/>
      <c r="C416" s="63"/>
      <c r="D416" s="63"/>
      <c r="E416" s="65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</row>
    <row r="417" spans="1:26" ht="16.5" customHeight="1">
      <c r="A417" s="64"/>
      <c r="B417" s="63"/>
      <c r="C417" s="63"/>
      <c r="D417" s="63"/>
      <c r="E417" s="65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</row>
    <row r="418" spans="1:26" ht="16.5" customHeight="1">
      <c r="A418" s="64"/>
      <c r="B418" s="63"/>
      <c r="C418" s="63"/>
      <c r="D418" s="63"/>
      <c r="E418" s="65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</row>
    <row r="419" spans="1:26" ht="16.5" customHeight="1">
      <c r="A419" s="64"/>
      <c r="B419" s="63"/>
      <c r="C419" s="63"/>
      <c r="D419" s="63"/>
      <c r="E419" s="65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</row>
    <row r="420" spans="1:26" ht="16.5" customHeight="1">
      <c r="A420" s="64"/>
      <c r="B420" s="63"/>
      <c r="C420" s="63"/>
      <c r="D420" s="63"/>
      <c r="E420" s="65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</row>
    <row r="421" spans="1:26" ht="16.5" customHeight="1">
      <c r="A421" s="64"/>
      <c r="B421" s="63"/>
      <c r="C421" s="63"/>
      <c r="D421" s="63"/>
      <c r="E421" s="65"/>
      <c r="F421" s="60"/>
      <c r="G421" s="60"/>
      <c r="H421" s="60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</row>
    <row r="422" spans="1:26" ht="16.5" customHeight="1">
      <c r="A422" s="64"/>
      <c r="B422" s="63"/>
      <c r="C422" s="63"/>
      <c r="D422" s="63"/>
      <c r="E422" s="65"/>
      <c r="F422" s="60"/>
      <c r="G422" s="60"/>
      <c r="H422" s="60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</row>
    <row r="423" spans="1:26" ht="16.5" customHeight="1">
      <c r="A423" s="64"/>
      <c r="B423" s="63"/>
      <c r="C423" s="63"/>
      <c r="D423" s="63"/>
      <c r="E423" s="65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</row>
    <row r="424" spans="1:26" ht="16.5" customHeight="1">
      <c r="A424" s="64"/>
      <c r="B424" s="63"/>
      <c r="C424" s="63"/>
      <c r="D424" s="63"/>
      <c r="E424" s="65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</row>
    <row r="425" spans="1:26" ht="16.5" customHeight="1">
      <c r="A425" s="64"/>
      <c r="B425" s="63"/>
      <c r="C425" s="63"/>
      <c r="D425" s="63"/>
      <c r="E425" s="65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</row>
    <row r="426" spans="1:26" ht="16.5" customHeight="1">
      <c r="A426" s="64"/>
      <c r="B426" s="63"/>
      <c r="C426" s="63"/>
      <c r="D426" s="63"/>
      <c r="E426" s="65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</row>
    <row r="427" spans="1:26" ht="16.5" customHeight="1">
      <c r="A427" s="64"/>
      <c r="B427" s="63"/>
      <c r="C427" s="63"/>
      <c r="D427" s="63"/>
      <c r="E427" s="65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</row>
    <row r="428" spans="1:26" ht="16.5" customHeight="1">
      <c r="A428" s="64"/>
      <c r="B428" s="63"/>
      <c r="C428" s="63"/>
      <c r="D428" s="63"/>
      <c r="E428" s="65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</row>
    <row r="429" spans="1:26" ht="16.5" customHeight="1">
      <c r="A429" s="64"/>
      <c r="B429" s="63"/>
      <c r="C429" s="63"/>
      <c r="D429" s="63"/>
      <c r="E429" s="65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</row>
    <row r="430" spans="1:26" ht="16.5" customHeight="1">
      <c r="A430" s="64"/>
      <c r="B430" s="63"/>
      <c r="C430" s="63"/>
      <c r="D430" s="63"/>
      <c r="E430" s="65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</row>
    <row r="431" spans="1:26" ht="16.5" customHeight="1">
      <c r="A431" s="64"/>
      <c r="B431" s="63"/>
      <c r="C431" s="63"/>
      <c r="D431" s="63"/>
      <c r="E431" s="65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</row>
    <row r="432" spans="1:26" ht="16.5" customHeight="1">
      <c r="A432" s="64"/>
      <c r="B432" s="63"/>
      <c r="C432" s="63"/>
      <c r="D432" s="63"/>
      <c r="E432" s="65"/>
      <c r="F432" s="60"/>
      <c r="G432" s="60"/>
      <c r="H432" s="60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</row>
    <row r="433" spans="1:26" ht="16.5" customHeight="1">
      <c r="A433" s="64"/>
      <c r="B433" s="63"/>
      <c r="C433" s="63"/>
      <c r="D433" s="63"/>
      <c r="E433" s="65"/>
      <c r="F433" s="60"/>
      <c r="G433" s="60"/>
      <c r="H433" s="60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</row>
    <row r="434" spans="1:26" ht="16.5" customHeight="1">
      <c r="A434" s="64"/>
      <c r="B434" s="63"/>
      <c r="C434" s="63"/>
      <c r="D434" s="63"/>
      <c r="E434" s="65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</row>
    <row r="435" spans="1:26" ht="16.5" customHeight="1">
      <c r="A435" s="64"/>
      <c r="B435" s="63"/>
      <c r="C435" s="63"/>
      <c r="D435" s="63"/>
      <c r="E435" s="65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</row>
    <row r="436" spans="1:26" ht="16.5" customHeight="1">
      <c r="A436" s="64"/>
      <c r="B436" s="63"/>
      <c r="C436" s="63"/>
      <c r="D436" s="63"/>
      <c r="E436" s="65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</row>
    <row r="437" spans="1:26" ht="16.5" customHeight="1">
      <c r="A437" s="64"/>
      <c r="B437" s="63"/>
      <c r="C437" s="63"/>
      <c r="D437" s="63"/>
      <c r="E437" s="65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</row>
    <row r="438" spans="1:26" ht="16.5" customHeight="1">
      <c r="A438" s="64"/>
      <c r="B438" s="63"/>
      <c r="C438" s="63"/>
      <c r="D438" s="63"/>
      <c r="E438" s="65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</row>
    <row r="439" spans="1:26" ht="16.5" customHeight="1">
      <c r="A439" s="64"/>
      <c r="B439" s="63"/>
      <c r="C439" s="63"/>
      <c r="D439" s="63"/>
      <c r="E439" s="65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</row>
    <row r="440" spans="1:26" ht="16.5" customHeight="1">
      <c r="A440" s="64"/>
      <c r="B440" s="63"/>
      <c r="C440" s="63"/>
      <c r="D440" s="63"/>
      <c r="E440" s="65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</row>
    <row r="441" spans="1:26" ht="16.5" customHeight="1">
      <c r="A441" s="64"/>
      <c r="B441" s="63"/>
      <c r="C441" s="63"/>
      <c r="D441" s="63"/>
      <c r="E441" s="65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</row>
    <row r="442" spans="1:26" ht="16.5" customHeight="1">
      <c r="A442" s="64"/>
      <c r="B442" s="63"/>
      <c r="C442" s="63"/>
      <c r="D442" s="63"/>
      <c r="E442" s="65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</row>
    <row r="443" spans="1:26" ht="16.5" customHeight="1">
      <c r="A443" s="64"/>
      <c r="B443" s="63"/>
      <c r="C443" s="63"/>
      <c r="D443" s="63"/>
      <c r="E443" s="65"/>
      <c r="F443" s="60"/>
      <c r="G443" s="60"/>
      <c r="H443" s="60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</row>
    <row r="444" spans="1:26" ht="16.5" customHeight="1">
      <c r="A444" s="64"/>
      <c r="B444" s="63"/>
      <c r="C444" s="63"/>
      <c r="D444" s="63"/>
      <c r="E444" s="65"/>
      <c r="F444" s="60"/>
      <c r="G444" s="60"/>
      <c r="H444" s="60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</row>
    <row r="445" spans="1:26" ht="16.5" customHeight="1">
      <c r="A445" s="64"/>
      <c r="B445" s="63"/>
      <c r="C445" s="63"/>
      <c r="D445" s="63"/>
      <c r="E445" s="65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</row>
    <row r="446" spans="1:26" ht="16.5" customHeight="1">
      <c r="A446" s="64"/>
      <c r="B446" s="63"/>
      <c r="C446" s="63"/>
      <c r="D446" s="63"/>
      <c r="E446" s="65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</row>
    <row r="447" spans="1:26" ht="16.5" customHeight="1">
      <c r="A447" s="64"/>
      <c r="B447" s="63"/>
      <c r="C447" s="63"/>
      <c r="D447" s="63"/>
      <c r="E447" s="65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</row>
    <row r="448" spans="1:26" ht="16.5" customHeight="1">
      <c r="A448" s="64"/>
      <c r="B448" s="63"/>
      <c r="C448" s="63"/>
      <c r="D448" s="63"/>
      <c r="E448" s="65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</row>
    <row r="449" spans="1:26" ht="16.5" customHeight="1">
      <c r="A449" s="64"/>
      <c r="B449" s="63"/>
      <c r="C449" s="63"/>
      <c r="D449" s="63"/>
      <c r="E449" s="65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</row>
    <row r="450" spans="1:26" ht="16.5" customHeight="1">
      <c r="A450" s="64"/>
      <c r="B450" s="63"/>
      <c r="C450" s="63"/>
      <c r="D450" s="63"/>
      <c r="E450" s="65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</row>
    <row r="451" spans="1:26" ht="16.5" customHeight="1">
      <c r="A451" s="64"/>
      <c r="B451" s="63"/>
      <c r="C451" s="63"/>
      <c r="D451" s="63"/>
      <c r="E451" s="65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</row>
    <row r="452" spans="1:26" ht="16.5" customHeight="1">
      <c r="A452" s="64"/>
      <c r="B452" s="63"/>
      <c r="C452" s="63"/>
      <c r="D452" s="63"/>
      <c r="E452" s="65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</row>
    <row r="453" spans="1:26" ht="16.5" customHeight="1">
      <c r="A453" s="64"/>
      <c r="B453" s="63"/>
      <c r="C453" s="63"/>
      <c r="D453" s="63"/>
      <c r="E453" s="65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</row>
    <row r="454" spans="1:26" ht="16.5" customHeight="1">
      <c r="A454" s="64"/>
      <c r="B454" s="63"/>
      <c r="C454" s="63"/>
      <c r="D454" s="63"/>
      <c r="E454" s="65"/>
      <c r="F454" s="60"/>
      <c r="G454" s="60"/>
      <c r="H454" s="60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</row>
    <row r="455" spans="1:26" ht="16.5" customHeight="1">
      <c r="A455" s="64"/>
      <c r="B455" s="63"/>
      <c r="C455" s="63"/>
      <c r="D455" s="63"/>
      <c r="E455" s="65"/>
      <c r="F455" s="60"/>
      <c r="G455" s="60"/>
      <c r="H455" s="60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</row>
    <row r="456" spans="1:26" ht="16.5" customHeight="1">
      <c r="A456" s="64"/>
      <c r="B456" s="63"/>
      <c r="C456" s="63"/>
      <c r="D456" s="63"/>
      <c r="E456" s="65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</row>
    <row r="457" spans="1:26" ht="16.5" customHeight="1">
      <c r="A457" s="64"/>
      <c r="B457" s="63"/>
      <c r="C457" s="63"/>
      <c r="D457" s="63"/>
      <c r="E457" s="65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</row>
    <row r="458" spans="1:26" ht="16.5" customHeight="1">
      <c r="A458" s="64"/>
      <c r="B458" s="63"/>
      <c r="C458" s="63"/>
      <c r="D458" s="63"/>
      <c r="E458" s="65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</row>
    <row r="459" spans="1:26" ht="16.5" customHeight="1">
      <c r="A459" s="64"/>
      <c r="B459" s="63"/>
      <c r="C459" s="63"/>
      <c r="D459" s="63"/>
      <c r="E459" s="65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</row>
    <row r="460" spans="1:26" ht="16.5" customHeight="1">
      <c r="A460" s="64"/>
      <c r="B460" s="63"/>
      <c r="C460" s="63"/>
      <c r="D460" s="63"/>
      <c r="E460" s="65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</row>
    <row r="461" spans="1:26" ht="16.5" customHeight="1">
      <c r="A461" s="64"/>
      <c r="B461" s="63"/>
      <c r="C461" s="63"/>
      <c r="D461" s="63"/>
      <c r="E461" s="65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</row>
    <row r="462" spans="1:26" ht="16.5" customHeight="1">
      <c r="A462" s="64"/>
      <c r="B462" s="63"/>
      <c r="C462" s="63"/>
      <c r="D462" s="63"/>
      <c r="E462" s="65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</row>
    <row r="463" spans="1:26" ht="16.5" customHeight="1">
      <c r="A463" s="64"/>
      <c r="B463" s="63"/>
      <c r="C463" s="63"/>
      <c r="D463" s="63"/>
      <c r="E463" s="65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</row>
    <row r="464" spans="1:26" ht="16.5" customHeight="1">
      <c r="A464" s="64"/>
      <c r="B464" s="63"/>
      <c r="C464" s="63"/>
      <c r="D464" s="63"/>
      <c r="E464" s="65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</row>
    <row r="465" spans="1:26" ht="16.5" customHeight="1">
      <c r="A465" s="64"/>
      <c r="B465" s="63"/>
      <c r="C465" s="63"/>
      <c r="D465" s="63"/>
      <c r="E465" s="65"/>
      <c r="F465" s="60"/>
      <c r="G465" s="60"/>
      <c r="H465" s="60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</row>
    <row r="466" spans="1:26" ht="16.5" customHeight="1">
      <c r="A466" s="64"/>
      <c r="B466" s="63"/>
      <c r="C466" s="63"/>
      <c r="D466" s="63"/>
      <c r="E466" s="65"/>
      <c r="F466" s="60"/>
      <c r="G466" s="60"/>
      <c r="H466" s="60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</row>
    <row r="467" spans="1:26" ht="16.5" customHeight="1">
      <c r="A467" s="64"/>
      <c r="B467" s="63"/>
      <c r="C467" s="63"/>
      <c r="D467" s="63"/>
      <c r="E467" s="65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</row>
    <row r="468" spans="1:26" ht="16.5" customHeight="1">
      <c r="A468" s="64"/>
      <c r="B468" s="63"/>
      <c r="C468" s="63"/>
      <c r="D468" s="63"/>
      <c r="E468" s="65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</row>
    <row r="469" spans="1:26" ht="16.5" customHeight="1">
      <c r="A469" s="64"/>
      <c r="B469" s="63"/>
      <c r="C469" s="63"/>
      <c r="D469" s="63"/>
      <c r="E469" s="65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</row>
    <row r="470" spans="1:26" ht="16.5" customHeight="1">
      <c r="A470" s="64"/>
      <c r="B470" s="63"/>
      <c r="C470" s="63"/>
      <c r="D470" s="63"/>
      <c r="E470" s="65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</row>
    <row r="471" spans="1:26" ht="16.5" customHeight="1">
      <c r="A471" s="64"/>
      <c r="B471" s="63"/>
      <c r="C471" s="63"/>
      <c r="D471" s="63"/>
      <c r="E471" s="65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</row>
    <row r="472" spans="1:26" ht="16.5" customHeight="1">
      <c r="A472" s="64"/>
      <c r="B472" s="63"/>
      <c r="C472" s="63"/>
      <c r="D472" s="63"/>
      <c r="E472" s="65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</row>
    <row r="473" spans="1:26" ht="16.5" customHeight="1">
      <c r="A473" s="64"/>
      <c r="B473" s="63"/>
      <c r="C473" s="63"/>
      <c r="D473" s="63"/>
      <c r="E473" s="65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</row>
    <row r="474" spans="1:26" ht="16.5" customHeight="1">
      <c r="A474" s="64"/>
      <c r="B474" s="63"/>
      <c r="C474" s="63"/>
      <c r="D474" s="63"/>
      <c r="E474" s="65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</row>
    <row r="475" spans="1:26" ht="16.5" customHeight="1">
      <c r="A475" s="64"/>
      <c r="B475" s="63"/>
      <c r="C475" s="63"/>
      <c r="D475" s="63"/>
      <c r="E475" s="65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</row>
    <row r="476" spans="1:26" ht="16.5" customHeight="1">
      <c r="A476" s="64"/>
      <c r="B476" s="63"/>
      <c r="C476" s="63"/>
      <c r="D476" s="63"/>
      <c r="E476" s="65"/>
      <c r="F476" s="60"/>
      <c r="G476" s="60"/>
      <c r="H476" s="60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</row>
    <row r="477" spans="1:26" ht="16.5" customHeight="1">
      <c r="A477" s="64"/>
      <c r="B477" s="63"/>
      <c r="C477" s="63"/>
      <c r="D477" s="63"/>
      <c r="E477" s="65"/>
      <c r="F477" s="60"/>
      <c r="G477" s="60"/>
      <c r="H477" s="60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</row>
    <row r="478" spans="1:26" ht="16.5" customHeight="1">
      <c r="A478" s="64"/>
      <c r="B478" s="63"/>
      <c r="C478" s="63"/>
      <c r="D478" s="63"/>
      <c r="E478" s="65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</row>
    <row r="479" spans="1:26" ht="16.5" customHeight="1">
      <c r="A479" s="64"/>
      <c r="B479" s="63"/>
      <c r="C479" s="63"/>
      <c r="D479" s="63"/>
      <c r="E479" s="65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</row>
    <row r="480" spans="1:26" ht="16.5" customHeight="1">
      <c r="A480" s="64"/>
      <c r="B480" s="63"/>
      <c r="C480" s="63"/>
      <c r="D480" s="63"/>
      <c r="E480" s="65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</row>
    <row r="481" spans="1:26" ht="16.5" customHeight="1">
      <c r="A481" s="64"/>
      <c r="B481" s="63"/>
      <c r="C481" s="63"/>
      <c r="D481" s="63"/>
      <c r="E481" s="65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</row>
    <row r="482" spans="1:26" ht="16.5" customHeight="1">
      <c r="A482" s="64"/>
      <c r="B482" s="63"/>
      <c r="C482" s="63"/>
      <c r="D482" s="63"/>
      <c r="E482" s="65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</row>
    <row r="483" spans="1:26" ht="16.5" customHeight="1">
      <c r="A483" s="64"/>
      <c r="B483" s="63"/>
      <c r="C483" s="63"/>
      <c r="D483" s="63"/>
      <c r="E483" s="65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</row>
    <row r="484" spans="1:26" ht="16.5" customHeight="1">
      <c r="A484" s="64"/>
      <c r="B484" s="63"/>
      <c r="C484" s="63"/>
      <c r="D484" s="63"/>
      <c r="E484" s="65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</row>
    <row r="485" spans="1:26" ht="16.5" customHeight="1">
      <c r="A485" s="64"/>
      <c r="B485" s="63"/>
      <c r="C485" s="63"/>
      <c r="D485" s="63"/>
      <c r="E485" s="65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</row>
    <row r="486" spans="1:26" ht="16.5" customHeight="1">
      <c r="A486" s="64"/>
      <c r="B486" s="63"/>
      <c r="C486" s="63"/>
      <c r="D486" s="63"/>
      <c r="E486" s="65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</row>
    <row r="487" spans="1:26" ht="16.5" customHeight="1">
      <c r="A487" s="64"/>
      <c r="B487" s="63"/>
      <c r="C487" s="63"/>
      <c r="D487" s="63"/>
      <c r="E487" s="65"/>
      <c r="F487" s="60"/>
      <c r="G487" s="60"/>
      <c r="H487" s="60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</row>
    <row r="488" spans="1:26" ht="16.5" customHeight="1">
      <c r="A488" s="64"/>
      <c r="B488" s="63"/>
      <c r="C488" s="63"/>
      <c r="D488" s="63"/>
      <c r="E488" s="65"/>
      <c r="F488" s="60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</row>
    <row r="489" spans="1:26" ht="16.5" customHeight="1">
      <c r="A489" s="64"/>
      <c r="B489" s="63"/>
      <c r="C489" s="63"/>
      <c r="D489" s="63"/>
      <c r="E489" s="65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</row>
    <row r="490" spans="1:26" ht="16.5" customHeight="1">
      <c r="A490" s="64"/>
      <c r="B490" s="63"/>
      <c r="C490" s="63"/>
      <c r="D490" s="63"/>
      <c r="E490" s="65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</row>
    <row r="491" spans="1:26" ht="16.5" customHeight="1">
      <c r="A491" s="64"/>
      <c r="B491" s="63"/>
      <c r="C491" s="63"/>
      <c r="D491" s="63"/>
      <c r="E491" s="65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</row>
    <row r="492" spans="1:26" ht="16.5" customHeight="1">
      <c r="A492" s="64"/>
      <c r="B492" s="63"/>
      <c r="C492" s="63"/>
      <c r="D492" s="63"/>
      <c r="E492" s="65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</row>
    <row r="493" spans="1:26" ht="16.5" customHeight="1">
      <c r="A493" s="64"/>
      <c r="B493" s="63"/>
      <c r="C493" s="63"/>
      <c r="D493" s="63"/>
      <c r="E493" s="65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</row>
    <row r="494" spans="1:26" ht="16.5" customHeight="1">
      <c r="A494" s="64"/>
      <c r="B494" s="63"/>
      <c r="C494" s="63"/>
      <c r="D494" s="63"/>
      <c r="E494" s="65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</row>
    <row r="495" spans="1:26" ht="16.5" customHeight="1">
      <c r="A495" s="64"/>
      <c r="B495" s="63"/>
      <c r="C495" s="63"/>
      <c r="D495" s="63"/>
      <c r="E495" s="65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</row>
    <row r="496" spans="1:26" ht="16.5" customHeight="1">
      <c r="A496" s="64"/>
      <c r="B496" s="63"/>
      <c r="C496" s="63"/>
      <c r="D496" s="63"/>
      <c r="E496" s="65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</row>
    <row r="497" spans="1:26" ht="16.5" customHeight="1">
      <c r="A497" s="64"/>
      <c r="B497" s="63"/>
      <c r="C497" s="63"/>
      <c r="D497" s="63"/>
      <c r="E497" s="65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</row>
    <row r="498" spans="1:26" ht="16.5" customHeight="1">
      <c r="A498" s="64"/>
      <c r="B498" s="63"/>
      <c r="C498" s="63"/>
      <c r="D498" s="63"/>
      <c r="E498" s="65"/>
      <c r="F498" s="60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</row>
    <row r="499" spans="1:26" ht="16.5" customHeight="1">
      <c r="A499" s="64"/>
      <c r="B499" s="63"/>
      <c r="C499" s="63"/>
      <c r="D499" s="63"/>
      <c r="E499" s="65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</row>
    <row r="500" spans="1:26" ht="16.5" customHeight="1">
      <c r="A500" s="64"/>
      <c r="B500" s="63"/>
      <c r="C500" s="63"/>
      <c r="D500" s="63"/>
      <c r="E500" s="65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</row>
    <row r="501" spans="1:26" ht="16.5" customHeight="1">
      <c r="A501" s="64"/>
      <c r="B501" s="63"/>
      <c r="C501" s="63"/>
      <c r="D501" s="63"/>
      <c r="E501" s="65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</row>
    <row r="502" spans="1:26" ht="16.5" customHeight="1">
      <c r="A502" s="64"/>
      <c r="B502" s="63"/>
      <c r="C502" s="63"/>
      <c r="D502" s="63"/>
      <c r="E502" s="65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</row>
    <row r="503" spans="1:26" ht="16.5" customHeight="1">
      <c r="A503" s="64"/>
      <c r="B503" s="63"/>
      <c r="C503" s="63"/>
      <c r="D503" s="63"/>
      <c r="E503" s="65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</row>
    <row r="504" spans="1:26" ht="16.5" customHeight="1">
      <c r="A504" s="64"/>
      <c r="B504" s="63"/>
      <c r="C504" s="63"/>
      <c r="D504" s="63"/>
      <c r="E504" s="65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</row>
    <row r="505" spans="1:26" ht="16.5" customHeight="1">
      <c r="A505" s="64"/>
      <c r="B505" s="63"/>
      <c r="C505" s="63"/>
      <c r="D505" s="63"/>
      <c r="E505" s="65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</row>
    <row r="506" spans="1:26" ht="16.5" customHeight="1">
      <c r="A506" s="64"/>
      <c r="B506" s="63"/>
      <c r="C506" s="63"/>
      <c r="D506" s="63"/>
      <c r="E506" s="65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</row>
    <row r="507" spans="1:26" ht="16.5" customHeight="1">
      <c r="A507" s="64"/>
      <c r="B507" s="63"/>
      <c r="C507" s="63"/>
      <c r="D507" s="63"/>
      <c r="E507" s="65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</row>
    <row r="508" spans="1:26" ht="16.5" customHeight="1">
      <c r="A508" s="64"/>
      <c r="B508" s="63"/>
      <c r="C508" s="63"/>
      <c r="D508" s="63"/>
      <c r="E508" s="65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</row>
    <row r="509" spans="1:26" ht="16.5" customHeight="1">
      <c r="A509" s="64"/>
      <c r="B509" s="63"/>
      <c r="C509" s="63"/>
      <c r="D509" s="63"/>
      <c r="E509" s="65"/>
      <c r="F509" s="60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</row>
    <row r="510" spans="1:26" ht="16.5" customHeight="1">
      <c r="A510" s="64"/>
      <c r="B510" s="63"/>
      <c r="C510" s="63"/>
      <c r="D510" s="63"/>
      <c r="E510" s="65"/>
      <c r="F510" s="60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</row>
    <row r="511" spans="1:26" ht="16.5" customHeight="1">
      <c r="A511" s="64"/>
      <c r="B511" s="63"/>
      <c r="C511" s="63"/>
      <c r="D511" s="63"/>
      <c r="E511" s="65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</row>
    <row r="512" spans="1:26" ht="16.5" customHeight="1">
      <c r="A512" s="64"/>
      <c r="B512" s="63"/>
      <c r="C512" s="63"/>
      <c r="D512" s="63"/>
      <c r="E512" s="65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</row>
    <row r="513" spans="1:26" ht="16.5" customHeight="1">
      <c r="A513" s="64"/>
      <c r="B513" s="63"/>
      <c r="C513" s="63"/>
      <c r="D513" s="63"/>
      <c r="E513" s="65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</row>
    <row r="514" spans="1:26" ht="16.5" customHeight="1">
      <c r="A514" s="64"/>
      <c r="B514" s="63"/>
      <c r="C514" s="63"/>
      <c r="D514" s="63"/>
      <c r="E514" s="65"/>
      <c r="F514" s="60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</row>
    <row r="515" spans="1:26" ht="16.5" customHeight="1">
      <c r="A515" s="64"/>
      <c r="B515" s="63"/>
      <c r="C515" s="63"/>
      <c r="D515" s="63"/>
      <c r="E515" s="65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</row>
    <row r="516" spans="1:26" ht="16.5" customHeight="1">
      <c r="A516" s="64"/>
      <c r="B516" s="63"/>
      <c r="C516" s="63"/>
      <c r="D516" s="63"/>
      <c r="E516" s="65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</row>
    <row r="517" spans="1:26" ht="16.5" customHeight="1">
      <c r="A517" s="64"/>
      <c r="B517" s="63"/>
      <c r="C517" s="63"/>
      <c r="D517" s="63"/>
      <c r="E517" s="65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</row>
    <row r="518" spans="1:26" ht="16.5" customHeight="1">
      <c r="A518" s="64"/>
      <c r="B518" s="63"/>
      <c r="C518" s="63"/>
      <c r="D518" s="63"/>
      <c r="E518" s="65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</row>
    <row r="519" spans="1:26" ht="16.5" customHeight="1">
      <c r="A519" s="64"/>
      <c r="B519" s="63"/>
      <c r="C519" s="63"/>
      <c r="D519" s="63"/>
      <c r="E519" s="65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</row>
    <row r="520" spans="1:26" ht="16.5" customHeight="1">
      <c r="A520" s="64"/>
      <c r="B520" s="63"/>
      <c r="C520" s="63"/>
      <c r="D520" s="63"/>
      <c r="E520" s="65"/>
      <c r="F520" s="60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</row>
    <row r="521" spans="1:26" ht="16.5" customHeight="1">
      <c r="A521" s="64"/>
      <c r="B521" s="63"/>
      <c r="C521" s="63"/>
      <c r="D521" s="63"/>
      <c r="E521" s="65"/>
      <c r="F521" s="60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</row>
    <row r="522" spans="1:26" ht="16.5" customHeight="1">
      <c r="A522" s="64"/>
      <c r="B522" s="63"/>
      <c r="C522" s="63"/>
      <c r="D522" s="63"/>
      <c r="E522" s="65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</row>
    <row r="523" spans="1:26" ht="16.5" customHeight="1">
      <c r="A523" s="64"/>
      <c r="B523" s="63"/>
      <c r="C523" s="63"/>
      <c r="D523" s="63"/>
      <c r="E523" s="65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</row>
    <row r="524" spans="1:26" ht="16.5" customHeight="1">
      <c r="A524" s="64"/>
      <c r="B524" s="63"/>
      <c r="C524" s="63"/>
      <c r="D524" s="63"/>
      <c r="E524" s="65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</row>
    <row r="525" spans="1:26" ht="16.5" customHeight="1">
      <c r="A525" s="64"/>
      <c r="B525" s="63"/>
      <c r="C525" s="63"/>
      <c r="D525" s="63"/>
      <c r="E525" s="65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</row>
    <row r="526" spans="1:26" ht="16.5" customHeight="1">
      <c r="A526" s="64"/>
      <c r="B526" s="63"/>
      <c r="C526" s="63"/>
      <c r="D526" s="63"/>
      <c r="E526" s="65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</row>
    <row r="527" spans="1:26" ht="16.5" customHeight="1">
      <c r="A527" s="64"/>
      <c r="B527" s="63"/>
      <c r="C527" s="63"/>
      <c r="D527" s="63"/>
      <c r="E527" s="65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</row>
    <row r="528" spans="1:26" ht="16.5" customHeight="1">
      <c r="A528" s="64"/>
      <c r="B528" s="63"/>
      <c r="C528" s="63"/>
      <c r="D528" s="63"/>
      <c r="E528" s="65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</row>
    <row r="529" spans="1:26" ht="16.5" customHeight="1">
      <c r="A529" s="64"/>
      <c r="B529" s="63"/>
      <c r="C529" s="63"/>
      <c r="D529" s="63"/>
      <c r="E529" s="65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</row>
    <row r="530" spans="1:26" ht="16.5" customHeight="1">
      <c r="A530" s="64"/>
      <c r="B530" s="63"/>
      <c r="C530" s="63"/>
      <c r="D530" s="63"/>
      <c r="E530" s="65"/>
      <c r="F530" s="60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</row>
    <row r="531" spans="1:26" ht="16.5" customHeight="1">
      <c r="A531" s="64"/>
      <c r="B531" s="63"/>
      <c r="C531" s="63"/>
      <c r="D531" s="63"/>
      <c r="E531" s="65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</row>
    <row r="532" spans="1:26" ht="16.5" customHeight="1">
      <c r="A532" s="64"/>
      <c r="B532" s="63"/>
      <c r="C532" s="63"/>
      <c r="D532" s="63"/>
      <c r="E532" s="65"/>
      <c r="F532" s="60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</row>
    <row r="533" spans="1:26" ht="16.5" customHeight="1">
      <c r="A533" s="64"/>
      <c r="B533" s="63"/>
      <c r="C533" s="63"/>
      <c r="D533" s="63"/>
      <c r="E533" s="65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</row>
    <row r="534" spans="1:26" ht="16.5" customHeight="1">
      <c r="A534" s="64"/>
      <c r="B534" s="63"/>
      <c r="C534" s="63"/>
      <c r="D534" s="63"/>
      <c r="E534" s="65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</row>
    <row r="535" spans="1:26" ht="16.5" customHeight="1">
      <c r="A535" s="64"/>
      <c r="B535" s="63"/>
      <c r="C535" s="63"/>
      <c r="D535" s="63"/>
      <c r="E535" s="65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</row>
    <row r="536" spans="1:26" ht="16.5" customHeight="1">
      <c r="A536" s="64"/>
      <c r="B536" s="63"/>
      <c r="C536" s="63"/>
      <c r="D536" s="63"/>
      <c r="E536" s="65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</row>
    <row r="537" spans="1:26" ht="16.5" customHeight="1">
      <c r="A537" s="64"/>
      <c r="B537" s="63"/>
      <c r="C537" s="63"/>
      <c r="D537" s="63"/>
      <c r="E537" s="65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</row>
    <row r="538" spans="1:26" ht="16.5" customHeight="1">
      <c r="A538" s="64"/>
      <c r="B538" s="63"/>
      <c r="C538" s="63"/>
      <c r="D538" s="63"/>
      <c r="E538" s="65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</row>
    <row r="539" spans="1:26" ht="16.5" customHeight="1">
      <c r="A539" s="64"/>
      <c r="B539" s="63"/>
      <c r="C539" s="63"/>
      <c r="D539" s="63"/>
      <c r="E539" s="65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</row>
    <row r="540" spans="1:26" ht="16.5" customHeight="1">
      <c r="A540" s="64"/>
      <c r="B540" s="63"/>
      <c r="C540" s="63"/>
      <c r="D540" s="63"/>
      <c r="E540" s="65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</row>
    <row r="541" spans="1:26" ht="16.5" customHeight="1">
      <c r="A541" s="64"/>
      <c r="B541" s="63"/>
      <c r="C541" s="63"/>
      <c r="D541" s="63"/>
      <c r="E541" s="65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</row>
    <row r="542" spans="1:26" ht="16.5" customHeight="1">
      <c r="A542" s="64"/>
      <c r="B542" s="63"/>
      <c r="C542" s="63"/>
      <c r="D542" s="63"/>
      <c r="E542" s="65"/>
      <c r="F542" s="60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</row>
    <row r="543" spans="1:26" ht="16.5" customHeight="1">
      <c r="A543" s="64"/>
      <c r="B543" s="63"/>
      <c r="C543" s="63"/>
      <c r="D543" s="63"/>
      <c r="E543" s="65"/>
      <c r="F543" s="60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</row>
    <row r="544" spans="1:26" ht="16.5" customHeight="1">
      <c r="A544" s="64"/>
      <c r="B544" s="63"/>
      <c r="C544" s="63"/>
      <c r="D544" s="63"/>
      <c r="E544" s="65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</row>
    <row r="545" spans="1:26" ht="16.5" customHeight="1">
      <c r="A545" s="64"/>
      <c r="B545" s="63"/>
      <c r="C545" s="63"/>
      <c r="D545" s="63"/>
      <c r="E545" s="65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</row>
    <row r="546" spans="1:26" ht="16.5" customHeight="1">
      <c r="A546" s="64"/>
      <c r="B546" s="63"/>
      <c r="C546" s="63"/>
      <c r="D546" s="63"/>
      <c r="E546" s="65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</row>
    <row r="547" spans="1:26" ht="16.5" customHeight="1">
      <c r="A547" s="64"/>
      <c r="B547" s="63"/>
      <c r="C547" s="63"/>
      <c r="D547" s="63"/>
      <c r="E547" s="65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</row>
    <row r="548" spans="1:26" ht="16.5" customHeight="1">
      <c r="A548" s="64"/>
      <c r="B548" s="63"/>
      <c r="C548" s="63"/>
      <c r="D548" s="63"/>
      <c r="E548" s="65"/>
      <c r="F548" s="60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</row>
    <row r="549" spans="1:26" ht="16.5" customHeight="1">
      <c r="A549" s="64"/>
      <c r="B549" s="63"/>
      <c r="C549" s="63"/>
      <c r="D549" s="63"/>
      <c r="E549" s="65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</row>
    <row r="550" spans="1:26" ht="16.5" customHeight="1">
      <c r="A550" s="64"/>
      <c r="B550" s="63"/>
      <c r="C550" s="63"/>
      <c r="D550" s="63"/>
      <c r="E550" s="65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</row>
    <row r="551" spans="1:26" ht="16.5" customHeight="1">
      <c r="A551" s="64"/>
      <c r="B551" s="63"/>
      <c r="C551" s="63"/>
      <c r="D551" s="63"/>
      <c r="E551" s="65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</row>
    <row r="552" spans="1:26" ht="16.5" customHeight="1">
      <c r="A552" s="64"/>
      <c r="B552" s="63"/>
      <c r="C552" s="63"/>
      <c r="D552" s="63"/>
      <c r="E552" s="65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</row>
    <row r="553" spans="1:26" ht="16.5" customHeight="1">
      <c r="A553" s="64"/>
      <c r="B553" s="63"/>
      <c r="C553" s="63"/>
      <c r="D553" s="63"/>
      <c r="E553" s="65"/>
      <c r="F553" s="60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</row>
    <row r="554" spans="1:26" ht="16.5" customHeight="1">
      <c r="A554" s="64"/>
      <c r="B554" s="63"/>
      <c r="C554" s="63"/>
      <c r="D554" s="63"/>
      <c r="E554" s="65"/>
      <c r="F554" s="60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</row>
    <row r="555" spans="1:26" ht="16.5" customHeight="1">
      <c r="A555" s="64"/>
      <c r="B555" s="63"/>
      <c r="C555" s="63"/>
      <c r="D555" s="63"/>
      <c r="E555" s="65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</row>
    <row r="556" spans="1:26" ht="16.5" customHeight="1">
      <c r="A556" s="64"/>
      <c r="B556" s="63"/>
      <c r="C556" s="63"/>
      <c r="D556" s="63"/>
      <c r="E556" s="65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</row>
    <row r="557" spans="1:26" ht="16.5" customHeight="1">
      <c r="A557" s="64"/>
      <c r="B557" s="63"/>
      <c r="C557" s="63"/>
      <c r="D557" s="63"/>
      <c r="E557" s="65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</row>
    <row r="558" spans="1:26" ht="16.5" customHeight="1">
      <c r="A558" s="64"/>
      <c r="B558" s="63"/>
      <c r="C558" s="63"/>
      <c r="D558" s="63"/>
      <c r="E558" s="65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</row>
    <row r="559" spans="1:26" ht="16.5" customHeight="1">
      <c r="A559" s="64"/>
      <c r="B559" s="63"/>
      <c r="C559" s="63"/>
      <c r="D559" s="63"/>
      <c r="E559" s="65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</row>
    <row r="560" spans="1:26" ht="16.5" customHeight="1">
      <c r="A560" s="64"/>
      <c r="B560" s="63"/>
      <c r="C560" s="63"/>
      <c r="D560" s="63"/>
      <c r="E560" s="65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</row>
    <row r="561" spans="1:26" ht="16.5" customHeight="1">
      <c r="A561" s="64"/>
      <c r="B561" s="63"/>
      <c r="C561" s="63"/>
      <c r="D561" s="63"/>
      <c r="E561" s="65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</row>
    <row r="562" spans="1:26" ht="16.5" customHeight="1">
      <c r="A562" s="64"/>
      <c r="B562" s="63"/>
      <c r="C562" s="63"/>
      <c r="D562" s="63"/>
      <c r="E562" s="65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</row>
    <row r="563" spans="1:26" ht="16.5" customHeight="1">
      <c r="A563" s="64"/>
      <c r="B563" s="63"/>
      <c r="C563" s="63"/>
      <c r="D563" s="63"/>
      <c r="E563" s="65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</row>
    <row r="564" spans="1:26" ht="16.5" customHeight="1">
      <c r="A564" s="64"/>
      <c r="B564" s="63"/>
      <c r="C564" s="63"/>
      <c r="D564" s="63"/>
      <c r="E564" s="65"/>
      <c r="F564" s="60"/>
      <c r="G564" s="60"/>
      <c r="H564" s="60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  <c r="T564" s="60"/>
      <c r="U564" s="60"/>
      <c r="V564" s="60"/>
      <c r="W564" s="60"/>
      <c r="X564" s="60"/>
      <c r="Y564" s="60"/>
      <c r="Z564" s="60"/>
    </row>
    <row r="565" spans="1:26" ht="16.5" customHeight="1">
      <c r="A565" s="64"/>
      <c r="B565" s="63"/>
      <c r="C565" s="63"/>
      <c r="D565" s="63"/>
      <c r="E565" s="65"/>
      <c r="F565" s="60"/>
      <c r="G565" s="60"/>
      <c r="H565" s="60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  <c r="T565" s="60"/>
      <c r="U565" s="60"/>
      <c r="V565" s="60"/>
      <c r="W565" s="60"/>
      <c r="X565" s="60"/>
      <c r="Y565" s="60"/>
      <c r="Z565" s="60"/>
    </row>
    <row r="566" spans="1:26" ht="16.5" customHeight="1">
      <c r="A566" s="64"/>
      <c r="B566" s="63"/>
      <c r="C566" s="63"/>
      <c r="D566" s="63"/>
      <c r="E566" s="65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</row>
    <row r="567" spans="1:26" ht="16.5" customHeight="1">
      <c r="A567" s="64"/>
      <c r="B567" s="63"/>
      <c r="C567" s="63"/>
      <c r="D567" s="63"/>
      <c r="E567" s="65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</row>
    <row r="568" spans="1:26" ht="16.5" customHeight="1">
      <c r="A568" s="64"/>
      <c r="B568" s="63"/>
      <c r="C568" s="63"/>
      <c r="D568" s="63"/>
      <c r="E568" s="65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</row>
    <row r="569" spans="1:26" ht="16.5" customHeight="1">
      <c r="A569" s="64"/>
      <c r="B569" s="63"/>
      <c r="C569" s="63"/>
      <c r="D569" s="63"/>
      <c r="E569" s="65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</row>
    <row r="570" spans="1:26" ht="16.5" customHeight="1">
      <c r="A570" s="64"/>
      <c r="B570" s="63"/>
      <c r="C570" s="63"/>
      <c r="D570" s="63"/>
      <c r="E570" s="65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</row>
    <row r="571" spans="1:26" ht="16.5" customHeight="1">
      <c r="A571" s="64"/>
      <c r="B571" s="63"/>
      <c r="C571" s="63"/>
      <c r="D571" s="63"/>
      <c r="E571" s="65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</row>
    <row r="572" spans="1:26" ht="16.5" customHeight="1">
      <c r="A572" s="64"/>
      <c r="B572" s="63"/>
      <c r="C572" s="63"/>
      <c r="D572" s="63"/>
      <c r="E572" s="65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</row>
    <row r="573" spans="1:26" ht="16.5" customHeight="1">
      <c r="A573" s="64"/>
      <c r="B573" s="63"/>
      <c r="C573" s="63"/>
      <c r="D573" s="63"/>
      <c r="E573" s="65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</row>
    <row r="574" spans="1:26" ht="16.5" customHeight="1">
      <c r="A574" s="64"/>
      <c r="B574" s="63"/>
      <c r="C574" s="63"/>
      <c r="D574" s="63"/>
      <c r="E574" s="65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</row>
    <row r="575" spans="1:26" ht="16.5" customHeight="1">
      <c r="A575" s="64"/>
      <c r="B575" s="63"/>
      <c r="C575" s="63"/>
      <c r="D575" s="63"/>
      <c r="E575" s="65"/>
      <c r="F575" s="60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</row>
    <row r="576" spans="1:26" ht="16.5" customHeight="1">
      <c r="A576" s="64"/>
      <c r="B576" s="63"/>
      <c r="C576" s="63"/>
      <c r="D576" s="63"/>
      <c r="E576" s="65"/>
      <c r="F576" s="60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</row>
    <row r="577" spans="1:26" ht="16.5" customHeight="1">
      <c r="A577" s="64"/>
      <c r="B577" s="63"/>
      <c r="C577" s="63"/>
      <c r="D577" s="63"/>
      <c r="E577" s="65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</row>
    <row r="578" spans="1:26" ht="16.5" customHeight="1">
      <c r="A578" s="64"/>
      <c r="B578" s="63"/>
      <c r="C578" s="63"/>
      <c r="D578" s="63"/>
      <c r="E578" s="65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</row>
    <row r="579" spans="1:26" ht="16.5" customHeight="1">
      <c r="A579" s="64"/>
      <c r="B579" s="63"/>
      <c r="C579" s="63"/>
      <c r="D579" s="63"/>
      <c r="E579" s="65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</row>
    <row r="580" spans="1:26" ht="16.5" customHeight="1">
      <c r="A580" s="64"/>
      <c r="B580" s="63"/>
      <c r="C580" s="63"/>
      <c r="D580" s="63"/>
      <c r="E580" s="65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</row>
    <row r="581" spans="1:26" ht="16.5" customHeight="1">
      <c r="A581" s="64"/>
      <c r="B581" s="63"/>
      <c r="C581" s="63"/>
      <c r="D581" s="63"/>
      <c r="E581" s="65"/>
      <c r="F581" s="60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</row>
    <row r="582" spans="1:26" ht="16.5" customHeight="1">
      <c r="A582" s="64"/>
      <c r="B582" s="63"/>
      <c r="C582" s="63"/>
      <c r="D582" s="63"/>
      <c r="E582" s="65"/>
      <c r="F582" s="60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</row>
    <row r="583" spans="1:26" ht="16.5" customHeight="1">
      <c r="A583" s="64"/>
      <c r="B583" s="63"/>
      <c r="C583" s="63"/>
      <c r="D583" s="63"/>
      <c r="E583" s="65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</row>
    <row r="584" spans="1:26" ht="16.5" customHeight="1">
      <c r="A584" s="64"/>
      <c r="B584" s="63"/>
      <c r="C584" s="63"/>
      <c r="D584" s="63"/>
      <c r="E584" s="65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</row>
    <row r="585" spans="1:26" ht="16.5" customHeight="1">
      <c r="A585" s="64"/>
      <c r="B585" s="63"/>
      <c r="C585" s="63"/>
      <c r="D585" s="63"/>
      <c r="E585" s="65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</row>
    <row r="586" spans="1:26" ht="16.5" customHeight="1">
      <c r="A586" s="64"/>
      <c r="B586" s="63"/>
      <c r="C586" s="63"/>
      <c r="D586" s="63"/>
      <c r="E586" s="65"/>
      <c r="F586" s="60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</row>
    <row r="587" spans="1:26" ht="16.5" customHeight="1">
      <c r="A587" s="64"/>
      <c r="B587" s="63"/>
      <c r="C587" s="63"/>
      <c r="D587" s="63"/>
      <c r="E587" s="65"/>
      <c r="F587" s="60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</row>
    <row r="588" spans="1:26" ht="16.5" customHeight="1">
      <c r="A588" s="64"/>
      <c r="B588" s="63"/>
      <c r="C588" s="63"/>
      <c r="D588" s="63"/>
      <c r="E588" s="65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</row>
    <row r="589" spans="1:26" ht="16.5" customHeight="1">
      <c r="A589" s="64"/>
      <c r="B589" s="63"/>
      <c r="C589" s="63"/>
      <c r="D589" s="63"/>
      <c r="E589" s="65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</row>
    <row r="590" spans="1:26" ht="16.5" customHeight="1">
      <c r="A590" s="64"/>
      <c r="B590" s="63"/>
      <c r="C590" s="63"/>
      <c r="D590" s="63"/>
      <c r="E590" s="65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</row>
    <row r="591" spans="1:26" ht="16.5" customHeight="1">
      <c r="A591" s="64"/>
      <c r="B591" s="63"/>
      <c r="C591" s="63"/>
      <c r="D591" s="63"/>
      <c r="E591" s="65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</row>
    <row r="592" spans="1:26" ht="16.5" customHeight="1">
      <c r="A592" s="64"/>
      <c r="B592" s="63"/>
      <c r="C592" s="63"/>
      <c r="D592" s="63"/>
      <c r="E592" s="65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</row>
    <row r="593" spans="1:26" ht="16.5" customHeight="1">
      <c r="A593" s="64"/>
      <c r="B593" s="63"/>
      <c r="C593" s="63"/>
      <c r="D593" s="63"/>
      <c r="E593" s="65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</row>
    <row r="594" spans="1:26" ht="16.5" customHeight="1">
      <c r="A594" s="64"/>
      <c r="B594" s="63"/>
      <c r="C594" s="63"/>
      <c r="D594" s="63"/>
      <c r="E594" s="65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</row>
    <row r="595" spans="1:26" ht="16.5" customHeight="1">
      <c r="A595" s="64"/>
      <c r="B595" s="63"/>
      <c r="C595" s="63"/>
      <c r="D595" s="63"/>
      <c r="E595" s="65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</row>
    <row r="596" spans="1:26" ht="16.5" customHeight="1">
      <c r="A596" s="64"/>
      <c r="B596" s="63"/>
      <c r="C596" s="63"/>
      <c r="D596" s="63"/>
      <c r="E596" s="65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</row>
    <row r="597" spans="1:26" ht="16.5" customHeight="1">
      <c r="A597" s="64"/>
      <c r="B597" s="63"/>
      <c r="C597" s="63"/>
      <c r="D597" s="63"/>
      <c r="E597" s="65"/>
      <c r="F597" s="60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</row>
    <row r="598" spans="1:26" ht="16.5" customHeight="1">
      <c r="A598" s="64"/>
      <c r="B598" s="63"/>
      <c r="C598" s="63"/>
      <c r="D598" s="63"/>
      <c r="E598" s="65"/>
      <c r="F598" s="60"/>
      <c r="G598" s="60"/>
      <c r="H598" s="60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  <c r="T598" s="60"/>
      <c r="U598" s="60"/>
      <c r="V598" s="60"/>
      <c r="W598" s="60"/>
      <c r="X598" s="60"/>
      <c r="Y598" s="60"/>
      <c r="Z598" s="60"/>
    </row>
    <row r="599" spans="1:26" ht="16.5" customHeight="1">
      <c r="A599" s="64"/>
      <c r="B599" s="63"/>
      <c r="C599" s="63"/>
      <c r="D599" s="63"/>
      <c r="E599" s="65"/>
      <c r="F599" s="60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</row>
    <row r="600" spans="1:26" ht="16.5" customHeight="1">
      <c r="A600" s="64"/>
      <c r="B600" s="63"/>
      <c r="C600" s="63"/>
      <c r="D600" s="63"/>
      <c r="E600" s="65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</row>
    <row r="601" spans="1:26" ht="16.5" customHeight="1">
      <c r="A601" s="64"/>
      <c r="B601" s="63"/>
      <c r="C601" s="63"/>
      <c r="D601" s="63"/>
      <c r="E601" s="65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</row>
    <row r="602" spans="1:26" ht="16.5" customHeight="1">
      <c r="A602" s="64"/>
      <c r="B602" s="63"/>
      <c r="C602" s="63"/>
      <c r="D602" s="63"/>
      <c r="E602" s="65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</row>
    <row r="603" spans="1:26" ht="16.5" customHeight="1">
      <c r="A603" s="64"/>
      <c r="B603" s="63"/>
      <c r="C603" s="63"/>
      <c r="D603" s="63"/>
      <c r="E603" s="65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</row>
    <row r="604" spans="1:26" ht="16.5" customHeight="1">
      <c r="A604" s="64"/>
      <c r="B604" s="63"/>
      <c r="C604" s="63"/>
      <c r="D604" s="63"/>
      <c r="E604" s="65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</row>
    <row r="605" spans="1:26" ht="16.5" customHeight="1">
      <c r="A605" s="64"/>
      <c r="B605" s="63"/>
      <c r="C605" s="63"/>
      <c r="D605" s="63"/>
      <c r="E605" s="65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</row>
    <row r="606" spans="1:26" ht="16.5" customHeight="1">
      <c r="A606" s="64"/>
      <c r="B606" s="63"/>
      <c r="C606" s="63"/>
      <c r="D606" s="63"/>
      <c r="E606" s="65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</row>
    <row r="607" spans="1:26" ht="16.5" customHeight="1">
      <c r="A607" s="64"/>
      <c r="B607" s="63"/>
      <c r="C607" s="63"/>
      <c r="D607" s="63"/>
      <c r="E607" s="65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</row>
    <row r="608" spans="1:26" ht="16.5" customHeight="1">
      <c r="A608" s="64"/>
      <c r="B608" s="63"/>
      <c r="C608" s="63"/>
      <c r="D608" s="63"/>
      <c r="E608" s="65"/>
      <c r="F608" s="60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</row>
    <row r="609" spans="1:26" ht="16.5" customHeight="1">
      <c r="A609" s="64"/>
      <c r="B609" s="63"/>
      <c r="C609" s="63"/>
      <c r="D609" s="63"/>
      <c r="E609" s="65"/>
      <c r="F609" s="60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</row>
    <row r="610" spans="1:26" ht="16.5" customHeight="1">
      <c r="A610" s="64"/>
      <c r="B610" s="63"/>
      <c r="C610" s="63"/>
      <c r="D610" s="63"/>
      <c r="E610" s="65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</row>
    <row r="611" spans="1:26" ht="16.5" customHeight="1">
      <c r="A611" s="64"/>
      <c r="B611" s="63"/>
      <c r="C611" s="63"/>
      <c r="D611" s="63"/>
      <c r="E611" s="65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</row>
    <row r="612" spans="1:26" ht="16.5" customHeight="1">
      <c r="A612" s="64"/>
      <c r="B612" s="63"/>
      <c r="C612" s="63"/>
      <c r="D612" s="63"/>
      <c r="E612" s="65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</row>
    <row r="613" spans="1:26" ht="16.5" customHeight="1">
      <c r="A613" s="64"/>
      <c r="B613" s="63"/>
      <c r="C613" s="63"/>
      <c r="D613" s="63"/>
      <c r="E613" s="65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</row>
    <row r="614" spans="1:26" ht="16.5" customHeight="1">
      <c r="A614" s="64"/>
      <c r="B614" s="63"/>
      <c r="C614" s="63"/>
      <c r="D614" s="63"/>
      <c r="E614" s="65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</row>
    <row r="615" spans="1:26" ht="16.5" customHeight="1">
      <c r="A615" s="64"/>
      <c r="B615" s="63"/>
      <c r="C615" s="63"/>
      <c r="D615" s="63"/>
      <c r="E615" s="65"/>
      <c r="F615" s="60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</row>
    <row r="616" spans="1:26" ht="16.5" customHeight="1">
      <c r="A616" s="64"/>
      <c r="B616" s="63"/>
      <c r="C616" s="63"/>
      <c r="D616" s="63"/>
      <c r="E616" s="65"/>
      <c r="F616" s="60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</row>
    <row r="617" spans="1:26" ht="16.5" customHeight="1">
      <c r="A617" s="64"/>
      <c r="B617" s="63"/>
      <c r="C617" s="63"/>
      <c r="D617" s="63"/>
      <c r="E617" s="65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</row>
    <row r="618" spans="1:26" ht="16.5" customHeight="1">
      <c r="A618" s="64"/>
      <c r="B618" s="63"/>
      <c r="C618" s="63"/>
      <c r="D618" s="63"/>
      <c r="E618" s="65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</row>
    <row r="619" spans="1:26" ht="16.5" customHeight="1">
      <c r="A619" s="64"/>
      <c r="B619" s="63"/>
      <c r="C619" s="63"/>
      <c r="D619" s="63"/>
      <c r="E619" s="65"/>
      <c r="F619" s="60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</row>
    <row r="620" spans="1:26" ht="16.5" customHeight="1">
      <c r="A620" s="64"/>
      <c r="B620" s="63"/>
      <c r="C620" s="63"/>
      <c r="D620" s="63"/>
      <c r="E620" s="65"/>
      <c r="F620" s="60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</row>
    <row r="621" spans="1:26" ht="16.5" customHeight="1">
      <c r="A621" s="64"/>
      <c r="B621" s="63"/>
      <c r="C621" s="63"/>
      <c r="D621" s="63"/>
      <c r="E621" s="65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</row>
    <row r="622" spans="1:26" ht="16.5" customHeight="1">
      <c r="A622" s="64"/>
      <c r="B622" s="63"/>
      <c r="C622" s="63"/>
      <c r="D622" s="63"/>
      <c r="E622" s="65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</row>
    <row r="623" spans="1:26" ht="16.5" customHeight="1">
      <c r="A623" s="64"/>
      <c r="B623" s="63"/>
      <c r="C623" s="63"/>
      <c r="D623" s="63"/>
      <c r="E623" s="65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</row>
    <row r="624" spans="1:26" ht="16.5" customHeight="1">
      <c r="A624" s="64"/>
      <c r="B624" s="63"/>
      <c r="C624" s="63"/>
      <c r="D624" s="63"/>
      <c r="E624" s="65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</row>
    <row r="625" spans="1:26" ht="16.5" customHeight="1">
      <c r="A625" s="64"/>
      <c r="B625" s="63"/>
      <c r="C625" s="63"/>
      <c r="D625" s="63"/>
      <c r="E625" s="65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</row>
    <row r="626" spans="1:26" ht="16.5" customHeight="1">
      <c r="A626" s="64"/>
      <c r="B626" s="63"/>
      <c r="C626" s="63"/>
      <c r="D626" s="63"/>
      <c r="E626" s="65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</row>
    <row r="627" spans="1:26" ht="16.5" customHeight="1">
      <c r="A627" s="64"/>
      <c r="B627" s="63"/>
      <c r="C627" s="63"/>
      <c r="D627" s="63"/>
      <c r="E627" s="65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</row>
    <row r="628" spans="1:26" ht="16.5" customHeight="1">
      <c r="A628" s="64"/>
      <c r="B628" s="63"/>
      <c r="C628" s="63"/>
      <c r="D628" s="63"/>
      <c r="E628" s="65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</row>
    <row r="629" spans="1:26" ht="16.5" customHeight="1">
      <c r="A629" s="64"/>
      <c r="B629" s="63"/>
      <c r="C629" s="63"/>
      <c r="D629" s="63"/>
      <c r="E629" s="65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</row>
    <row r="630" spans="1:26" ht="16.5" customHeight="1">
      <c r="A630" s="64"/>
      <c r="B630" s="63"/>
      <c r="C630" s="63"/>
      <c r="D630" s="63"/>
      <c r="E630" s="65"/>
      <c r="F630" s="60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</row>
    <row r="631" spans="1:26" ht="16.5" customHeight="1">
      <c r="A631" s="64"/>
      <c r="B631" s="63"/>
      <c r="C631" s="63"/>
      <c r="D631" s="63"/>
      <c r="E631" s="65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</row>
    <row r="632" spans="1:26" ht="16.5" customHeight="1">
      <c r="A632" s="64"/>
      <c r="B632" s="63"/>
      <c r="C632" s="63"/>
      <c r="D632" s="63"/>
      <c r="E632" s="65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</row>
    <row r="633" spans="1:26" ht="16.5" customHeight="1">
      <c r="A633" s="64"/>
      <c r="B633" s="63"/>
      <c r="C633" s="63"/>
      <c r="D633" s="63"/>
      <c r="E633" s="65"/>
      <c r="F633" s="60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</row>
    <row r="634" spans="1:26" ht="16.5" customHeight="1">
      <c r="A634" s="64"/>
      <c r="B634" s="63"/>
      <c r="C634" s="63"/>
      <c r="D634" s="63"/>
      <c r="E634" s="65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</row>
    <row r="635" spans="1:26" ht="16.5" customHeight="1">
      <c r="A635" s="64"/>
      <c r="B635" s="63"/>
      <c r="C635" s="63"/>
      <c r="D635" s="63"/>
      <c r="E635" s="65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</row>
    <row r="636" spans="1:26" ht="16.5" customHeight="1">
      <c r="A636" s="64"/>
      <c r="B636" s="63"/>
      <c r="C636" s="63"/>
      <c r="D636" s="63"/>
      <c r="E636" s="65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</row>
    <row r="637" spans="1:26" ht="16.5" customHeight="1">
      <c r="A637" s="64"/>
      <c r="B637" s="63"/>
      <c r="C637" s="63"/>
      <c r="D637" s="63"/>
      <c r="E637" s="65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</row>
    <row r="638" spans="1:26" ht="16.5" customHeight="1">
      <c r="A638" s="64"/>
      <c r="B638" s="63"/>
      <c r="C638" s="63"/>
      <c r="D638" s="63"/>
      <c r="E638" s="65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</row>
    <row r="639" spans="1:26" ht="16.5" customHeight="1">
      <c r="A639" s="64"/>
      <c r="B639" s="63"/>
      <c r="C639" s="63"/>
      <c r="D639" s="63"/>
      <c r="E639" s="65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</row>
    <row r="640" spans="1:26" ht="16.5" customHeight="1">
      <c r="A640" s="64"/>
      <c r="B640" s="63"/>
      <c r="C640" s="63"/>
      <c r="D640" s="63"/>
      <c r="E640" s="65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</row>
    <row r="641" spans="1:26" ht="16.5" customHeight="1">
      <c r="A641" s="64"/>
      <c r="B641" s="63"/>
      <c r="C641" s="63"/>
      <c r="D641" s="63"/>
      <c r="E641" s="65"/>
      <c r="F641" s="60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</row>
    <row r="642" spans="1:26" ht="16.5" customHeight="1">
      <c r="A642" s="64"/>
      <c r="B642" s="63"/>
      <c r="C642" s="63"/>
      <c r="D642" s="63"/>
      <c r="E642" s="65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</row>
    <row r="643" spans="1:26" ht="16.5" customHeight="1">
      <c r="A643" s="64"/>
      <c r="B643" s="63"/>
      <c r="C643" s="63"/>
      <c r="D643" s="63"/>
      <c r="E643" s="65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</row>
    <row r="644" spans="1:26" ht="16.5" customHeight="1">
      <c r="A644" s="64"/>
      <c r="B644" s="63"/>
      <c r="C644" s="63"/>
      <c r="D644" s="63"/>
      <c r="E644" s="65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</row>
    <row r="645" spans="1:26" ht="16.5" customHeight="1">
      <c r="A645" s="64"/>
      <c r="B645" s="63"/>
      <c r="C645" s="63"/>
      <c r="D645" s="63"/>
      <c r="E645" s="65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</row>
    <row r="646" spans="1:26" ht="16.5" customHeight="1">
      <c r="A646" s="64"/>
      <c r="B646" s="63"/>
      <c r="C646" s="63"/>
      <c r="D646" s="63"/>
      <c r="E646" s="65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</row>
    <row r="647" spans="1:26" ht="16.5" customHeight="1">
      <c r="A647" s="64"/>
      <c r="B647" s="63"/>
      <c r="C647" s="63"/>
      <c r="D647" s="63"/>
      <c r="E647" s="65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</row>
    <row r="648" spans="1:26" ht="16.5" customHeight="1">
      <c r="A648" s="64"/>
      <c r="B648" s="63"/>
      <c r="C648" s="63"/>
      <c r="D648" s="63"/>
      <c r="E648" s="65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</row>
    <row r="649" spans="1:26" ht="16.5" customHeight="1">
      <c r="A649" s="64"/>
      <c r="B649" s="63"/>
      <c r="C649" s="63"/>
      <c r="D649" s="63"/>
      <c r="E649" s="65"/>
      <c r="F649" s="60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</row>
    <row r="650" spans="1:26" ht="16.5" customHeight="1">
      <c r="A650" s="64"/>
      <c r="B650" s="63"/>
      <c r="C650" s="63"/>
      <c r="D650" s="63"/>
      <c r="E650" s="65"/>
      <c r="F650" s="60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</row>
    <row r="651" spans="1:26" ht="16.5" customHeight="1">
      <c r="A651" s="64"/>
      <c r="B651" s="63"/>
      <c r="C651" s="63"/>
      <c r="D651" s="63"/>
      <c r="E651" s="65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</row>
    <row r="652" spans="1:26" ht="16.5" customHeight="1">
      <c r="A652" s="64"/>
      <c r="B652" s="63"/>
      <c r="C652" s="63"/>
      <c r="D652" s="63"/>
      <c r="E652" s="65"/>
      <c r="F652" s="60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</row>
    <row r="653" spans="1:26" ht="16.5" customHeight="1">
      <c r="A653" s="64"/>
      <c r="B653" s="63"/>
      <c r="C653" s="63"/>
      <c r="D653" s="63"/>
      <c r="E653" s="65"/>
      <c r="F653" s="60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</row>
    <row r="654" spans="1:26" ht="16.5" customHeight="1">
      <c r="A654" s="64"/>
      <c r="B654" s="63"/>
      <c r="C654" s="63"/>
      <c r="D654" s="63"/>
      <c r="E654" s="65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</row>
    <row r="655" spans="1:26" ht="16.5" customHeight="1">
      <c r="A655" s="64"/>
      <c r="B655" s="63"/>
      <c r="C655" s="63"/>
      <c r="D655" s="63"/>
      <c r="E655" s="65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</row>
    <row r="656" spans="1:26" ht="16.5" customHeight="1">
      <c r="A656" s="64"/>
      <c r="B656" s="63"/>
      <c r="C656" s="63"/>
      <c r="D656" s="63"/>
      <c r="E656" s="65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</row>
    <row r="657" spans="1:26" ht="16.5" customHeight="1">
      <c r="A657" s="64"/>
      <c r="B657" s="63"/>
      <c r="C657" s="63"/>
      <c r="D657" s="63"/>
      <c r="E657" s="65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</row>
    <row r="658" spans="1:26" ht="16.5" customHeight="1">
      <c r="A658" s="64"/>
      <c r="B658" s="63"/>
      <c r="C658" s="63"/>
      <c r="D658" s="63"/>
      <c r="E658" s="65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</row>
    <row r="659" spans="1:26" ht="16.5" customHeight="1">
      <c r="A659" s="64"/>
      <c r="B659" s="63"/>
      <c r="C659" s="63"/>
      <c r="D659" s="63"/>
      <c r="E659" s="65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</row>
    <row r="660" spans="1:26" ht="16.5" customHeight="1">
      <c r="A660" s="64"/>
      <c r="B660" s="63"/>
      <c r="C660" s="63"/>
      <c r="D660" s="63"/>
      <c r="E660" s="65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</row>
    <row r="661" spans="1:26" ht="16.5" customHeight="1">
      <c r="A661" s="64"/>
      <c r="B661" s="63"/>
      <c r="C661" s="63"/>
      <c r="D661" s="63"/>
      <c r="E661" s="65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</row>
    <row r="662" spans="1:26" ht="16.5" customHeight="1">
      <c r="A662" s="64"/>
      <c r="B662" s="63"/>
      <c r="C662" s="63"/>
      <c r="D662" s="63"/>
      <c r="E662" s="65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</row>
    <row r="663" spans="1:26" ht="16.5" customHeight="1">
      <c r="A663" s="64"/>
      <c r="B663" s="63"/>
      <c r="C663" s="63"/>
      <c r="D663" s="63"/>
      <c r="E663" s="65"/>
      <c r="F663" s="60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</row>
    <row r="664" spans="1:26" ht="16.5" customHeight="1">
      <c r="A664" s="64"/>
      <c r="B664" s="63"/>
      <c r="C664" s="63"/>
      <c r="D664" s="63"/>
      <c r="E664" s="65"/>
      <c r="F664" s="60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</row>
    <row r="665" spans="1:26" ht="16.5" customHeight="1">
      <c r="A665" s="64"/>
      <c r="B665" s="63"/>
      <c r="C665" s="63"/>
      <c r="D665" s="63"/>
      <c r="E665" s="65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</row>
    <row r="666" spans="1:26" ht="16.5" customHeight="1">
      <c r="A666" s="64"/>
      <c r="B666" s="63"/>
      <c r="C666" s="63"/>
      <c r="D666" s="63"/>
      <c r="E666" s="65"/>
      <c r="F666" s="60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</row>
    <row r="667" spans="1:26" ht="16.5" customHeight="1">
      <c r="A667" s="64"/>
      <c r="B667" s="63"/>
      <c r="C667" s="63"/>
      <c r="D667" s="63"/>
      <c r="E667" s="65"/>
      <c r="F667" s="60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</row>
    <row r="668" spans="1:26" ht="16.5" customHeight="1">
      <c r="A668" s="64"/>
      <c r="B668" s="63"/>
      <c r="C668" s="63"/>
      <c r="D668" s="63"/>
      <c r="E668" s="65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</row>
    <row r="669" spans="1:26" ht="16.5" customHeight="1">
      <c r="A669" s="64"/>
      <c r="B669" s="63"/>
      <c r="C669" s="63"/>
      <c r="D669" s="63"/>
      <c r="E669" s="65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</row>
    <row r="670" spans="1:26" ht="16.5" customHeight="1">
      <c r="A670" s="64"/>
      <c r="B670" s="63"/>
      <c r="C670" s="63"/>
      <c r="D670" s="63"/>
      <c r="E670" s="65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</row>
    <row r="671" spans="1:26" ht="16.5" customHeight="1">
      <c r="A671" s="64"/>
      <c r="B671" s="63"/>
      <c r="C671" s="63"/>
      <c r="D671" s="63"/>
      <c r="E671" s="65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</row>
    <row r="672" spans="1:26" ht="16.5" customHeight="1">
      <c r="A672" s="64"/>
      <c r="B672" s="63"/>
      <c r="C672" s="63"/>
      <c r="D672" s="63"/>
      <c r="E672" s="65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</row>
    <row r="673" spans="1:26" ht="16.5" customHeight="1">
      <c r="A673" s="64"/>
      <c r="B673" s="63"/>
      <c r="C673" s="63"/>
      <c r="D673" s="63"/>
      <c r="E673" s="65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</row>
    <row r="674" spans="1:26" ht="16.5" customHeight="1">
      <c r="A674" s="64"/>
      <c r="B674" s="63"/>
      <c r="C674" s="63"/>
      <c r="D674" s="63"/>
      <c r="E674" s="65"/>
      <c r="F674" s="60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</row>
    <row r="675" spans="1:26" ht="16.5" customHeight="1">
      <c r="A675" s="64"/>
      <c r="B675" s="63"/>
      <c r="C675" s="63"/>
      <c r="D675" s="63"/>
      <c r="E675" s="65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</row>
    <row r="676" spans="1:26" ht="16.5" customHeight="1">
      <c r="A676" s="64"/>
      <c r="B676" s="63"/>
      <c r="C676" s="63"/>
      <c r="D676" s="63"/>
      <c r="E676" s="65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</row>
    <row r="677" spans="1:26" ht="16.5" customHeight="1">
      <c r="A677" s="64"/>
      <c r="B677" s="63"/>
      <c r="C677" s="63"/>
      <c r="D677" s="63"/>
      <c r="E677" s="65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</row>
    <row r="678" spans="1:26" ht="16.5" customHeight="1">
      <c r="A678" s="64"/>
      <c r="B678" s="63"/>
      <c r="C678" s="63"/>
      <c r="D678" s="63"/>
      <c r="E678" s="65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</row>
    <row r="679" spans="1:26" ht="16.5" customHeight="1">
      <c r="A679" s="64"/>
      <c r="B679" s="63"/>
      <c r="C679" s="63"/>
      <c r="D679" s="63"/>
      <c r="E679" s="65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</row>
    <row r="680" spans="1:26" ht="16.5" customHeight="1">
      <c r="A680" s="64"/>
      <c r="B680" s="63"/>
      <c r="C680" s="63"/>
      <c r="D680" s="63"/>
      <c r="E680" s="65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</row>
    <row r="681" spans="1:26" ht="16.5" customHeight="1">
      <c r="A681" s="64"/>
      <c r="B681" s="63"/>
      <c r="C681" s="63"/>
      <c r="D681" s="63"/>
      <c r="E681" s="65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</row>
    <row r="682" spans="1:26" ht="16.5" customHeight="1">
      <c r="A682" s="64"/>
      <c r="B682" s="63"/>
      <c r="C682" s="63"/>
      <c r="D682" s="63"/>
      <c r="E682" s="65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</row>
    <row r="683" spans="1:26" ht="16.5" customHeight="1">
      <c r="A683" s="64"/>
      <c r="B683" s="63"/>
      <c r="C683" s="63"/>
      <c r="D683" s="63"/>
      <c r="E683" s="65"/>
      <c r="F683" s="60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</row>
    <row r="684" spans="1:26" ht="16.5" customHeight="1">
      <c r="A684" s="64"/>
      <c r="B684" s="63"/>
      <c r="C684" s="63"/>
      <c r="D684" s="63"/>
      <c r="E684" s="65"/>
      <c r="F684" s="60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</row>
    <row r="685" spans="1:26" ht="16.5" customHeight="1">
      <c r="A685" s="64"/>
      <c r="B685" s="63"/>
      <c r="C685" s="63"/>
      <c r="D685" s="63"/>
      <c r="E685" s="65"/>
      <c r="F685" s="60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</row>
    <row r="686" spans="1:26" ht="16.5" customHeight="1">
      <c r="A686" s="64"/>
      <c r="B686" s="63"/>
      <c r="C686" s="63"/>
      <c r="D686" s="63"/>
      <c r="E686" s="65"/>
      <c r="F686" s="60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</row>
    <row r="687" spans="1:26" ht="16.5" customHeight="1">
      <c r="A687" s="64"/>
      <c r="B687" s="63"/>
      <c r="C687" s="63"/>
      <c r="D687" s="63"/>
      <c r="E687" s="65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</row>
    <row r="688" spans="1:26" ht="16.5" customHeight="1">
      <c r="A688" s="64"/>
      <c r="B688" s="63"/>
      <c r="C688" s="63"/>
      <c r="D688" s="63"/>
      <c r="E688" s="65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</row>
    <row r="689" spans="1:26" ht="16.5" customHeight="1">
      <c r="A689" s="64"/>
      <c r="B689" s="63"/>
      <c r="C689" s="63"/>
      <c r="D689" s="63"/>
      <c r="E689" s="65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</row>
    <row r="690" spans="1:26" ht="16.5" customHeight="1">
      <c r="A690" s="64"/>
      <c r="B690" s="63"/>
      <c r="C690" s="63"/>
      <c r="D690" s="63"/>
      <c r="E690" s="65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</row>
    <row r="691" spans="1:26" ht="16.5" customHeight="1">
      <c r="A691" s="64"/>
      <c r="B691" s="63"/>
      <c r="C691" s="63"/>
      <c r="D691" s="63"/>
      <c r="E691" s="65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</row>
    <row r="692" spans="1:26" ht="16.5" customHeight="1">
      <c r="A692" s="64"/>
      <c r="B692" s="63"/>
      <c r="C692" s="63"/>
      <c r="D692" s="63"/>
      <c r="E692" s="65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</row>
    <row r="693" spans="1:26" ht="16.5" customHeight="1">
      <c r="A693" s="64"/>
      <c r="B693" s="63"/>
      <c r="C693" s="63"/>
      <c r="D693" s="63"/>
      <c r="E693" s="65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</row>
    <row r="694" spans="1:26" ht="16.5" customHeight="1">
      <c r="A694" s="64"/>
      <c r="B694" s="63"/>
      <c r="C694" s="63"/>
      <c r="D694" s="63"/>
      <c r="E694" s="65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</row>
    <row r="695" spans="1:26" ht="16.5" customHeight="1">
      <c r="A695" s="64"/>
      <c r="B695" s="63"/>
      <c r="C695" s="63"/>
      <c r="D695" s="63"/>
      <c r="E695" s="65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</row>
    <row r="696" spans="1:26" ht="16.5" customHeight="1">
      <c r="A696" s="64"/>
      <c r="B696" s="63"/>
      <c r="C696" s="63"/>
      <c r="D696" s="63"/>
      <c r="E696" s="65"/>
      <c r="F696" s="60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</row>
    <row r="697" spans="1:26" ht="16.5" customHeight="1">
      <c r="A697" s="64"/>
      <c r="B697" s="63"/>
      <c r="C697" s="63"/>
      <c r="D697" s="63"/>
      <c r="E697" s="65"/>
      <c r="F697" s="60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</row>
    <row r="698" spans="1:26" ht="16.5" customHeight="1">
      <c r="A698" s="64"/>
      <c r="B698" s="63"/>
      <c r="C698" s="63"/>
      <c r="D698" s="63"/>
      <c r="E698" s="65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</row>
    <row r="699" spans="1:26" ht="16.5" customHeight="1">
      <c r="A699" s="64"/>
      <c r="B699" s="63"/>
      <c r="C699" s="63"/>
      <c r="D699" s="63"/>
      <c r="E699" s="65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</row>
    <row r="700" spans="1:26" ht="16.5" customHeight="1">
      <c r="A700" s="64"/>
      <c r="B700" s="63"/>
      <c r="C700" s="63"/>
      <c r="D700" s="63"/>
      <c r="E700" s="65"/>
      <c r="F700" s="60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</row>
    <row r="701" spans="1:26" ht="16.5" customHeight="1">
      <c r="A701" s="64"/>
      <c r="B701" s="63"/>
      <c r="C701" s="63"/>
      <c r="D701" s="63"/>
      <c r="E701" s="65"/>
      <c r="F701" s="60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</row>
    <row r="702" spans="1:26" ht="16.5" customHeight="1">
      <c r="A702" s="64"/>
      <c r="B702" s="63"/>
      <c r="C702" s="63"/>
      <c r="D702" s="63"/>
      <c r="E702" s="65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</row>
    <row r="703" spans="1:26" ht="16.5" customHeight="1">
      <c r="A703" s="64"/>
      <c r="B703" s="63"/>
      <c r="C703" s="63"/>
      <c r="D703" s="63"/>
      <c r="E703" s="65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</row>
    <row r="704" spans="1:26" ht="16.5" customHeight="1">
      <c r="A704" s="64"/>
      <c r="B704" s="63"/>
      <c r="C704" s="63"/>
      <c r="D704" s="63"/>
      <c r="E704" s="65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</row>
    <row r="705" spans="1:26" ht="16.5" customHeight="1">
      <c r="A705" s="64"/>
      <c r="B705" s="63"/>
      <c r="C705" s="63"/>
      <c r="D705" s="63"/>
      <c r="E705" s="65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</row>
    <row r="706" spans="1:26" ht="16.5" customHeight="1">
      <c r="A706" s="64"/>
      <c r="B706" s="63"/>
      <c r="C706" s="63"/>
      <c r="D706" s="63"/>
      <c r="E706" s="65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</row>
    <row r="707" spans="1:26" ht="16.5" customHeight="1">
      <c r="A707" s="64"/>
      <c r="B707" s="63"/>
      <c r="C707" s="63"/>
      <c r="D707" s="63"/>
      <c r="E707" s="65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</row>
    <row r="708" spans="1:26" ht="16.5" customHeight="1">
      <c r="A708" s="64"/>
      <c r="B708" s="63"/>
      <c r="C708" s="63"/>
      <c r="D708" s="63"/>
      <c r="E708" s="65"/>
      <c r="F708" s="60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</row>
    <row r="709" spans="1:26" ht="16.5" customHeight="1">
      <c r="A709" s="64"/>
      <c r="B709" s="63"/>
      <c r="C709" s="63"/>
      <c r="D709" s="63"/>
      <c r="E709" s="65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</row>
    <row r="710" spans="1:26" ht="16.5" customHeight="1">
      <c r="A710" s="64"/>
      <c r="B710" s="63"/>
      <c r="C710" s="63"/>
      <c r="D710" s="63"/>
      <c r="E710" s="65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</row>
    <row r="711" spans="1:26" ht="16.5" customHeight="1">
      <c r="A711" s="64"/>
      <c r="B711" s="63"/>
      <c r="C711" s="63"/>
      <c r="D711" s="63"/>
      <c r="E711" s="65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</row>
    <row r="712" spans="1:26" ht="16.5" customHeight="1">
      <c r="A712" s="64"/>
      <c r="B712" s="63"/>
      <c r="C712" s="63"/>
      <c r="D712" s="63"/>
      <c r="E712" s="65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</row>
    <row r="713" spans="1:26" ht="16.5" customHeight="1">
      <c r="A713" s="64"/>
      <c r="B713" s="63"/>
      <c r="C713" s="63"/>
      <c r="D713" s="63"/>
      <c r="E713" s="65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</row>
    <row r="714" spans="1:26" ht="16.5" customHeight="1">
      <c r="A714" s="64"/>
      <c r="B714" s="63"/>
      <c r="C714" s="63"/>
      <c r="D714" s="63"/>
      <c r="E714" s="65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</row>
    <row r="715" spans="1:26" ht="16.5" customHeight="1">
      <c r="A715" s="64"/>
      <c r="B715" s="63"/>
      <c r="C715" s="63"/>
      <c r="D715" s="63"/>
      <c r="E715" s="65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</row>
    <row r="716" spans="1:26" ht="16.5" customHeight="1">
      <c r="A716" s="64"/>
      <c r="B716" s="63"/>
      <c r="C716" s="63"/>
      <c r="D716" s="63"/>
      <c r="E716" s="65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</row>
    <row r="717" spans="1:26" ht="16.5" customHeight="1">
      <c r="A717" s="64"/>
      <c r="B717" s="63"/>
      <c r="C717" s="63"/>
      <c r="D717" s="63"/>
      <c r="E717" s="65"/>
      <c r="F717" s="60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</row>
    <row r="718" spans="1:26" ht="16.5" customHeight="1">
      <c r="A718" s="64"/>
      <c r="B718" s="63"/>
      <c r="C718" s="63"/>
      <c r="D718" s="63"/>
      <c r="E718" s="65"/>
      <c r="F718" s="60"/>
      <c r="G718" s="60"/>
      <c r="H718" s="60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  <c r="T718" s="60"/>
      <c r="U718" s="60"/>
      <c r="V718" s="60"/>
      <c r="W718" s="60"/>
      <c r="X718" s="60"/>
      <c r="Y718" s="60"/>
      <c r="Z718" s="60"/>
    </row>
    <row r="719" spans="1:26" ht="16.5" customHeight="1">
      <c r="A719" s="64"/>
      <c r="B719" s="63"/>
      <c r="C719" s="63"/>
      <c r="D719" s="63"/>
      <c r="E719" s="65"/>
      <c r="F719" s="60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</row>
    <row r="720" spans="1:26" ht="16.5" customHeight="1">
      <c r="A720" s="64"/>
      <c r="B720" s="63"/>
      <c r="C720" s="63"/>
      <c r="D720" s="63"/>
      <c r="E720" s="65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</row>
    <row r="721" spans="1:26" ht="16.5" customHeight="1">
      <c r="A721" s="64"/>
      <c r="B721" s="63"/>
      <c r="C721" s="63"/>
      <c r="D721" s="63"/>
      <c r="E721" s="65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</row>
    <row r="722" spans="1:26" ht="16.5" customHeight="1">
      <c r="A722" s="64"/>
      <c r="B722" s="63"/>
      <c r="C722" s="63"/>
      <c r="D722" s="63"/>
      <c r="E722" s="65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</row>
    <row r="723" spans="1:26" ht="16.5" customHeight="1">
      <c r="A723" s="64"/>
      <c r="B723" s="63"/>
      <c r="C723" s="63"/>
      <c r="D723" s="63"/>
      <c r="E723" s="65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</row>
    <row r="724" spans="1:26" ht="16.5" customHeight="1">
      <c r="A724" s="64"/>
      <c r="B724" s="63"/>
      <c r="C724" s="63"/>
      <c r="D724" s="63"/>
      <c r="E724" s="65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</row>
    <row r="725" spans="1:26" ht="16.5" customHeight="1">
      <c r="A725" s="64"/>
      <c r="B725" s="63"/>
      <c r="C725" s="63"/>
      <c r="D725" s="63"/>
      <c r="E725" s="65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</row>
    <row r="726" spans="1:26" ht="16.5" customHeight="1">
      <c r="A726" s="64"/>
      <c r="B726" s="63"/>
      <c r="C726" s="63"/>
      <c r="D726" s="63"/>
      <c r="E726" s="65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</row>
    <row r="727" spans="1:26" ht="16.5" customHeight="1">
      <c r="A727" s="64"/>
      <c r="B727" s="63"/>
      <c r="C727" s="63"/>
      <c r="D727" s="63"/>
      <c r="E727" s="65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</row>
    <row r="728" spans="1:26" ht="16.5" customHeight="1">
      <c r="A728" s="64"/>
      <c r="B728" s="63"/>
      <c r="C728" s="63"/>
      <c r="D728" s="63"/>
      <c r="E728" s="65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</row>
    <row r="729" spans="1:26" ht="16.5" customHeight="1">
      <c r="A729" s="64"/>
      <c r="B729" s="63"/>
      <c r="C729" s="63"/>
      <c r="D729" s="63"/>
      <c r="E729" s="65"/>
      <c r="F729" s="60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</row>
    <row r="730" spans="1:26" ht="16.5" customHeight="1">
      <c r="A730" s="64"/>
      <c r="B730" s="63"/>
      <c r="C730" s="63"/>
      <c r="D730" s="63"/>
      <c r="E730" s="65"/>
      <c r="F730" s="60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</row>
    <row r="731" spans="1:26" ht="16.5" customHeight="1">
      <c r="A731" s="64"/>
      <c r="B731" s="63"/>
      <c r="C731" s="63"/>
      <c r="D731" s="63"/>
      <c r="E731" s="65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</row>
    <row r="732" spans="1:26" ht="16.5" customHeight="1">
      <c r="A732" s="64"/>
      <c r="B732" s="63"/>
      <c r="C732" s="63"/>
      <c r="D732" s="63"/>
      <c r="E732" s="65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</row>
    <row r="733" spans="1:26" ht="16.5" customHeight="1">
      <c r="A733" s="64"/>
      <c r="B733" s="63"/>
      <c r="C733" s="63"/>
      <c r="D733" s="63"/>
      <c r="E733" s="65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</row>
    <row r="734" spans="1:26" ht="16.5" customHeight="1">
      <c r="A734" s="64"/>
      <c r="B734" s="63"/>
      <c r="C734" s="63"/>
      <c r="D734" s="63"/>
      <c r="E734" s="65"/>
      <c r="F734" s="60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</row>
    <row r="735" spans="1:26" ht="16.5" customHeight="1">
      <c r="A735" s="64"/>
      <c r="B735" s="63"/>
      <c r="C735" s="63"/>
      <c r="D735" s="63"/>
      <c r="E735" s="65"/>
      <c r="F735" s="60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</row>
    <row r="736" spans="1:26" ht="16.5" customHeight="1">
      <c r="A736" s="64"/>
      <c r="B736" s="63"/>
      <c r="C736" s="63"/>
      <c r="D736" s="63"/>
      <c r="E736" s="65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</row>
    <row r="737" spans="1:26" ht="16.5" customHeight="1">
      <c r="A737" s="64"/>
      <c r="B737" s="63"/>
      <c r="C737" s="63"/>
      <c r="D737" s="63"/>
      <c r="E737" s="65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</row>
    <row r="738" spans="1:26" ht="16.5" customHeight="1">
      <c r="A738" s="64"/>
      <c r="B738" s="63"/>
      <c r="C738" s="63"/>
      <c r="D738" s="63"/>
      <c r="E738" s="65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</row>
    <row r="739" spans="1:26" ht="16.5" customHeight="1">
      <c r="A739" s="64"/>
      <c r="B739" s="63"/>
      <c r="C739" s="63"/>
      <c r="D739" s="63"/>
      <c r="E739" s="65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</row>
    <row r="740" spans="1:26" ht="16.5" customHeight="1">
      <c r="A740" s="64"/>
      <c r="B740" s="63"/>
      <c r="C740" s="63"/>
      <c r="D740" s="63"/>
      <c r="E740" s="65"/>
      <c r="F740" s="60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</row>
    <row r="741" spans="1:26" ht="16.5" customHeight="1">
      <c r="A741" s="64"/>
      <c r="B741" s="63"/>
      <c r="C741" s="63"/>
      <c r="D741" s="63"/>
      <c r="E741" s="65"/>
      <c r="F741" s="60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</row>
    <row r="742" spans="1:26" ht="16.5" customHeight="1">
      <c r="A742" s="64"/>
      <c r="B742" s="63"/>
      <c r="C742" s="63"/>
      <c r="D742" s="63"/>
      <c r="E742" s="65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</row>
    <row r="743" spans="1:26" ht="16.5" customHeight="1">
      <c r="A743" s="64"/>
      <c r="B743" s="63"/>
      <c r="C743" s="63"/>
      <c r="D743" s="63"/>
      <c r="E743" s="65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</row>
    <row r="744" spans="1:26" ht="16.5" customHeight="1">
      <c r="A744" s="64"/>
      <c r="B744" s="63"/>
      <c r="C744" s="63"/>
      <c r="D744" s="63"/>
      <c r="E744" s="65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</row>
    <row r="745" spans="1:26" ht="16.5" customHeight="1">
      <c r="A745" s="64"/>
      <c r="B745" s="63"/>
      <c r="C745" s="63"/>
      <c r="D745" s="63"/>
      <c r="E745" s="65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</row>
    <row r="746" spans="1:26" ht="16.5" customHeight="1">
      <c r="A746" s="64"/>
      <c r="B746" s="63"/>
      <c r="C746" s="63"/>
      <c r="D746" s="63"/>
      <c r="E746" s="65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</row>
    <row r="747" spans="1:26" ht="16.5" customHeight="1">
      <c r="A747" s="64"/>
      <c r="B747" s="63"/>
      <c r="C747" s="63"/>
      <c r="D747" s="63"/>
      <c r="E747" s="65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</row>
    <row r="748" spans="1:26" ht="16.5" customHeight="1">
      <c r="A748" s="64"/>
      <c r="B748" s="63"/>
      <c r="C748" s="63"/>
      <c r="D748" s="63"/>
      <c r="E748" s="65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</row>
    <row r="749" spans="1:26" ht="16.5" customHeight="1">
      <c r="A749" s="64"/>
      <c r="B749" s="63"/>
      <c r="C749" s="63"/>
      <c r="D749" s="63"/>
      <c r="E749" s="65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</row>
    <row r="750" spans="1:26" ht="16.5" customHeight="1">
      <c r="A750" s="64"/>
      <c r="B750" s="63"/>
      <c r="C750" s="63"/>
      <c r="D750" s="63"/>
      <c r="E750" s="65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</row>
    <row r="751" spans="1:26" ht="16.5" customHeight="1">
      <c r="A751" s="64"/>
      <c r="B751" s="63"/>
      <c r="C751" s="63"/>
      <c r="D751" s="63"/>
      <c r="E751" s="65"/>
      <c r="F751" s="60"/>
      <c r="G751" s="60"/>
      <c r="H751" s="60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</row>
    <row r="752" spans="1:26" ht="16.5" customHeight="1">
      <c r="A752" s="64"/>
      <c r="B752" s="63"/>
      <c r="C752" s="63"/>
      <c r="D752" s="63"/>
      <c r="E752" s="65"/>
      <c r="F752" s="60"/>
      <c r="G752" s="60"/>
      <c r="H752" s="60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  <c r="T752" s="60"/>
      <c r="U752" s="60"/>
      <c r="V752" s="60"/>
      <c r="W752" s="60"/>
      <c r="X752" s="60"/>
      <c r="Y752" s="60"/>
      <c r="Z752" s="60"/>
    </row>
    <row r="753" spans="1:26" ht="16.5" customHeight="1">
      <c r="A753" s="64"/>
      <c r="B753" s="63"/>
      <c r="C753" s="63"/>
      <c r="D753" s="63"/>
      <c r="E753" s="65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</row>
    <row r="754" spans="1:26" ht="16.5" customHeight="1">
      <c r="A754" s="64"/>
      <c r="B754" s="63"/>
      <c r="C754" s="63"/>
      <c r="D754" s="63"/>
      <c r="E754" s="65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</row>
    <row r="755" spans="1:26" ht="16.5" customHeight="1">
      <c r="A755" s="64"/>
      <c r="B755" s="63"/>
      <c r="C755" s="63"/>
      <c r="D755" s="63"/>
      <c r="E755" s="65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</row>
    <row r="756" spans="1:26" ht="16.5" customHeight="1">
      <c r="A756" s="64"/>
      <c r="B756" s="63"/>
      <c r="C756" s="63"/>
      <c r="D756" s="63"/>
      <c r="E756" s="65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</row>
    <row r="757" spans="1:26" ht="16.5" customHeight="1">
      <c r="A757" s="64"/>
      <c r="B757" s="63"/>
      <c r="C757" s="63"/>
      <c r="D757" s="63"/>
      <c r="E757" s="65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</row>
    <row r="758" spans="1:26" ht="16.5" customHeight="1">
      <c r="A758" s="64"/>
      <c r="B758" s="63"/>
      <c r="C758" s="63"/>
      <c r="D758" s="63"/>
      <c r="E758" s="65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</row>
    <row r="759" spans="1:26" ht="16.5" customHeight="1">
      <c r="A759" s="64"/>
      <c r="B759" s="63"/>
      <c r="C759" s="63"/>
      <c r="D759" s="63"/>
      <c r="E759" s="65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</row>
    <row r="760" spans="1:26" ht="16.5" customHeight="1">
      <c r="A760" s="64"/>
      <c r="B760" s="63"/>
      <c r="C760" s="63"/>
      <c r="D760" s="63"/>
      <c r="E760" s="65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</row>
    <row r="761" spans="1:26" ht="16.5" customHeight="1">
      <c r="A761" s="64"/>
      <c r="B761" s="63"/>
      <c r="C761" s="63"/>
      <c r="D761" s="63"/>
      <c r="E761" s="65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</row>
    <row r="762" spans="1:26" ht="16.5" customHeight="1">
      <c r="A762" s="64"/>
      <c r="B762" s="63"/>
      <c r="C762" s="63"/>
      <c r="D762" s="63"/>
      <c r="E762" s="65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</row>
    <row r="763" spans="1:26" ht="16.5" customHeight="1">
      <c r="A763" s="64"/>
      <c r="B763" s="63"/>
      <c r="C763" s="63"/>
      <c r="D763" s="63"/>
      <c r="E763" s="65"/>
      <c r="F763" s="60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</row>
    <row r="764" spans="1:26" ht="16.5" customHeight="1">
      <c r="A764" s="64"/>
      <c r="B764" s="63"/>
      <c r="C764" s="63"/>
      <c r="D764" s="63"/>
      <c r="E764" s="65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</row>
    <row r="765" spans="1:26" ht="16.5" customHeight="1">
      <c r="A765" s="64"/>
      <c r="B765" s="63"/>
      <c r="C765" s="63"/>
      <c r="D765" s="63"/>
      <c r="E765" s="65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</row>
    <row r="766" spans="1:26" ht="16.5" customHeight="1">
      <c r="A766" s="64"/>
      <c r="B766" s="63"/>
      <c r="C766" s="63"/>
      <c r="D766" s="63"/>
      <c r="E766" s="65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</row>
    <row r="767" spans="1:26" ht="16.5" customHeight="1">
      <c r="A767" s="64"/>
      <c r="B767" s="63"/>
      <c r="C767" s="63"/>
      <c r="D767" s="63"/>
      <c r="E767" s="65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</row>
    <row r="768" spans="1:26" ht="16.5" customHeight="1">
      <c r="A768" s="64"/>
      <c r="B768" s="63"/>
      <c r="C768" s="63"/>
      <c r="D768" s="63"/>
      <c r="E768" s="65"/>
      <c r="F768" s="60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</row>
    <row r="769" spans="1:26" ht="16.5" customHeight="1">
      <c r="A769" s="64"/>
      <c r="B769" s="63"/>
      <c r="C769" s="63"/>
      <c r="D769" s="63"/>
      <c r="E769" s="65"/>
      <c r="F769" s="60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</row>
    <row r="770" spans="1:26" ht="16.5" customHeight="1">
      <c r="A770" s="64"/>
      <c r="B770" s="63"/>
      <c r="C770" s="63"/>
      <c r="D770" s="63"/>
      <c r="E770" s="65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</row>
    <row r="771" spans="1:26" ht="16.5" customHeight="1">
      <c r="A771" s="64"/>
      <c r="B771" s="63"/>
      <c r="C771" s="63"/>
      <c r="D771" s="63"/>
      <c r="E771" s="65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</row>
    <row r="772" spans="1:26" ht="16.5" customHeight="1">
      <c r="A772" s="64"/>
      <c r="B772" s="63"/>
      <c r="C772" s="63"/>
      <c r="D772" s="63"/>
      <c r="E772" s="65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</row>
    <row r="773" spans="1:26" ht="16.5" customHeight="1">
      <c r="A773" s="64"/>
      <c r="B773" s="63"/>
      <c r="C773" s="63"/>
      <c r="D773" s="63"/>
      <c r="E773" s="65"/>
      <c r="F773" s="60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</row>
    <row r="774" spans="1:26" ht="16.5" customHeight="1">
      <c r="A774" s="64"/>
      <c r="B774" s="63"/>
      <c r="C774" s="63"/>
      <c r="D774" s="63"/>
      <c r="E774" s="65"/>
      <c r="F774" s="60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</row>
    <row r="775" spans="1:26" ht="16.5" customHeight="1">
      <c r="A775" s="64"/>
      <c r="B775" s="63"/>
      <c r="C775" s="63"/>
      <c r="D775" s="63"/>
      <c r="E775" s="65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</row>
    <row r="776" spans="1:26" ht="16.5" customHeight="1">
      <c r="A776" s="64"/>
      <c r="B776" s="63"/>
      <c r="C776" s="63"/>
      <c r="D776" s="63"/>
      <c r="E776" s="65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</row>
    <row r="777" spans="1:26" ht="16.5" customHeight="1">
      <c r="A777" s="64"/>
      <c r="B777" s="63"/>
      <c r="C777" s="63"/>
      <c r="D777" s="63"/>
      <c r="E777" s="65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</row>
    <row r="778" spans="1:26" ht="16.5" customHeight="1">
      <c r="A778" s="64"/>
      <c r="B778" s="63"/>
      <c r="C778" s="63"/>
      <c r="D778" s="63"/>
      <c r="E778" s="65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</row>
    <row r="779" spans="1:26" ht="16.5" customHeight="1">
      <c r="A779" s="64"/>
      <c r="B779" s="63"/>
      <c r="C779" s="63"/>
      <c r="D779" s="63"/>
      <c r="E779" s="65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</row>
    <row r="780" spans="1:26" ht="16.5" customHeight="1">
      <c r="A780" s="64"/>
      <c r="B780" s="63"/>
      <c r="C780" s="63"/>
      <c r="D780" s="63"/>
      <c r="E780" s="65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</row>
    <row r="781" spans="1:26" ht="16.5" customHeight="1">
      <c r="A781" s="64"/>
      <c r="B781" s="63"/>
      <c r="C781" s="63"/>
      <c r="D781" s="63"/>
      <c r="E781" s="65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</row>
    <row r="782" spans="1:26" ht="16.5" customHeight="1">
      <c r="A782" s="64"/>
      <c r="B782" s="63"/>
      <c r="C782" s="63"/>
      <c r="D782" s="63"/>
      <c r="E782" s="65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</row>
    <row r="783" spans="1:26" ht="16.5" customHeight="1">
      <c r="A783" s="64"/>
      <c r="B783" s="63"/>
      <c r="C783" s="63"/>
      <c r="D783" s="63"/>
      <c r="E783" s="65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</row>
    <row r="784" spans="1:26" ht="16.5" customHeight="1">
      <c r="A784" s="64"/>
      <c r="B784" s="63"/>
      <c r="C784" s="63"/>
      <c r="D784" s="63"/>
      <c r="E784" s="65"/>
      <c r="F784" s="60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</row>
    <row r="785" spans="1:26" ht="16.5" customHeight="1">
      <c r="A785" s="64"/>
      <c r="B785" s="63"/>
      <c r="C785" s="63"/>
      <c r="D785" s="63"/>
      <c r="E785" s="65"/>
      <c r="F785" s="60"/>
      <c r="G785" s="60"/>
      <c r="H785" s="60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  <c r="T785" s="60"/>
      <c r="U785" s="60"/>
      <c r="V785" s="60"/>
      <c r="W785" s="60"/>
      <c r="X785" s="60"/>
      <c r="Y785" s="60"/>
      <c r="Z785" s="60"/>
    </row>
    <row r="786" spans="1:26" ht="16.5" customHeight="1">
      <c r="A786" s="64"/>
      <c r="B786" s="63"/>
      <c r="C786" s="63"/>
      <c r="D786" s="63"/>
      <c r="E786" s="65"/>
      <c r="F786" s="60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</row>
    <row r="787" spans="1:26" ht="16.5" customHeight="1">
      <c r="A787" s="64"/>
      <c r="B787" s="63"/>
      <c r="C787" s="63"/>
      <c r="D787" s="63"/>
      <c r="E787" s="65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</row>
    <row r="788" spans="1:26" ht="16.5" customHeight="1">
      <c r="A788" s="64"/>
      <c r="B788" s="63"/>
      <c r="C788" s="63"/>
      <c r="D788" s="63"/>
      <c r="E788" s="65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</row>
    <row r="789" spans="1:26" ht="16.5" customHeight="1">
      <c r="A789" s="64"/>
      <c r="B789" s="63"/>
      <c r="C789" s="63"/>
      <c r="D789" s="63"/>
      <c r="E789" s="65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</row>
    <row r="790" spans="1:26" ht="16.5" customHeight="1">
      <c r="A790" s="64"/>
      <c r="B790" s="63"/>
      <c r="C790" s="63"/>
      <c r="D790" s="63"/>
      <c r="E790" s="65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</row>
    <row r="791" spans="1:26" ht="16.5" customHeight="1">
      <c r="A791" s="64"/>
      <c r="B791" s="63"/>
      <c r="C791" s="63"/>
      <c r="D791" s="63"/>
      <c r="E791" s="65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</row>
    <row r="792" spans="1:26" ht="16.5" customHeight="1">
      <c r="A792" s="64"/>
      <c r="B792" s="63"/>
      <c r="C792" s="63"/>
      <c r="D792" s="63"/>
      <c r="E792" s="65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</row>
    <row r="793" spans="1:26" ht="16.5" customHeight="1">
      <c r="A793" s="64"/>
      <c r="B793" s="63"/>
      <c r="C793" s="63"/>
      <c r="D793" s="63"/>
      <c r="E793" s="65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</row>
    <row r="794" spans="1:26" ht="16.5" customHeight="1">
      <c r="A794" s="64"/>
      <c r="B794" s="63"/>
      <c r="C794" s="63"/>
      <c r="D794" s="63"/>
      <c r="E794" s="65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</row>
    <row r="795" spans="1:26" ht="16.5" customHeight="1">
      <c r="A795" s="64"/>
      <c r="B795" s="63"/>
      <c r="C795" s="63"/>
      <c r="D795" s="63"/>
      <c r="E795" s="65"/>
      <c r="F795" s="60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</row>
    <row r="796" spans="1:26" ht="16.5" customHeight="1">
      <c r="A796" s="64"/>
      <c r="B796" s="63"/>
      <c r="C796" s="63"/>
      <c r="D796" s="63"/>
      <c r="E796" s="65"/>
      <c r="F796" s="60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</row>
    <row r="797" spans="1:26" ht="16.5" customHeight="1">
      <c r="A797" s="64"/>
      <c r="B797" s="63"/>
      <c r="C797" s="63"/>
      <c r="D797" s="63"/>
      <c r="E797" s="65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</row>
    <row r="798" spans="1:26" ht="16.5" customHeight="1">
      <c r="A798" s="64"/>
      <c r="B798" s="63"/>
      <c r="C798" s="63"/>
      <c r="D798" s="63"/>
      <c r="E798" s="65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</row>
    <row r="799" spans="1:26" ht="16.5" customHeight="1">
      <c r="A799" s="64"/>
      <c r="B799" s="63"/>
      <c r="C799" s="63"/>
      <c r="D799" s="63"/>
      <c r="E799" s="65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</row>
    <row r="800" spans="1:26" ht="16.5" customHeight="1">
      <c r="A800" s="64"/>
      <c r="B800" s="63"/>
      <c r="C800" s="63"/>
      <c r="D800" s="63"/>
      <c r="E800" s="65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</row>
    <row r="801" spans="1:26" ht="16.5" customHeight="1">
      <c r="A801" s="64"/>
      <c r="B801" s="63"/>
      <c r="C801" s="63"/>
      <c r="D801" s="63"/>
      <c r="E801" s="65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</row>
    <row r="802" spans="1:26" ht="16.5" customHeight="1">
      <c r="A802" s="64"/>
      <c r="B802" s="63"/>
      <c r="C802" s="63"/>
      <c r="D802" s="63"/>
      <c r="E802" s="65"/>
      <c r="F802" s="60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</row>
    <row r="803" spans="1:26" ht="16.5" customHeight="1">
      <c r="A803" s="64"/>
      <c r="B803" s="63"/>
      <c r="C803" s="63"/>
      <c r="D803" s="63"/>
      <c r="E803" s="65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</row>
    <row r="804" spans="1:26" ht="16.5" customHeight="1">
      <c r="A804" s="64"/>
      <c r="B804" s="63"/>
      <c r="C804" s="63"/>
      <c r="D804" s="63"/>
      <c r="E804" s="65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</row>
    <row r="805" spans="1:26" ht="16.5" customHeight="1">
      <c r="A805" s="64"/>
      <c r="B805" s="63"/>
      <c r="C805" s="63"/>
      <c r="D805" s="63"/>
      <c r="E805" s="65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</row>
    <row r="806" spans="1:26" ht="16.5" customHeight="1">
      <c r="A806" s="64"/>
      <c r="B806" s="63"/>
      <c r="C806" s="63"/>
      <c r="D806" s="63"/>
      <c r="E806" s="65"/>
      <c r="F806" s="60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</row>
    <row r="807" spans="1:26" ht="16.5" customHeight="1">
      <c r="A807" s="64"/>
      <c r="B807" s="63"/>
      <c r="C807" s="63"/>
      <c r="D807" s="63"/>
      <c r="E807" s="65"/>
      <c r="F807" s="60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</row>
    <row r="808" spans="1:26" ht="16.5" customHeight="1">
      <c r="A808" s="64"/>
      <c r="B808" s="63"/>
      <c r="C808" s="63"/>
      <c r="D808" s="63"/>
      <c r="E808" s="65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</row>
    <row r="809" spans="1:26" ht="16.5" customHeight="1">
      <c r="A809" s="64"/>
      <c r="B809" s="63"/>
      <c r="C809" s="63"/>
      <c r="D809" s="63"/>
      <c r="E809" s="65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</row>
    <row r="810" spans="1:26" ht="16.5" customHeight="1">
      <c r="A810" s="64"/>
      <c r="B810" s="63"/>
      <c r="C810" s="63"/>
      <c r="D810" s="63"/>
      <c r="E810" s="65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</row>
    <row r="811" spans="1:26" ht="16.5" customHeight="1">
      <c r="A811" s="64"/>
      <c r="B811" s="63"/>
      <c r="C811" s="63"/>
      <c r="D811" s="63"/>
      <c r="E811" s="65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</row>
    <row r="812" spans="1:26" ht="16.5" customHeight="1">
      <c r="A812" s="64"/>
      <c r="B812" s="63"/>
      <c r="C812" s="63"/>
      <c r="D812" s="63"/>
      <c r="E812" s="65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</row>
    <row r="813" spans="1:26" ht="16.5" customHeight="1">
      <c r="A813" s="64"/>
      <c r="B813" s="63"/>
      <c r="C813" s="63"/>
      <c r="D813" s="63"/>
      <c r="E813" s="65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</row>
    <row r="814" spans="1:26" ht="16.5" customHeight="1">
      <c r="A814" s="64"/>
      <c r="B814" s="63"/>
      <c r="C814" s="63"/>
      <c r="D814" s="63"/>
      <c r="E814" s="65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</row>
    <row r="815" spans="1:26" ht="16.5" customHeight="1">
      <c r="A815" s="64"/>
      <c r="B815" s="63"/>
      <c r="C815" s="63"/>
      <c r="D815" s="63"/>
      <c r="E815" s="65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</row>
    <row r="816" spans="1:26" ht="16.5" customHeight="1">
      <c r="A816" s="64"/>
      <c r="B816" s="63"/>
      <c r="C816" s="63"/>
      <c r="D816" s="63"/>
      <c r="E816" s="65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</row>
    <row r="817" spans="1:26" ht="16.5" customHeight="1">
      <c r="A817" s="64"/>
      <c r="B817" s="63"/>
      <c r="C817" s="63"/>
      <c r="D817" s="63"/>
      <c r="E817" s="65"/>
      <c r="F817" s="60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</row>
    <row r="818" spans="1:26" ht="16.5" customHeight="1">
      <c r="A818" s="64"/>
      <c r="B818" s="63"/>
      <c r="C818" s="63"/>
      <c r="D818" s="63"/>
      <c r="E818" s="65"/>
      <c r="F818" s="60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</row>
    <row r="819" spans="1:26" ht="16.5" customHeight="1">
      <c r="A819" s="64"/>
      <c r="B819" s="63"/>
      <c r="C819" s="63"/>
      <c r="D819" s="63"/>
      <c r="E819" s="65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</row>
    <row r="820" spans="1:26" ht="16.5" customHeight="1">
      <c r="A820" s="64"/>
      <c r="B820" s="63"/>
      <c r="C820" s="63"/>
      <c r="D820" s="63"/>
      <c r="E820" s="65"/>
      <c r="F820" s="60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</row>
    <row r="821" spans="1:26" ht="16.5" customHeight="1">
      <c r="A821" s="64"/>
      <c r="B821" s="63"/>
      <c r="C821" s="63"/>
      <c r="D821" s="63"/>
      <c r="E821" s="65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</row>
    <row r="822" spans="1:26" ht="16.5" customHeight="1">
      <c r="A822" s="64"/>
      <c r="B822" s="63"/>
      <c r="C822" s="63"/>
      <c r="D822" s="63"/>
      <c r="E822" s="65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</row>
    <row r="823" spans="1:26" ht="16.5" customHeight="1">
      <c r="A823" s="64"/>
      <c r="B823" s="63"/>
      <c r="C823" s="63"/>
      <c r="D823" s="63"/>
      <c r="E823" s="65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</row>
    <row r="824" spans="1:26" ht="16.5" customHeight="1">
      <c r="A824" s="64"/>
      <c r="B824" s="63"/>
      <c r="C824" s="63"/>
      <c r="D824" s="63"/>
      <c r="E824" s="65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</row>
    <row r="825" spans="1:26" ht="16.5" customHeight="1">
      <c r="A825" s="64"/>
      <c r="B825" s="63"/>
      <c r="C825" s="63"/>
      <c r="D825" s="63"/>
      <c r="E825" s="65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</row>
    <row r="826" spans="1:26" ht="16.5" customHeight="1">
      <c r="A826" s="64"/>
      <c r="B826" s="63"/>
      <c r="C826" s="63"/>
      <c r="D826" s="63"/>
      <c r="E826" s="65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</row>
    <row r="827" spans="1:26" ht="16.5" customHeight="1">
      <c r="A827" s="64"/>
      <c r="B827" s="63"/>
      <c r="C827" s="63"/>
      <c r="D827" s="63"/>
      <c r="E827" s="65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</row>
    <row r="828" spans="1:26" ht="16.5" customHeight="1">
      <c r="A828" s="64"/>
      <c r="B828" s="63"/>
      <c r="C828" s="63"/>
      <c r="D828" s="63"/>
      <c r="E828" s="65"/>
      <c r="F828" s="60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</row>
    <row r="829" spans="1:26" ht="16.5" customHeight="1">
      <c r="A829" s="64"/>
      <c r="B829" s="63"/>
      <c r="C829" s="63"/>
      <c r="D829" s="63"/>
      <c r="E829" s="65"/>
      <c r="F829" s="60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</row>
    <row r="830" spans="1:26" ht="16.5" customHeight="1">
      <c r="A830" s="64"/>
      <c r="B830" s="63"/>
      <c r="C830" s="63"/>
      <c r="D830" s="63"/>
      <c r="E830" s="65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</row>
    <row r="831" spans="1:26" ht="16.5" customHeight="1">
      <c r="A831" s="64"/>
      <c r="B831" s="63"/>
      <c r="C831" s="63"/>
      <c r="D831" s="63"/>
      <c r="E831" s="65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</row>
    <row r="832" spans="1:26" ht="16.5" customHeight="1">
      <c r="A832" s="64"/>
      <c r="B832" s="63"/>
      <c r="C832" s="63"/>
      <c r="D832" s="63"/>
      <c r="E832" s="65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</row>
    <row r="833" spans="1:26" ht="16.5" customHeight="1">
      <c r="A833" s="64"/>
      <c r="B833" s="63"/>
      <c r="C833" s="63"/>
      <c r="D833" s="63"/>
      <c r="E833" s="65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</row>
    <row r="834" spans="1:26" ht="16.5" customHeight="1">
      <c r="A834" s="64"/>
      <c r="B834" s="63"/>
      <c r="C834" s="63"/>
      <c r="D834" s="63"/>
      <c r="E834" s="65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</row>
    <row r="835" spans="1:26" ht="16.5" customHeight="1">
      <c r="A835" s="64"/>
      <c r="B835" s="63"/>
      <c r="C835" s="63"/>
      <c r="D835" s="63"/>
      <c r="E835" s="65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</row>
    <row r="836" spans="1:26" ht="16.5" customHeight="1">
      <c r="A836" s="64"/>
      <c r="B836" s="63"/>
      <c r="C836" s="63"/>
      <c r="D836" s="63"/>
      <c r="E836" s="65"/>
      <c r="F836" s="60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</row>
    <row r="837" spans="1:26" ht="16.5" customHeight="1">
      <c r="A837" s="64"/>
      <c r="B837" s="63"/>
      <c r="C837" s="63"/>
      <c r="D837" s="63"/>
      <c r="E837" s="65"/>
      <c r="F837" s="60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</row>
    <row r="838" spans="1:26" ht="16.5" customHeight="1">
      <c r="A838" s="64"/>
      <c r="B838" s="63"/>
      <c r="C838" s="63"/>
      <c r="D838" s="63"/>
      <c r="E838" s="65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</row>
    <row r="839" spans="1:26" ht="16.5" customHeight="1">
      <c r="A839" s="64"/>
      <c r="B839" s="63"/>
      <c r="C839" s="63"/>
      <c r="D839" s="63"/>
      <c r="E839" s="65"/>
      <c r="F839" s="60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</row>
    <row r="840" spans="1:26" ht="16.5" customHeight="1">
      <c r="A840" s="64"/>
      <c r="B840" s="63"/>
      <c r="C840" s="63"/>
      <c r="D840" s="63"/>
      <c r="E840" s="65"/>
      <c r="F840" s="60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</row>
    <row r="841" spans="1:26" ht="16.5" customHeight="1">
      <c r="A841" s="64"/>
      <c r="B841" s="63"/>
      <c r="C841" s="63"/>
      <c r="D841" s="63"/>
      <c r="E841" s="65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</row>
    <row r="842" spans="1:26" ht="16.5" customHeight="1">
      <c r="A842" s="64"/>
      <c r="B842" s="63"/>
      <c r="C842" s="63"/>
      <c r="D842" s="63"/>
      <c r="E842" s="65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</row>
    <row r="843" spans="1:26" ht="16.5" customHeight="1">
      <c r="A843" s="64"/>
      <c r="B843" s="63"/>
      <c r="C843" s="63"/>
      <c r="D843" s="63"/>
      <c r="E843" s="65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</row>
    <row r="844" spans="1:26" ht="16.5" customHeight="1">
      <c r="A844" s="64"/>
      <c r="B844" s="63"/>
      <c r="C844" s="63"/>
      <c r="D844" s="63"/>
      <c r="E844" s="65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</row>
    <row r="845" spans="1:26" ht="16.5" customHeight="1">
      <c r="A845" s="64"/>
      <c r="B845" s="63"/>
      <c r="C845" s="63"/>
      <c r="D845" s="63"/>
      <c r="E845" s="65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</row>
    <row r="846" spans="1:26" ht="16.5" customHeight="1">
      <c r="A846" s="64"/>
      <c r="B846" s="63"/>
      <c r="C846" s="63"/>
      <c r="D846" s="63"/>
      <c r="E846" s="65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</row>
    <row r="847" spans="1:26" ht="16.5" customHeight="1">
      <c r="A847" s="64"/>
      <c r="B847" s="63"/>
      <c r="C847" s="63"/>
      <c r="D847" s="63"/>
      <c r="E847" s="65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</row>
    <row r="848" spans="1:26" ht="16.5" customHeight="1">
      <c r="A848" s="64"/>
      <c r="B848" s="63"/>
      <c r="C848" s="63"/>
      <c r="D848" s="63"/>
      <c r="E848" s="65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</row>
    <row r="849" spans="1:26" ht="16.5" customHeight="1">
      <c r="A849" s="64"/>
      <c r="B849" s="63"/>
      <c r="C849" s="63"/>
      <c r="D849" s="63"/>
      <c r="E849" s="65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</row>
    <row r="850" spans="1:26" ht="16.5" customHeight="1">
      <c r="A850" s="64"/>
      <c r="B850" s="63"/>
      <c r="C850" s="63"/>
      <c r="D850" s="63"/>
      <c r="E850" s="65"/>
      <c r="F850" s="60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</row>
    <row r="851" spans="1:26" ht="16.5" customHeight="1">
      <c r="A851" s="64"/>
      <c r="B851" s="63"/>
      <c r="C851" s="63"/>
      <c r="D851" s="63"/>
      <c r="E851" s="65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</row>
    <row r="852" spans="1:26" ht="16.5" customHeight="1">
      <c r="A852" s="64"/>
      <c r="B852" s="63"/>
      <c r="C852" s="63"/>
      <c r="D852" s="63"/>
      <c r="E852" s="65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</row>
    <row r="853" spans="1:26" ht="16.5" customHeight="1">
      <c r="A853" s="64"/>
      <c r="B853" s="63"/>
      <c r="C853" s="63"/>
      <c r="D853" s="63"/>
      <c r="E853" s="65"/>
      <c r="F853" s="60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</row>
    <row r="854" spans="1:26" ht="16.5" customHeight="1">
      <c r="A854" s="64"/>
      <c r="B854" s="63"/>
      <c r="C854" s="63"/>
      <c r="D854" s="63"/>
      <c r="E854" s="65"/>
      <c r="F854" s="60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</row>
    <row r="855" spans="1:26" ht="16.5" customHeight="1">
      <c r="A855" s="64"/>
      <c r="B855" s="63"/>
      <c r="C855" s="63"/>
      <c r="D855" s="63"/>
      <c r="E855" s="65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</row>
    <row r="856" spans="1:26" ht="16.5" customHeight="1">
      <c r="A856" s="64"/>
      <c r="B856" s="63"/>
      <c r="C856" s="63"/>
      <c r="D856" s="63"/>
      <c r="E856" s="65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</row>
    <row r="857" spans="1:26" ht="16.5" customHeight="1">
      <c r="A857" s="64"/>
      <c r="B857" s="63"/>
      <c r="C857" s="63"/>
      <c r="D857" s="63"/>
      <c r="E857" s="65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</row>
    <row r="858" spans="1:26" ht="16.5" customHeight="1">
      <c r="A858" s="64"/>
      <c r="B858" s="63"/>
      <c r="C858" s="63"/>
      <c r="D858" s="63"/>
      <c r="E858" s="65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</row>
    <row r="859" spans="1:26" ht="16.5" customHeight="1">
      <c r="A859" s="64"/>
      <c r="B859" s="63"/>
      <c r="C859" s="63"/>
      <c r="D859" s="63"/>
      <c r="E859" s="65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</row>
    <row r="860" spans="1:26" ht="16.5" customHeight="1">
      <c r="A860" s="64"/>
      <c r="B860" s="63"/>
      <c r="C860" s="63"/>
      <c r="D860" s="63"/>
      <c r="E860" s="65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</row>
    <row r="861" spans="1:26" ht="16.5" customHeight="1">
      <c r="A861" s="64"/>
      <c r="B861" s="63"/>
      <c r="C861" s="63"/>
      <c r="D861" s="63"/>
      <c r="E861" s="65"/>
      <c r="F861" s="60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</row>
    <row r="862" spans="1:26" ht="16.5" customHeight="1">
      <c r="A862" s="64"/>
      <c r="B862" s="63"/>
      <c r="C862" s="63"/>
      <c r="D862" s="63"/>
      <c r="E862" s="65"/>
      <c r="F862" s="60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</row>
    <row r="863" spans="1:26" ht="16.5" customHeight="1">
      <c r="A863" s="64"/>
      <c r="B863" s="63"/>
      <c r="C863" s="63"/>
      <c r="D863" s="63"/>
      <c r="E863" s="65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</row>
    <row r="864" spans="1:26" ht="16.5" customHeight="1">
      <c r="A864" s="64"/>
      <c r="B864" s="63"/>
      <c r="C864" s="63"/>
      <c r="D864" s="63"/>
      <c r="E864" s="65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</row>
    <row r="865" spans="1:26" ht="16.5" customHeight="1">
      <c r="A865" s="64"/>
      <c r="B865" s="63"/>
      <c r="C865" s="63"/>
      <c r="D865" s="63"/>
      <c r="E865" s="65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</row>
    <row r="866" spans="1:26" ht="16.5" customHeight="1">
      <c r="A866" s="64"/>
      <c r="B866" s="63"/>
      <c r="C866" s="63"/>
      <c r="D866" s="63"/>
      <c r="E866" s="65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</row>
    <row r="867" spans="1:26" ht="16.5" customHeight="1">
      <c r="A867" s="64"/>
      <c r="B867" s="63"/>
      <c r="C867" s="63"/>
      <c r="D867" s="63"/>
      <c r="E867" s="65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</row>
    <row r="868" spans="1:26" ht="16.5" customHeight="1">
      <c r="A868" s="64"/>
      <c r="B868" s="63"/>
      <c r="C868" s="63"/>
      <c r="D868" s="63"/>
      <c r="E868" s="65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</row>
    <row r="869" spans="1:26" ht="16.5" customHeight="1">
      <c r="A869" s="64"/>
      <c r="B869" s="63"/>
      <c r="C869" s="63"/>
      <c r="D869" s="63"/>
      <c r="E869" s="65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</row>
    <row r="870" spans="1:26" ht="16.5" customHeight="1">
      <c r="A870" s="64"/>
      <c r="B870" s="63"/>
      <c r="C870" s="63"/>
      <c r="D870" s="63"/>
      <c r="E870" s="65"/>
      <c r="F870" s="60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</row>
    <row r="871" spans="1:26" ht="16.5" customHeight="1">
      <c r="A871" s="64"/>
      <c r="B871" s="63"/>
      <c r="C871" s="63"/>
      <c r="D871" s="63"/>
      <c r="E871" s="65"/>
      <c r="F871" s="60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</row>
    <row r="872" spans="1:26" ht="16.5" customHeight="1">
      <c r="A872" s="64"/>
      <c r="B872" s="63"/>
      <c r="C872" s="63"/>
      <c r="D872" s="63"/>
      <c r="E872" s="65"/>
      <c r="F872" s="60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</row>
    <row r="873" spans="1:26" ht="16.5" customHeight="1">
      <c r="A873" s="64"/>
      <c r="B873" s="63"/>
      <c r="C873" s="63"/>
      <c r="D873" s="63"/>
      <c r="E873" s="65"/>
      <c r="F873" s="60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</row>
    <row r="874" spans="1:26" ht="16.5" customHeight="1">
      <c r="A874" s="64"/>
      <c r="B874" s="63"/>
      <c r="C874" s="63"/>
      <c r="D874" s="63"/>
      <c r="E874" s="65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</row>
    <row r="875" spans="1:26" ht="16.5" customHeight="1">
      <c r="A875" s="64"/>
      <c r="B875" s="63"/>
      <c r="C875" s="63"/>
      <c r="D875" s="63"/>
      <c r="E875" s="65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</row>
    <row r="876" spans="1:26" ht="16.5" customHeight="1">
      <c r="A876" s="64"/>
      <c r="B876" s="63"/>
      <c r="C876" s="63"/>
      <c r="D876" s="63"/>
      <c r="E876" s="65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</row>
    <row r="877" spans="1:26" ht="16.5" customHeight="1">
      <c r="A877" s="64"/>
      <c r="B877" s="63"/>
      <c r="C877" s="63"/>
      <c r="D877" s="63"/>
      <c r="E877" s="65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</row>
    <row r="878" spans="1:26" ht="16.5" customHeight="1">
      <c r="A878" s="64"/>
      <c r="B878" s="63"/>
      <c r="C878" s="63"/>
      <c r="D878" s="63"/>
      <c r="E878" s="65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</row>
    <row r="879" spans="1:26" ht="16.5" customHeight="1">
      <c r="A879" s="64"/>
      <c r="B879" s="63"/>
      <c r="C879" s="63"/>
      <c r="D879" s="63"/>
      <c r="E879" s="65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</row>
    <row r="880" spans="1:26" ht="16.5" customHeight="1">
      <c r="A880" s="64"/>
      <c r="B880" s="63"/>
      <c r="C880" s="63"/>
      <c r="D880" s="63"/>
      <c r="E880" s="65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</row>
    <row r="881" spans="1:26" ht="16.5" customHeight="1">
      <c r="A881" s="64"/>
      <c r="B881" s="63"/>
      <c r="C881" s="63"/>
      <c r="D881" s="63"/>
      <c r="E881" s="65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</row>
    <row r="882" spans="1:26" ht="16.5" customHeight="1">
      <c r="A882" s="64"/>
      <c r="B882" s="63"/>
      <c r="C882" s="63"/>
      <c r="D882" s="63"/>
      <c r="E882" s="65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</row>
    <row r="883" spans="1:26" ht="16.5" customHeight="1">
      <c r="A883" s="64"/>
      <c r="B883" s="63"/>
      <c r="C883" s="63"/>
      <c r="D883" s="63"/>
      <c r="E883" s="65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</row>
    <row r="884" spans="1:26" ht="16.5" customHeight="1">
      <c r="A884" s="64"/>
      <c r="B884" s="63"/>
      <c r="C884" s="63"/>
      <c r="D884" s="63"/>
      <c r="E884" s="65"/>
      <c r="F884" s="60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</row>
    <row r="885" spans="1:26" ht="16.5" customHeight="1">
      <c r="A885" s="64"/>
      <c r="B885" s="63"/>
      <c r="C885" s="63"/>
      <c r="D885" s="63"/>
      <c r="E885" s="65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</row>
    <row r="886" spans="1:26" ht="16.5" customHeight="1">
      <c r="A886" s="64"/>
      <c r="B886" s="63"/>
      <c r="C886" s="63"/>
      <c r="D886" s="63"/>
      <c r="E886" s="65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</row>
    <row r="887" spans="1:26" ht="16.5" customHeight="1">
      <c r="A887" s="64"/>
      <c r="B887" s="63"/>
      <c r="C887" s="63"/>
      <c r="D887" s="63"/>
      <c r="E887" s="65"/>
      <c r="F887" s="60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</row>
    <row r="888" spans="1:26" ht="16.5" customHeight="1">
      <c r="A888" s="64"/>
      <c r="B888" s="63"/>
      <c r="C888" s="63"/>
      <c r="D888" s="63"/>
      <c r="E888" s="65"/>
      <c r="F888" s="60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</row>
    <row r="889" spans="1:26" ht="16.5" customHeight="1">
      <c r="A889" s="64"/>
      <c r="B889" s="63"/>
      <c r="C889" s="63"/>
      <c r="D889" s="63"/>
      <c r="E889" s="65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</row>
    <row r="890" spans="1:26" ht="16.5" customHeight="1">
      <c r="A890" s="64"/>
      <c r="B890" s="63"/>
      <c r="C890" s="63"/>
      <c r="D890" s="63"/>
      <c r="E890" s="65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</row>
    <row r="891" spans="1:26" ht="16.5" customHeight="1">
      <c r="A891" s="64"/>
      <c r="B891" s="63"/>
      <c r="C891" s="63"/>
      <c r="D891" s="63"/>
      <c r="E891" s="65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</row>
    <row r="892" spans="1:26" ht="16.5" customHeight="1">
      <c r="A892" s="64"/>
      <c r="B892" s="63"/>
      <c r="C892" s="63"/>
      <c r="D892" s="63"/>
      <c r="E892" s="65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</row>
    <row r="893" spans="1:26" ht="16.5" customHeight="1">
      <c r="A893" s="64"/>
      <c r="B893" s="63"/>
      <c r="C893" s="63"/>
      <c r="D893" s="63"/>
      <c r="E893" s="65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</row>
    <row r="894" spans="1:26" ht="16.5" customHeight="1">
      <c r="A894" s="64"/>
      <c r="B894" s="63"/>
      <c r="C894" s="63"/>
      <c r="D894" s="63"/>
      <c r="E894" s="65"/>
      <c r="F894" s="60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</row>
    <row r="895" spans="1:26" ht="16.5" customHeight="1">
      <c r="A895" s="64"/>
      <c r="B895" s="63"/>
      <c r="C895" s="63"/>
      <c r="D895" s="63"/>
      <c r="E895" s="65"/>
      <c r="F895" s="60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</row>
    <row r="896" spans="1:26" ht="16.5" customHeight="1">
      <c r="A896" s="64"/>
      <c r="B896" s="63"/>
      <c r="C896" s="63"/>
      <c r="D896" s="63"/>
      <c r="E896" s="65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</row>
    <row r="897" spans="1:26" ht="16.5" customHeight="1">
      <c r="A897" s="64"/>
      <c r="B897" s="63"/>
      <c r="C897" s="63"/>
      <c r="D897" s="63"/>
      <c r="E897" s="65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</row>
    <row r="898" spans="1:26" ht="16.5" customHeight="1">
      <c r="A898" s="64"/>
      <c r="B898" s="63"/>
      <c r="C898" s="63"/>
      <c r="D898" s="63"/>
      <c r="E898" s="65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</row>
    <row r="899" spans="1:26" ht="16.5" customHeight="1">
      <c r="A899" s="64"/>
      <c r="B899" s="63"/>
      <c r="C899" s="63"/>
      <c r="D899" s="63"/>
      <c r="E899" s="65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</row>
    <row r="900" spans="1:26" ht="16.5" customHeight="1">
      <c r="A900" s="64"/>
      <c r="B900" s="63"/>
      <c r="C900" s="63"/>
      <c r="D900" s="63"/>
      <c r="E900" s="65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</row>
    <row r="901" spans="1:26" ht="16.5" customHeight="1">
      <c r="A901" s="64"/>
      <c r="B901" s="63"/>
      <c r="C901" s="63"/>
      <c r="D901" s="63"/>
      <c r="E901" s="65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</row>
    <row r="902" spans="1:26" ht="16.5" customHeight="1">
      <c r="A902" s="64"/>
      <c r="B902" s="63"/>
      <c r="C902" s="63"/>
      <c r="D902" s="63"/>
      <c r="E902" s="65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</row>
    <row r="903" spans="1:26" ht="16.5" customHeight="1">
      <c r="A903" s="64"/>
      <c r="B903" s="63"/>
      <c r="C903" s="63"/>
      <c r="D903" s="63"/>
      <c r="E903" s="65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</row>
    <row r="904" spans="1:26" ht="16.5" customHeight="1">
      <c r="A904" s="64"/>
      <c r="B904" s="63"/>
      <c r="C904" s="63"/>
      <c r="D904" s="63"/>
      <c r="E904" s="65"/>
      <c r="F904" s="60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</row>
    <row r="905" spans="1:26" ht="16.5" customHeight="1">
      <c r="A905" s="64"/>
      <c r="B905" s="63"/>
      <c r="C905" s="63"/>
      <c r="D905" s="63"/>
      <c r="E905" s="65"/>
      <c r="F905" s="60"/>
      <c r="G905" s="60"/>
      <c r="H905" s="60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  <c r="T905" s="60"/>
      <c r="U905" s="60"/>
      <c r="V905" s="60"/>
      <c r="W905" s="60"/>
      <c r="X905" s="60"/>
      <c r="Y905" s="60"/>
      <c r="Z905" s="60"/>
    </row>
    <row r="906" spans="1:26" ht="16.5" customHeight="1">
      <c r="A906" s="64"/>
      <c r="B906" s="63"/>
      <c r="C906" s="63"/>
      <c r="D906" s="63"/>
      <c r="E906" s="65"/>
      <c r="F906" s="60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</row>
    <row r="907" spans="1:26" ht="16.5" customHeight="1">
      <c r="A907" s="64"/>
      <c r="B907" s="63"/>
      <c r="C907" s="63"/>
      <c r="D907" s="63"/>
      <c r="E907" s="65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</row>
    <row r="908" spans="1:26" ht="16.5" customHeight="1">
      <c r="A908" s="64"/>
      <c r="B908" s="63"/>
      <c r="C908" s="63"/>
      <c r="D908" s="63"/>
      <c r="E908" s="65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</row>
    <row r="909" spans="1:26" ht="16.5" customHeight="1">
      <c r="A909" s="64"/>
      <c r="B909" s="63"/>
      <c r="C909" s="63"/>
      <c r="D909" s="63"/>
      <c r="E909" s="65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</row>
    <row r="910" spans="1:26" ht="16.5" customHeight="1">
      <c r="A910" s="64"/>
      <c r="B910" s="63"/>
      <c r="C910" s="63"/>
      <c r="D910" s="63"/>
      <c r="E910" s="65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</row>
    <row r="911" spans="1:26" ht="16.5" customHeight="1">
      <c r="A911" s="64"/>
      <c r="B911" s="63"/>
      <c r="C911" s="63"/>
      <c r="D911" s="63"/>
      <c r="E911" s="65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</row>
    <row r="912" spans="1:26" ht="16.5" customHeight="1">
      <c r="A912" s="64"/>
      <c r="B912" s="63"/>
      <c r="C912" s="63"/>
      <c r="D912" s="63"/>
      <c r="E912" s="65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</row>
    <row r="913" spans="1:26" ht="16.5" customHeight="1">
      <c r="A913" s="64"/>
      <c r="B913" s="63"/>
      <c r="C913" s="63"/>
      <c r="D913" s="63"/>
      <c r="E913" s="65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</row>
    <row r="914" spans="1:26" ht="16.5" customHeight="1">
      <c r="A914" s="64"/>
      <c r="B914" s="63"/>
      <c r="C914" s="63"/>
      <c r="D914" s="63"/>
      <c r="E914" s="65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</row>
    <row r="915" spans="1:26" ht="16.5" customHeight="1">
      <c r="A915" s="64"/>
      <c r="B915" s="63"/>
      <c r="C915" s="63"/>
      <c r="D915" s="63"/>
      <c r="E915" s="65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</row>
    <row r="916" spans="1:26" ht="16.5" customHeight="1">
      <c r="A916" s="64"/>
      <c r="B916" s="63"/>
      <c r="C916" s="63"/>
      <c r="D916" s="63"/>
      <c r="E916" s="65"/>
      <c r="F916" s="60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</row>
    <row r="917" spans="1:26" ht="16.5" customHeight="1">
      <c r="A917" s="64"/>
      <c r="B917" s="63"/>
      <c r="C917" s="63"/>
      <c r="D917" s="63"/>
      <c r="E917" s="65"/>
      <c r="F917" s="60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</row>
    <row r="918" spans="1:26" ht="16.5" customHeight="1">
      <c r="A918" s="64"/>
      <c r="B918" s="63"/>
      <c r="C918" s="63"/>
      <c r="D918" s="63"/>
      <c r="E918" s="65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</row>
    <row r="919" spans="1:26" ht="16.5" customHeight="1">
      <c r="A919" s="64"/>
      <c r="B919" s="63"/>
      <c r="C919" s="63"/>
      <c r="D919" s="63"/>
      <c r="E919" s="65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</row>
    <row r="920" spans="1:26" ht="16.5" customHeight="1">
      <c r="A920" s="64"/>
      <c r="B920" s="63"/>
      <c r="C920" s="63"/>
      <c r="D920" s="63"/>
      <c r="E920" s="65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</row>
    <row r="921" spans="1:26" ht="16.5" customHeight="1">
      <c r="A921" s="64"/>
      <c r="B921" s="63"/>
      <c r="C921" s="63"/>
      <c r="D921" s="63"/>
      <c r="E921" s="65"/>
      <c r="F921" s="60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</row>
    <row r="922" spans="1:26" ht="16.5" customHeight="1">
      <c r="A922" s="64"/>
      <c r="B922" s="63"/>
      <c r="C922" s="63"/>
      <c r="D922" s="63"/>
      <c r="E922" s="65"/>
      <c r="F922" s="60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</row>
    <row r="923" spans="1:26" ht="16.5" customHeight="1">
      <c r="A923" s="64"/>
      <c r="B923" s="63"/>
      <c r="C923" s="63"/>
      <c r="D923" s="63"/>
      <c r="E923" s="65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</row>
    <row r="924" spans="1:26" ht="16.5" customHeight="1">
      <c r="A924" s="64"/>
      <c r="B924" s="63"/>
      <c r="C924" s="63"/>
      <c r="D924" s="63"/>
      <c r="E924" s="65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</row>
    <row r="925" spans="1:26" ht="16.5" customHeight="1">
      <c r="A925" s="64"/>
      <c r="B925" s="63"/>
      <c r="C925" s="63"/>
      <c r="D925" s="63"/>
      <c r="E925" s="65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</row>
    <row r="926" spans="1:26" ht="16.5" customHeight="1">
      <c r="A926" s="64"/>
      <c r="B926" s="63"/>
      <c r="C926" s="63"/>
      <c r="D926" s="63"/>
      <c r="E926" s="65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</row>
    <row r="927" spans="1:26" ht="16.5" customHeight="1">
      <c r="A927" s="64"/>
      <c r="B927" s="63"/>
      <c r="C927" s="63"/>
      <c r="D927" s="63"/>
      <c r="E927" s="65"/>
      <c r="F927" s="60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</row>
    <row r="928" spans="1:26" ht="16.5" customHeight="1">
      <c r="A928" s="64"/>
      <c r="B928" s="63"/>
      <c r="C928" s="63"/>
      <c r="D928" s="63"/>
      <c r="E928" s="65"/>
      <c r="F928" s="60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</row>
    <row r="929" spans="1:26" ht="16.5" customHeight="1">
      <c r="A929" s="64"/>
      <c r="B929" s="63"/>
      <c r="C929" s="63"/>
      <c r="D929" s="63"/>
      <c r="E929" s="65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</row>
    <row r="930" spans="1:26" ht="16.5" customHeight="1">
      <c r="A930" s="64"/>
      <c r="B930" s="63"/>
      <c r="C930" s="63"/>
      <c r="D930" s="63"/>
      <c r="E930" s="65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</row>
    <row r="931" spans="1:26" ht="16.5" customHeight="1">
      <c r="A931" s="64"/>
      <c r="B931" s="63"/>
      <c r="C931" s="63"/>
      <c r="D931" s="63"/>
      <c r="E931" s="65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</row>
    <row r="932" spans="1:26" ht="16.5" customHeight="1">
      <c r="A932" s="64"/>
      <c r="B932" s="63"/>
      <c r="C932" s="63"/>
      <c r="D932" s="63"/>
      <c r="E932" s="65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</row>
    <row r="933" spans="1:26" ht="16.5" customHeight="1">
      <c r="A933" s="64"/>
      <c r="B933" s="63"/>
      <c r="C933" s="63"/>
      <c r="D933" s="63"/>
      <c r="E933" s="65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</row>
    <row r="934" spans="1:26" ht="16.5" customHeight="1">
      <c r="A934" s="64"/>
      <c r="B934" s="63"/>
      <c r="C934" s="63"/>
      <c r="D934" s="63"/>
      <c r="E934" s="65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</row>
    <row r="935" spans="1:26" ht="16.5" customHeight="1">
      <c r="A935" s="64"/>
      <c r="B935" s="63"/>
      <c r="C935" s="63"/>
      <c r="D935" s="63"/>
      <c r="E935" s="65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</row>
    <row r="936" spans="1:26" ht="16.5" customHeight="1">
      <c r="A936" s="64"/>
      <c r="B936" s="63"/>
      <c r="C936" s="63"/>
      <c r="D936" s="63"/>
      <c r="E936" s="65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</row>
    <row r="937" spans="1:26" ht="16.5" customHeight="1">
      <c r="A937" s="64"/>
      <c r="B937" s="63"/>
      <c r="C937" s="63"/>
      <c r="D937" s="63"/>
      <c r="E937" s="65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</row>
    <row r="938" spans="1:26" ht="16.5" customHeight="1">
      <c r="A938" s="64"/>
      <c r="B938" s="63"/>
      <c r="C938" s="63"/>
      <c r="D938" s="63"/>
      <c r="E938" s="65"/>
      <c r="F938" s="60"/>
      <c r="G938" s="60"/>
      <c r="H938" s="60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  <c r="T938" s="60"/>
      <c r="U938" s="60"/>
      <c r="V938" s="60"/>
      <c r="W938" s="60"/>
      <c r="X938" s="60"/>
      <c r="Y938" s="60"/>
      <c r="Z938" s="60"/>
    </row>
    <row r="939" spans="1:26" ht="16.5" customHeight="1">
      <c r="A939" s="64"/>
      <c r="B939" s="63"/>
      <c r="C939" s="63"/>
      <c r="D939" s="63"/>
      <c r="E939" s="65"/>
      <c r="F939" s="60"/>
      <c r="G939" s="60"/>
      <c r="H939" s="60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  <c r="T939" s="60"/>
      <c r="U939" s="60"/>
      <c r="V939" s="60"/>
      <c r="W939" s="60"/>
      <c r="X939" s="60"/>
      <c r="Y939" s="60"/>
      <c r="Z939" s="60"/>
    </row>
    <row r="940" spans="1:26" ht="16.5" customHeight="1">
      <c r="A940" s="64"/>
      <c r="B940" s="63"/>
      <c r="C940" s="63"/>
      <c r="D940" s="63"/>
      <c r="E940" s="65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</row>
    <row r="941" spans="1:26" ht="16.5" customHeight="1">
      <c r="A941" s="64"/>
      <c r="B941" s="63"/>
      <c r="C941" s="63"/>
      <c r="D941" s="63"/>
      <c r="E941" s="65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</row>
    <row r="942" spans="1:26" ht="16.5" customHeight="1">
      <c r="A942" s="64"/>
      <c r="B942" s="63"/>
      <c r="C942" s="63"/>
      <c r="D942" s="63"/>
      <c r="E942" s="65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</row>
    <row r="943" spans="1:26" ht="16.5" customHeight="1">
      <c r="A943" s="64"/>
      <c r="B943" s="63"/>
      <c r="C943" s="63"/>
      <c r="D943" s="63"/>
      <c r="E943" s="65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</row>
    <row r="944" spans="1:26" ht="16.5" customHeight="1">
      <c r="A944" s="64"/>
      <c r="B944" s="63"/>
      <c r="C944" s="63"/>
      <c r="D944" s="63"/>
      <c r="E944" s="65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</row>
    <row r="945" spans="1:26" ht="16.5" customHeight="1">
      <c r="A945" s="64"/>
      <c r="B945" s="63"/>
      <c r="C945" s="63"/>
      <c r="D945" s="63"/>
      <c r="E945" s="65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</row>
    <row r="946" spans="1:26" ht="16.5" customHeight="1">
      <c r="A946" s="64"/>
      <c r="B946" s="63"/>
      <c r="C946" s="63"/>
      <c r="D946" s="63"/>
      <c r="E946" s="65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</row>
    <row r="947" spans="1:26" ht="16.5" customHeight="1">
      <c r="A947" s="64"/>
      <c r="B947" s="63"/>
      <c r="C947" s="63"/>
      <c r="D947" s="63"/>
      <c r="E947" s="65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</row>
    <row r="948" spans="1:26" ht="16.5" customHeight="1">
      <c r="A948" s="64"/>
      <c r="B948" s="63"/>
      <c r="C948" s="63"/>
      <c r="D948" s="63"/>
      <c r="E948" s="65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</row>
    <row r="949" spans="1:26" ht="16.5" customHeight="1">
      <c r="A949" s="64"/>
      <c r="B949" s="63"/>
      <c r="C949" s="63"/>
      <c r="D949" s="63"/>
      <c r="E949" s="65"/>
      <c r="F949" s="60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</row>
    <row r="950" spans="1:26" ht="16.5" customHeight="1">
      <c r="A950" s="64"/>
      <c r="B950" s="63"/>
      <c r="C950" s="63"/>
      <c r="D950" s="63"/>
      <c r="E950" s="65"/>
      <c r="F950" s="60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</row>
    <row r="951" spans="1:26" ht="16.5" customHeight="1">
      <c r="A951" s="64"/>
      <c r="B951" s="63"/>
      <c r="C951" s="63"/>
      <c r="D951" s="63"/>
      <c r="E951" s="65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</row>
    <row r="952" spans="1:26" ht="16.5" customHeight="1">
      <c r="A952" s="64"/>
      <c r="B952" s="63"/>
      <c r="C952" s="63"/>
      <c r="D952" s="63"/>
      <c r="E952" s="65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</row>
    <row r="953" spans="1:26" ht="16.5" customHeight="1">
      <c r="A953" s="64"/>
      <c r="B953" s="63"/>
      <c r="C953" s="63"/>
      <c r="D953" s="63"/>
      <c r="E953" s="65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</row>
    <row r="954" spans="1:26" ht="16.5" customHeight="1">
      <c r="A954" s="64"/>
      <c r="B954" s="63"/>
      <c r="C954" s="63"/>
      <c r="D954" s="63"/>
      <c r="E954" s="65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</row>
    <row r="955" spans="1:26" ht="16.5" customHeight="1">
      <c r="A955" s="64"/>
      <c r="B955" s="63"/>
      <c r="C955" s="63"/>
      <c r="D955" s="63"/>
      <c r="E955" s="65"/>
      <c r="F955" s="60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</row>
    <row r="956" spans="1:26" ht="16.5" customHeight="1">
      <c r="A956" s="64"/>
      <c r="B956" s="63"/>
      <c r="C956" s="63"/>
      <c r="D956" s="63"/>
      <c r="E956" s="65"/>
      <c r="F956" s="60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</row>
    <row r="957" spans="1:26" ht="16.5" customHeight="1">
      <c r="A957" s="64"/>
      <c r="B957" s="63"/>
      <c r="C957" s="63"/>
      <c r="D957" s="63"/>
      <c r="E957" s="65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</row>
    <row r="958" spans="1:26" ht="16.5" customHeight="1">
      <c r="A958" s="64"/>
      <c r="B958" s="63"/>
      <c r="C958" s="63"/>
      <c r="D958" s="63"/>
      <c r="E958" s="65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</row>
    <row r="959" spans="1:26" ht="16.5" customHeight="1">
      <c r="A959" s="64"/>
      <c r="B959" s="63"/>
      <c r="C959" s="63"/>
      <c r="D959" s="63"/>
      <c r="E959" s="65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</row>
    <row r="960" spans="1:26" ht="16.5" customHeight="1">
      <c r="A960" s="64"/>
      <c r="B960" s="63"/>
      <c r="C960" s="63"/>
      <c r="D960" s="63"/>
      <c r="E960" s="65"/>
      <c r="F960" s="60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</row>
    <row r="961" spans="1:26" ht="16.5" customHeight="1">
      <c r="A961" s="64"/>
      <c r="B961" s="63"/>
      <c r="C961" s="63"/>
      <c r="D961" s="63"/>
      <c r="E961" s="65"/>
      <c r="F961" s="60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</row>
    <row r="962" spans="1:26" ht="16.5" customHeight="1">
      <c r="A962" s="64"/>
      <c r="B962" s="63"/>
      <c r="C962" s="63"/>
      <c r="D962" s="63"/>
      <c r="E962" s="65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</row>
    <row r="963" spans="1:26" ht="16.5" customHeight="1">
      <c r="A963" s="64"/>
      <c r="B963" s="63"/>
      <c r="C963" s="63"/>
      <c r="D963" s="63"/>
      <c r="E963" s="65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</row>
    <row r="964" spans="1:26" ht="16.5" customHeight="1">
      <c r="A964" s="64"/>
      <c r="B964" s="63"/>
      <c r="C964" s="63"/>
      <c r="D964" s="63"/>
      <c r="E964" s="65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</row>
    <row r="965" spans="1:26" ht="16.5" customHeight="1">
      <c r="A965" s="64"/>
      <c r="B965" s="63"/>
      <c r="C965" s="63"/>
      <c r="D965" s="63"/>
      <c r="E965" s="65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</row>
    <row r="966" spans="1:26" ht="16.5" customHeight="1">
      <c r="A966" s="64"/>
      <c r="B966" s="63"/>
      <c r="C966" s="63"/>
      <c r="D966" s="63"/>
      <c r="E966" s="65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</row>
    <row r="967" spans="1:26" ht="16.5" customHeight="1">
      <c r="A967" s="64"/>
      <c r="B967" s="63"/>
      <c r="C967" s="63"/>
      <c r="D967" s="63"/>
      <c r="E967" s="65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</row>
    <row r="968" spans="1:26" ht="16.5" customHeight="1">
      <c r="A968" s="64"/>
      <c r="B968" s="63"/>
      <c r="C968" s="63"/>
      <c r="D968" s="63"/>
      <c r="E968" s="65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</row>
    <row r="969" spans="1:26" ht="16.5" customHeight="1">
      <c r="A969" s="64"/>
      <c r="B969" s="63"/>
      <c r="C969" s="63"/>
      <c r="D969" s="63"/>
      <c r="E969" s="65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</row>
    <row r="970" spans="1:26" ht="16.5" customHeight="1">
      <c r="A970" s="64"/>
      <c r="B970" s="63"/>
      <c r="C970" s="63"/>
      <c r="D970" s="63"/>
      <c r="E970" s="65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</row>
    <row r="971" spans="1:26" ht="16.5" customHeight="1">
      <c r="A971" s="64"/>
      <c r="B971" s="63"/>
      <c r="C971" s="63"/>
      <c r="D971" s="63"/>
      <c r="E971" s="65"/>
      <c r="F971" s="60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</row>
    <row r="972" spans="1:26" ht="16.5" customHeight="1">
      <c r="A972" s="64"/>
      <c r="B972" s="63"/>
      <c r="C972" s="63"/>
      <c r="D972" s="63"/>
      <c r="E972" s="65"/>
      <c r="F972" s="60"/>
      <c r="G972" s="60"/>
      <c r="H972" s="60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  <c r="T972" s="60"/>
      <c r="U972" s="60"/>
      <c r="V972" s="60"/>
      <c r="W972" s="60"/>
      <c r="X972" s="60"/>
      <c r="Y972" s="60"/>
      <c r="Z972" s="60"/>
    </row>
    <row r="973" spans="1:26" ht="16.5" customHeight="1">
      <c r="A973" s="64"/>
      <c r="B973" s="63"/>
      <c r="C973" s="63"/>
      <c r="D973" s="63"/>
      <c r="E973" s="65"/>
      <c r="F973" s="60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</row>
    <row r="974" spans="1:26" ht="16.5" customHeight="1">
      <c r="A974" s="64"/>
      <c r="B974" s="63"/>
      <c r="C974" s="63"/>
      <c r="D974" s="63"/>
      <c r="E974" s="65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</row>
    <row r="975" spans="1:26" ht="16.5" customHeight="1">
      <c r="A975" s="64"/>
      <c r="B975" s="63"/>
      <c r="C975" s="63"/>
      <c r="D975" s="63"/>
      <c r="E975" s="65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</row>
    <row r="976" spans="1:26" ht="16.5" customHeight="1">
      <c r="A976" s="64"/>
      <c r="B976" s="63"/>
      <c r="C976" s="63"/>
      <c r="D976" s="63"/>
      <c r="E976" s="65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</row>
    <row r="977" spans="1:26" ht="16.5" customHeight="1">
      <c r="A977" s="64"/>
      <c r="B977" s="63"/>
      <c r="C977" s="63"/>
      <c r="D977" s="63"/>
      <c r="E977" s="65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</row>
    <row r="978" spans="1:26" ht="16.5" customHeight="1">
      <c r="A978" s="64"/>
      <c r="B978" s="63"/>
      <c r="C978" s="63"/>
      <c r="D978" s="63"/>
      <c r="E978" s="65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</row>
    <row r="979" spans="1:26" ht="16.5" customHeight="1">
      <c r="A979" s="64"/>
      <c r="B979" s="63"/>
      <c r="C979" s="63"/>
      <c r="D979" s="63"/>
      <c r="E979" s="65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</row>
    <row r="980" spans="1:26" ht="16.5" customHeight="1">
      <c r="A980" s="64"/>
      <c r="B980" s="63"/>
      <c r="C980" s="63"/>
      <c r="D980" s="63"/>
      <c r="E980" s="65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</row>
    <row r="981" spans="1:26" ht="16.5" customHeight="1">
      <c r="A981" s="64"/>
      <c r="B981" s="63"/>
      <c r="C981" s="63"/>
      <c r="D981" s="63"/>
      <c r="E981" s="65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</row>
    <row r="982" spans="1:26" ht="16.5" customHeight="1">
      <c r="A982" s="64"/>
      <c r="B982" s="63"/>
      <c r="C982" s="63"/>
      <c r="D982" s="63"/>
      <c r="E982" s="65"/>
      <c r="F982" s="60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</row>
    <row r="983" spans="1:26" ht="16.5" customHeight="1">
      <c r="A983" s="64"/>
      <c r="B983" s="63"/>
      <c r="C983" s="63"/>
      <c r="D983" s="63"/>
      <c r="E983" s="65"/>
      <c r="F983" s="60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</row>
    <row r="984" spans="1:26" ht="16.5" customHeight="1">
      <c r="A984" s="64"/>
      <c r="B984" s="63"/>
      <c r="C984" s="63"/>
      <c r="D984" s="63"/>
      <c r="E984" s="65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</row>
    <row r="985" spans="1:26" ht="16.5" customHeight="1">
      <c r="A985" s="64"/>
      <c r="B985" s="63"/>
      <c r="C985" s="63"/>
      <c r="D985" s="63"/>
      <c r="E985" s="65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</row>
    <row r="986" spans="1:26" ht="16.5" customHeight="1">
      <c r="A986" s="64"/>
      <c r="B986" s="63"/>
      <c r="C986" s="63"/>
      <c r="D986" s="63"/>
      <c r="E986" s="65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</row>
    <row r="987" spans="1:26" ht="16.5" customHeight="1">
      <c r="A987" s="64"/>
      <c r="B987" s="63"/>
      <c r="C987" s="63"/>
      <c r="D987" s="63"/>
      <c r="E987" s="65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</row>
    <row r="988" spans="1:26" ht="16.5" customHeight="1">
      <c r="A988" s="64"/>
      <c r="B988" s="63"/>
      <c r="C988" s="63"/>
      <c r="D988" s="63"/>
      <c r="E988" s="65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</row>
    <row r="989" spans="1:26" ht="16.5" customHeight="1">
      <c r="A989" s="64"/>
      <c r="B989" s="63"/>
      <c r="C989" s="63"/>
      <c r="D989" s="63"/>
      <c r="E989" s="65"/>
      <c r="F989" s="60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</row>
    <row r="990" spans="1:26" ht="16.5" customHeight="1">
      <c r="A990" s="64"/>
      <c r="B990" s="63"/>
      <c r="C990" s="63"/>
      <c r="D990" s="63"/>
      <c r="E990" s="65"/>
      <c r="F990" s="60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</row>
    <row r="991" spans="1:26" ht="16.5" customHeight="1">
      <c r="A991" s="64"/>
      <c r="B991" s="63"/>
      <c r="C991" s="63"/>
      <c r="D991" s="63"/>
      <c r="E991" s="65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</row>
    <row r="992" spans="1:26" ht="16.5" customHeight="1">
      <c r="A992" s="64"/>
      <c r="B992" s="63"/>
      <c r="C992" s="63"/>
      <c r="D992" s="63"/>
      <c r="E992" s="65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</row>
    <row r="993" spans="1:26" ht="16.5" customHeight="1">
      <c r="A993" s="64"/>
      <c r="B993" s="63"/>
      <c r="C993" s="63"/>
      <c r="D993" s="63"/>
      <c r="E993" s="65"/>
      <c r="F993" s="60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</row>
    <row r="994" spans="1:26" ht="16.5" customHeight="1">
      <c r="A994" s="64"/>
      <c r="B994" s="63"/>
      <c r="C994" s="63"/>
      <c r="D994" s="63"/>
      <c r="E994" s="65"/>
      <c r="F994" s="60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</row>
    <row r="995" spans="1:26" ht="16.5" customHeight="1">
      <c r="A995" s="64"/>
      <c r="B995" s="63"/>
      <c r="C995" s="63"/>
      <c r="D995" s="63"/>
      <c r="E995" s="65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</row>
    <row r="996" spans="1:26" ht="16.5" customHeight="1">
      <c r="A996" s="64"/>
      <c r="B996" s="63"/>
      <c r="C996" s="63"/>
      <c r="D996" s="63"/>
      <c r="E996" s="65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</row>
    <row r="997" spans="1:26" ht="16.5" customHeight="1">
      <c r="A997" s="64"/>
      <c r="B997" s="63"/>
      <c r="C997" s="63"/>
      <c r="D997" s="63"/>
      <c r="E997" s="65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</row>
    <row r="998" spans="1:26" ht="16.5" customHeight="1">
      <c r="A998" s="64"/>
      <c r="B998" s="63"/>
      <c r="C998" s="63"/>
      <c r="D998" s="63"/>
      <c r="E998" s="65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</row>
    <row r="999" spans="1:26" ht="16.5" customHeight="1">
      <c r="A999" s="64"/>
      <c r="B999" s="63"/>
      <c r="C999" s="63"/>
      <c r="D999" s="63"/>
      <c r="E999" s="65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</row>
    <row r="1000" spans="1:26" ht="16.5" customHeight="1">
      <c r="A1000" s="64"/>
      <c r="B1000" s="63"/>
      <c r="C1000" s="63"/>
      <c r="D1000" s="63"/>
      <c r="E1000" s="65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</row>
  </sheetData>
  <mergeCells count="2">
    <mergeCell ref="C1:D1"/>
    <mergeCell ref="E1:E2"/>
  </mergeCells>
  <phoneticPr fontId="12" type="noConversion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Z1000"/>
  <sheetViews>
    <sheetView workbookViewId="0">
      <pane ySplit="2" topLeftCell="A3" activePane="bottomLeft" state="frozen"/>
      <selection pane="bottomLeft" activeCell="B4" sqref="B4"/>
    </sheetView>
  </sheetViews>
  <sheetFormatPr defaultColWidth="11.25" defaultRowHeight="15" customHeight="1"/>
  <cols>
    <col min="1" max="12" width="10.5" customWidth="1"/>
    <col min="13" max="26" width="8" customWidth="1"/>
  </cols>
  <sheetData>
    <row r="1" spans="1:26" ht="16.5" customHeight="1">
      <c r="A1" s="115" t="s">
        <v>231</v>
      </c>
      <c r="B1" s="115" t="s">
        <v>232</v>
      </c>
      <c r="C1" s="115" t="s">
        <v>233</v>
      </c>
      <c r="D1" s="115" t="s">
        <v>234</v>
      </c>
      <c r="E1" s="115" t="s">
        <v>235</v>
      </c>
      <c r="F1" s="115" t="s">
        <v>236</v>
      </c>
      <c r="G1" s="116" t="s">
        <v>237</v>
      </c>
      <c r="H1" s="117"/>
      <c r="I1" s="117"/>
      <c r="J1" s="117"/>
      <c r="K1" s="117"/>
      <c r="L1" s="112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</row>
    <row r="2" spans="1:26" ht="46.5" customHeight="1">
      <c r="A2" s="114"/>
      <c r="B2" s="114"/>
      <c r="C2" s="114"/>
      <c r="D2" s="114"/>
      <c r="E2" s="114"/>
      <c r="F2" s="114"/>
      <c r="G2" s="67" t="s">
        <v>238</v>
      </c>
      <c r="H2" s="67" t="s">
        <v>239</v>
      </c>
      <c r="I2" s="67" t="s">
        <v>240</v>
      </c>
      <c r="J2" s="67" t="s">
        <v>241</v>
      </c>
      <c r="K2" s="67" t="s">
        <v>242</v>
      </c>
      <c r="L2" s="67" t="s">
        <v>243</v>
      </c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</row>
    <row r="3" spans="1:26" ht="16.5" customHeight="1">
      <c r="A3" s="68" t="s">
        <v>25</v>
      </c>
      <c r="B3" s="68" t="s">
        <v>207</v>
      </c>
      <c r="C3" s="68" t="s">
        <v>244</v>
      </c>
      <c r="D3" s="68" t="s">
        <v>245</v>
      </c>
      <c r="E3" s="68" t="s">
        <v>246</v>
      </c>
      <c r="F3" s="68" t="s">
        <v>246</v>
      </c>
      <c r="G3" s="69"/>
      <c r="H3" s="69"/>
      <c r="I3" s="68" t="s">
        <v>247</v>
      </c>
      <c r="J3" s="68" t="s">
        <v>248</v>
      </c>
      <c r="K3" s="68" t="s">
        <v>249</v>
      </c>
      <c r="L3" s="69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1:26" ht="16.5" customHeight="1">
      <c r="A4" s="68" t="s">
        <v>25</v>
      </c>
      <c r="B4" s="68" t="s">
        <v>207</v>
      </c>
      <c r="C4" s="68" t="s">
        <v>244</v>
      </c>
      <c r="D4" s="68" t="s">
        <v>245</v>
      </c>
      <c r="E4" s="68" t="s">
        <v>250</v>
      </c>
      <c r="F4" s="68" t="s">
        <v>246</v>
      </c>
      <c r="G4" s="69"/>
      <c r="H4" s="69"/>
      <c r="I4" s="68" t="s">
        <v>247</v>
      </c>
      <c r="J4" s="68" t="s">
        <v>247</v>
      </c>
      <c r="K4" s="68" t="s">
        <v>247</v>
      </c>
      <c r="L4" s="69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6" ht="16.5" customHeight="1">
      <c r="A5" s="68" t="s">
        <v>25</v>
      </c>
      <c r="B5" s="68" t="s">
        <v>207</v>
      </c>
      <c r="C5" s="68" t="s">
        <v>244</v>
      </c>
      <c r="D5" s="68" t="s">
        <v>245</v>
      </c>
      <c r="E5" s="68" t="s">
        <v>250</v>
      </c>
      <c r="F5" s="68" t="s">
        <v>246</v>
      </c>
      <c r="G5" s="69"/>
      <c r="H5" s="69"/>
      <c r="I5" s="68" t="s">
        <v>251</v>
      </c>
      <c r="J5" s="68" t="s">
        <v>252</v>
      </c>
      <c r="K5" s="68" t="s">
        <v>253</v>
      </c>
      <c r="L5" s="69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</row>
    <row r="6" spans="1:26" ht="16.5" customHeight="1">
      <c r="A6" s="68" t="s">
        <v>25</v>
      </c>
      <c r="B6" s="68" t="s">
        <v>207</v>
      </c>
      <c r="C6" s="68" t="s">
        <v>244</v>
      </c>
      <c r="D6" s="68" t="s">
        <v>245</v>
      </c>
      <c r="E6" s="68" t="s">
        <v>254</v>
      </c>
      <c r="F6" s="68" t="s">
        <v>246</v>
      </c>
      <c r="G6" s="69"/>
      <c r="H6" s="69"/>
      <c r="I6" s="68" t="s">
        <v>255</v>
      </c>
      <c r="J6" s="68" t="s">
        <v>256</v>
      </c>
      <c r="K6" s="68" t="s">
        <v>257</v>
      </c>
      <c r="L6" s="69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</row>
    <row r="7" spans="1:26" ht="16.5" customHeight="1">
      <c r="A7" s="68" t="s">
        <v>25</v>
      </c>
      <c r="B7" s="68" t="s">
        <v>207</v>
      </c>
      <c r="C7" s="68" t="s">
        <v>244</v>
      </c>
      <c r="D7" s="68" t="s">
        <v>245</v>
      </c>
      <c r="E7" s="68" t="s">
        <v>258</v>
      </c>
      <c r="F7" s="68" t="s">
        <v>250</v>
      </c>
      <c r="G7" s="69"/>
      <c r="H7" s="69"/>
      <c r="I7" s="68" t="s">
        <v>259</v>
      </c>
      <c r="J7" s="68" t="s">
        <v>260</v>
      </c>
      <c r="K7" s="68" t="s">
        <v>256</v>
      </c>
      <c r="L7" s="69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26" ht="16.5" customHeight="1">
      <c r="A8" s="68" t="s">
        <v>25</v>
      </c>
      <c r="B8" s="68" t="s">
        <v>207</v>
      </c>
      <c r="C8" s="68" t="s">
        <v>244</v>
      </c>
      <c r="D8" s="68" t="s">
        <v>245</v>
      </c>
      <c r="E8" s="68" t="s">
        <v>261</v>
      </c>
      <c r="F8" s="68" t="s">
        <v>250</v>
      </c>
      <c r="G8" s="69"/>
      <c r="H8" s="69"/>
      <c r="I8" s="68" t="s">
        <v>262</v>
      </c>
      <c r="J8" s="68" t="s">
        <v>263</v>
      </c>
      <c r="K8" s="68" t="s">
        <v>264</v>
      </c>
      <c r="L8" s="69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26" ht="16.5" customHeight="1">
      <c r="A9" s="68" t="s">
        <v>25</v>
      </c>
      <c r="B9" s="68" t="s">
        <v>207</v>
      </c>
      <c r="C9" s="68" t="s">
        <v>244</v>
      </c>
      <c r="D9" s="68" t="s">
        <v>245</v>
      </c>
      <c r="E9" s="68" t="s">
        <v>265</v>
      </c>
      <c r="F9" s="68" t="s">
        <v>250</v>
      </c>
      <c r="G9" s="69"/>
      <c r="H9" s="69"/>
      <c r="I9" s="68" t="s">
        <v>266</v>
      </c>
      <c r="J9" s="68" t="s">
        <v>267</v>
      </c>
      <c r="K9" s="68" t="s">
        <v>268</v>
      </c>
      <c r="L9" s="69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</row>
    <row r="10" spans="1:26" ht="16.5" customHeight="1">
      <c r="A10" s="26" t="s">
        <v>25</v>
      </c>
      <c r="B10" s="26" t="s">
        <v>209</v>
      </c>
      <c r="C10" s="71">
        <v>1</v>
      </c>
      <c r="D10" s="71">
        <v>2</v>
      </c>
      <c r="E10" s="26" t="s">
        <v>246</v>
      </c>
      <c r="F10" s="26" t="s">
        <v>246</v>
      </c>
      <c r="G10" s="71"/>
      <c r="H10" s="71"/>
      <c r="I10" s="26" t="s">
        <v>247</v>
      </c>
      <c r="J10" s="26" t="s">
        <v>248</v>
      </c>
      <c r="K10" s="26" t="s">
        <v>249</v>
      </c>
      <c r="L10" s="71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customHeight="1">
      <c r="A11" s="26" t="s">
        <v>25</v>
      </c>
      <c r="B11" s="26" t="s">
        <v>209</v>
      </c>
      <c r="C11" s="71">
        <v>1</v>
      </c>
      <c r="D11" s="71">
        <v>2</v>
      </c>
      <c r="E11" s="26" t="s">
        <v>250</v>
      </c>
      <c r="F11" s="26" t="s">
        <v>246</v>
      </c>
      <c r="G11" s="71"/>
      <c r="H11" s="71"/>
      <c r="I11" s="26" t="s">
        <v>247</v>
      </c>
      <c r="J11" s="26" t="s">
        <v>247</v>
      </c>
      <c r="K11" s="26" t="s">
        <v>247</v>
      </c>
      <c r="L11" s="71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ht="16.5" customHeight="1">
      <c r="A12" s="26" t="s">
        <v>25</v>
      </c>
      <c r="B12" s="26" t="s">
        <v>209</v>
      </c>
      <c r="C12" s="71">
        <v>1</v>
      </c>
      <c r="D12" s="71">
        <v>2</v>
      </c>
      <c r="E12" s="26" t="s">
        <v>250</v>
      </c>
      <c r="F12" s="26" t="s">
        <v>246</v>
      </c>
      <c r="G12" s="71"/>
      <c r="H12" s="71"/>
      <c r="I12" s="26" t="s">
        <v>251</v>
      </c>
      <c r="J12" s="26" t="s">
        <v>252</v>
      </c>
      <c r="K12" s="26" t="s">
        <v>253</v>
      </c>
      <c r="L12" s="71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customHeight="1">
      <c r="A13" s="26" t="s">
        <v>25</v>
      </c>
      <c r="B13" s="26" t="s">
        <v>209</v>
      </c>
      <c r="C13" s="71">
        <v>1</v>
      </c>
      <c r="D13" s="71">
        <v>2</v>
      </c>
      <c r="E13" s="26" t="s">
        <v>254</v>
      </c>
      <c r="F13" s="26" t="s">
        <v>246</v>
      </c>
      <c r="G13" s="71"/>
      <c r="H13" s="71"/>
      <c r="I13" s="26" t="s">
        <v>255</v>
      </c>
      <c r="J13" s="26" t="s">
        <v>256</v>
      </c>
      <c r="K13" s="26" t="s">
        <v>257</v>
      </c>
      <c r="L13" s="71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ht="16.5" customHeight="1">
      <c r="A14" s="26" t="s">
        <v>25</v>
      </c>
      <c r="B14" s="26" t="s">
        <v>209</v>
      </c>
      <c r="C14" s="26" t="s">
        <v>269</v>
      </c>
      <c r="D14" s="71">
        <v>2</v>
      </c>
      <c r="E14" s="26" t="s">
        <v>258</v>
      </c>
      <c r="F14" s="26" t="s">
        <v>250</v>
      </c>
      <c r="G14" s="71"/>
      <c r="H14" s="71"/>
      <c r="I14" s="26" t="s">
        <v>259</v>
      </c>
      <c r="J14" s="26" t="s">
        <v>260</v>
      </c>
      <c r="K14" s="26" t="s">
        <v>256</v>
      </c>
      <c r="L14" s="71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customHeight="1">
      <c r="A15" s="26" t="s">
        <v>25</v>
      </c>
      <c r="B15" s="26" t="s">
        <v>209</v>
      </c>
      <c r="C15" s="26" t="s">
        <v>269</v>
      </c>
      <c r="D15" s="71">
        <v>2</v>
      </c>
      <c r="E15" s="26" t="s">
        <v>261</v>
      </c>
      <c r="F15" s="26" t="s">
        <v>250</v>
      </c>
      <c r="G15" s="71"/>
      <c r="H15" s="71"/>
      <c r="I15" s="26" t="s">
        <v>262</v>
      </c>
      <c r="J15" s="26" t="s">
        <v>263</v>
      </c>
      <c r="K15" s="26" t="s">
        <v>264</v>
      </c>
      <c r="L15" s="71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ht="16.5" customHeight="1">
      <c r="A16" s="26" t="s">
        <v>25</v>
      </c>
      <c r="B16" s="26" t="s">
        <v>209</v>
      </c>
      <c r="C16" s="26" t="s">
        <v>269</v>
      </c>
      <c r="D16" s="71">
        <v>2</v>
      </c>
      <c r="E16" s="26" t="s">
        <v>265</v>
      </c>
      <c r="F16" s="26" t="s">
        <v>250</v>
      </c>
      <c r="G16" s="71"/>
      <c r="H16" s="71"/>
      <c r="I16" s="26" t="s">
        <v>266</v>
      </c>
      <c r="J16" s="26" t="s">
        <v>267</v>
      </c>
      <c r="K16" s="26" t="s">
        <v>268</v>
      </c>
      <c r="L16" s="71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customHeight="1">
      <c r="A17" s="68" t="s">
        <v>25</v>
      </c>
      <c r="B17" s="68" t="s">
        <v>211</v>
      </c>
      <c r="C17" s="68" t="s">
        <v>245</v>
      </c>
      <c r="D17" s="68" t="s">
        <v>270</v>
      </c>
      <c r="E17" s="68" t="s">
        <v>246</v>
      </c>
      <c r="F17" s="68" t="s">
        <v>246</v>
      </c>
      <c r="G17" s="69"/>
      <c r="H17" s="69"/>
      <c r="I17" s="68" t="s">
        <v>247</v>
      </c>
      <c r="J17" s="68" t="s">
        <v>248</v>
      </c>
      <c r="K17" s="68" t="s">
        <v>249</v>
      </c>
      <c r="L17" s="69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</row>
    <row r="18" spans="1:26" ht="16.5" customHeight="1">
      <c r="A18" s="68" t="s">
        <v>25</v>
      </c>
      <c r="B18" s="68" t="s">
        <v>211</v>
      </c>
      <c r="C18" s="68" t="s">
        <v>245</v>
      </c>
      <c r="D18" s="68" t="s">
        <v>270</v>
      </c>
      <c r="E18" s="68" t="s">
        <v>250</v>
      </c>
      <c r="F18" s="68" t="s">
        <v>246</v>
      </c>
      <c r="G18" s="69"/>
      <c r="H18" s="69"/>
      <c r="I18" s="68" t="s">
        <v>247</v>
      </c>
      <c r="J18" s="68" t="s">
        <v>247</v>
      </c>
      <c r="K18" s="68" t="s">
        <v>247</v>
      </c>
      <c r="L18" s="69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</row>
    <row r="19" spans="1:26" ht="16.5" customHeight="1">
      <c r="A19" s="68" t="s">
        <v>25</v>
      </c>
      <c r="B19" s="68" t="s">
        <v>211</v>
      </c>
      <c r="C19" s="68" t="s">
        <v>245</v>
      </c>
      <c r="D19" s="68" t="s">
        <v>270</v>
      </c>
      <c r="E19" s="68" t="s">
        <v>250</v>
      </c>
      <c r="F19" s="68" t="s">
        <v>246</v>
      </c>
      <c r="G19" s="69"/>
      <c r="H19" s="69"/>
      <c r="I19" s="68" t="s">
        <v>251</v>
      </c>
      <c r="J19" s="68" t="s">
        <v>252</v>
      </c>
      <c r="K19" s="68" t="s">
        <v>253</v>
      </c>
      <c r="L19" s="69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</row>
    <row r="20" spans="1:26" ht="16.5" customHeight="1">
      <c r="A20" s="68" t="s">
        <v>25</v>
      </c>
      <c r="B20" s="68" t="s">
        <v>211</v>
      </c>
      <c r="C20" s="68" t="s">
        <v>245</v>
      </c>
      <c r="D20" s="68" t="s">
        <v>270</v>
      </c>
      <c r="E20" s="68" t="s">
        <v>254</v>
      </c>
      <c r="F20" s="68" t="s">
        <v>246</v>
      </c>
      <c r="G20" s="69"/>
      <c r="H20" s="69"/>
      <c r="I20" s="68" t="s">
        <v>255</v>
      </c>
      <c r="J20" s="68" t="s">
        <v>256</v>
      </c>
      <c r="K20" s="68" t="s">
        <v>257</v>
      </c>
      <c r="L20" s="69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</row>
    <row r="21" spans="1:26" ht="16.5" customHeight="1">
      <c r="A21" s="68" t="s">
        <v>25</v>
      </c>
      <c r="B21" s="68" t="s">
        <v>211</v>
      </c>
      <c r="C21" s="68" t="s">
        <v>269</v>
      </c>
      <c r="D21" s="68" t="s">
        <v>270</v>
      </c>
      <c r="E21" s="68" t="s">
        <v>258</v>
      </c>
      <c r="F21" s="68" t="s">
        <v>250</v>
      </c>
      <c r="G21" s="69"/>
      <c r="H21" s="69"/>
      <c r="I21" s="68" t="s">
        <v>259</v>
      </c>
      <c r="J21" s="68" t="s">
        <v>260</v>
      </c>
      <c r="K21" s="68" t="s">
        <v>256</v>
      </c>
      <c r="L21" s="69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ht="16.5" customHeight="1">
      <c r="A22" s="68" t="s">
        <v>25</v>
      </c>
      <c r="B22" s="68" t="s">
        <v>211</v>
      </c>
      <c r="C22" s="68" t="s">
        <v>269</v>
      </c>
      <c r="D22" s="68" t="s">
        <v>270</v>
      </c>
      <c r="E22" s="68" t="s">
        <v>261</v>
      </c>
      <c r="F22" s="68" t="s">
        <v>250</v>
      </c>
      <c r="G22" s="69"/>
      <c r="H22" s="69"/>
      <c r="I22" s="68" t="s">
        <v>262</v>
      </c>
      <c r="J22" s="68" t="s">
        <v>263</v>
      </c>
      <c r="K22" s="68" t="s">
        <v>264</v>
      </c>
      <c r="L22" s="69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ht="16.5" customHeight="1">
      <c r="A23" s="68" t="s">
        <v>25</v>
      </c>
      <c r="B23" s="68" t="s">
        <v>211</v>
      </c>
      <c r="C23" s="68" t="s">
        <v>269</v>
      </c>
      <c r="D23" s="68" t="s">
        <v>271</v>
      </c>
      <c r="E23" s="68" t="s">
        <v>265</v>
      </c>
      <c r="F23" s="68" t="s">
        <v>250</v>
      </c>
      <c r="G23" s="69"/>
      <c r="H23" s="69"/>
      <c r="I23" s="68" t="s">
        <v>266</v>
      </c>
      <c r="J23" s="68" t="s">
        <v>267</v>
      </c>
      <c r="K23" s="68" t="s">
        <v>268</v>
      </c>
      <c r="L23" s="69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16.5" customHeight="1">
      <c r="A24" s="26" t="s">
        <v>25</v>
      </c>
      <c r="B24" s="26" t="s">
        <v>212</v>
      </c>
      <c r="C24" s="26" t="s">
        <v>269</v>
      </c>
      <c r="D24" s="26" t="s">
        <v>270</v>
      </c>
      <c r="E24" s="26" t="s">
        <v>246</v>
      </c>
      <c r="F24" s="26" t="s">
        <v>246</v>
      </c>
      <c r="G24" s="71"/>
      <c r="H24" s="71"/>
      <c r="I24" s="26" t="s">
        <v>247</v>
      </c>
      <c r="J24" s="26" t="s">
        <v>248</v>
      </c>
      <c r="K24" s="26" t="s">
        <v>249</v>
      </c>
      <c r="L24" s="71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customHeight="1">
      <c r="A25" s="26" t="s">
        <v>25</v>
      </c>
      <c r="B25" s="26" t="s">
        <v>212</v>
      </c>
      <c r="C25" s="26" t="s">
        <v>269</v>
      </c>
      <c r="D25" s="26" t="s">
        <v>270</v>
      </c>
      <c r="E25" s="26" t="s">
        <v>250</v>
      </c>
      <c r="F25" s="26" t="s">
        <v>246</v>
      </c>
      <c r="G25" s="71"/>
      <c r="H25" s="71"/>
      <c r="I25" s="26" t="s">
        <v>247</v>
      </c>
      <c r="J25" s="26" t="s">
        <v>247</v>
      </c>
      <c r="K25" s="26" t="s">
        <v>247</v>
      </c>
      <c r="L25" s="71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ht="16.5" customHeight="1">
      <c r="A26" s="26" t="s">
        <v>25</v>
      </c>
      <c r="B26" s="26" t="s">
        <v>212</v>
      </c>
      <c r="C26" s="26" t="s">
        <v>269</v>
      </c>
      <c r="D26" s="26" t="s">
        <v>270</v>
      </c>
      <c r="E26" s="26" t="s">
        <v>250</v>
      </c>
      <c r="F26" s="26" t="s">
        <v>246</v>
      </c>
      <c r="G26" s="71"/>
      <c r="H26" s="71"/>
      <c r="I26" s="26" t="s">
        <v>251</v>
      </c>
      <c r="J26" s="26" t="s">
        <v>252</v>
      </c>
      <c r="K26" s="26" t="s">
        <v>253</v>
      </c>
      <c r="L26" s="71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customHeight="1">
      <c r="A27" s="26" t="s">
        <v>25</v>
      </c>
      <c r="B27" s="26" t="s">
        <v>212</v>
      </c>
      <c r="C27" s="26" t="s">
        <v>269</v>
      </c>
      <c r="D27" s="26" t="s">
        <v>270</v>
      </c>
      <c r="E27" s="26" t="s">
        <v>254</v>
      </c>
      <c r="F27" s="26" t="s">
        <v>246</v>
      </c>
      <c r="G27" s="71"/>
      <c r="H27" s="71"/>
      <c r="I27" s="26" t="s">
        <v>255</v>
      </c>
      <c r="J27" s="26" t="s">
        <v>256</v>
      </c>
      <c r="K27" s="26" t="s">
        <v>257</v>
      </c>
      <c r="L27" s="71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ht="16.5" customHeight="1">
      <c r="A28" s="26" t="s">
        <v>25</v>
      </c>
      <c r="B28" s="26" t="s">
        <v>212</v>
      </c>
      <c r="C28" s="26" t="s">
        <v>269</v>
      </c>
      <c r="D28" s="26" t="s">
        <v>271</v>
      </c>
      <c r="E28" s="26" t="s">
        <v>258</v>
      </c>
      <c r="F28" s="26" t="s">
        <v>250</v>
      </c>
      <c r="G28" s="71"/>
      <c r="H28" s="71"/>
      <c r="I28" s="26" t="s">
        <v>259</v>
      </c>
      <c r="J28" s="26" t="s">
        <v>260</v>
      </c>
      <c r="K28" s="26" t="s">
        <v>256</v>
      </c>
      <c r="L28" s="71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customHeight="1">
      <c r="A29" s="26" t="s">
        <v>25</v>
      </c>
      <c r="B29" s="26" t="s">
        <v>212</v>
      </c>
      <c r="C29" s="26" t="s">
        <v>269</v>
      </c>
      <c r="D29" s="26" t="s">
        <v>271</v>
      </c>
      <c r="E29" s="26" t="s">
        <v>261</v>
      </c>
      <c r="F29" s="26" t="s">
        <v>250</v>
      </c>
      <c r="G29" s="71"/>
      <c r="H29" s="71"/>
      <c r="I29" s="26" t="s">
        <v>262</v>
      </c>
      <c r="J29" s="26" t="s">
        <v>263</v>
      </c>
      <c r="K29" s="26" t="s">
        <v>264</v>
      </c>
      <c r="L29" s="71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ht="16.5" customHeight="1">
      <c r="A30" s="26" t="s">
        <v>25</v>
      </c>
      <c r="B30" s="26" t="s">
        <v>212</v>
      </c>
      <c r="C30" s="26" t="s">
        <v>269</v>
      </c>
      <c r="D30" s="26" t="s">
        <v>271</v>
      </c>
      <c r="E30" s="26" t="s">
        <v>265</v>
      </c>
      <c r="F30" s="26" t="s">
        <v>250</v>
      </c>
      <c r="G30" s="71"/>
      <c r="H30" s="71"/>
      <c r="I30" s="26" t="s">
        <v>272</v>
      </c>
      <c r="J30" s="26" t="s">
        <v>272</v>
      </c>
      <c r="K30" s="26" t="s">
        <v>268</v>
      </c>
      <c r="L30" s="71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customHeight="1">
      <c r="A31" s="68" t="s">
        <v>25</v>
      </c>
      <c r="B31" s="68" t="s">
        <v>214</v>
      </c>
      <c r="C31" s="68" t="s">
        <v>269</v>
      </c>
      <c r="D31" s="68" t="s">
        <v>271</v>
      </c>
      <c r="E31" s="68" t="s">
        <v>246</v>
      </c>
      <c r="F31" s="68" t="s">
        <v>246</v>
      </c>
      <c r="G31" s="69"/>
      <c r="H31" s="69"/>
      <c r="I31" s="68" t="s">
        <v>247</v>
      </c>
      <c r="J31" s="68" t="s">
        <v>248</v>
      </c>
      <c r="K31" s="68" t="s">
        <v>249</v>
      </c>
      <c r="L31" s="69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16.5" customHeight="1">
      <c r="A32" s="68" t="s">
        <v>25</v>
      </c>
      <c r="B32" s="68" t="s">
        <v>214</v>
      </c>
      <c r="C32" s="68" t="s">
        <v>269</v>
      </c>
      <c r="D32" s="68" t="s">
        <v>271</v>
      </c>
      <c r="E32" s="68" t="s">
        <v>250</v>
      </c>
      <c r="F32" s="68" t="s">
        <v>246</v>
      </c>
      <c r="G32" s="69"/>
      <c r="H32" s="69"/>
      <c r="I32" s="68" t="s">
        <v>247</v>
      </c>
      <c r="J32" s="68" t="s">
        <v>247</v>
      </c>
      <c r="K32" s="68" t="s">
        <v>247</v>
      </c>
      <c r="L32" s="69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</row>
    <row r="33" spans="1:26" ht="16.5" customHeight="1">
      <c r="A33" s="68" t="s">
        <v>25</v>
      </c>
      <c r="B33" s="68" t="s">
        <v>214</v>
      </c>
      <c r="C33" s="68" t="s">
        <v>269</v>
      </c>
      <c r="D33" s="68" t="s">
        <v>271</v>
      </c>
      <c r="E33" s="68" t="s">
        <v>250</v>
      </c>
      <c r="F33" s="68" t="s">
        <v>246</v>
      </c>
      <c r="G33" s="69"/>
      <c r="H33" s="69"/>
      <c r="I33" s="68" t="s">
        <v>251</v>
      </c>
      <c r="J33" s="68" t="s">
        <v>252</v>
      </c>
      <c r="K33" s="68" t="s">
        <v>253</v>
      </c>
      <c r="L33" s="69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</row>
    <row r="34" spans="1:26" ht="16.5" customHeight="1">
      <c r="A34" s="68" t="s">
        <v>25</v>
      </c>
      <c r="B34" s="68" t="s">
        <v>214</v>
      </c>
      <c r="C34" s="68" t="s">
        <v>269</v>
      </c>
      <c r="D34" s="68" t="s">
        <v>271</v>
      </c>
      <c r="E34" s="68" t="s">
        <v>254</v>
      </c>
      <c r="F34" s="68" t="s">
        <v>246</v>
      </c>
      <c r="G34" s="69"/>
      <c r="H34" s="69"/>
      <c r="I34" s="68" t="s">
        <v>255</v>
      </c>
      <c r="J34" s="68" t="s">
        <v>256</v>
      </c>
      <c r="K34" s="68" t="s">
        <v>257</v>
      </c>
      <c r="L34" s="69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</row>
    <row r="35" spans="1:26" ht="16.5" customHeight="1">
      <c r="A35" s="68" t="s">
        <v>25</v>
      </c>
      <c r="B35" s="68" t="s">
        <v>214</v>
      </c>
      <c r="C35" s="68" t="s">
        <v>269</v>
      </c>
      <c r="D35" s="68" t="s">
        <v>271</v>
      </c>
      <c r="E35" s="68" t="s">
        <v>258</v>
      </c>
      <c r="F35" s="68" t="s">
        <v>250</v>
      </c>
      <c r="G35" s="69"/>
      <c r="H35" s="69"/>
      <c r="I35" s="68" t="s">
        <v>259</v>
      </c>
      <c r="J35" s="68" t="s">
        <v>260</v>
      </c>
      <c r="K35" s="68" t="s">
        <v>256</v>
      </c>
      <c r="L35" s="69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</row>
    <row r="36" spans="1:26" ht="16.5" customHeight="1">
      <c r="A36" s="68" t="s">
        <v>25</v>
      </c>
      <c r="B36" s="68" t="s">
        <v>214</v>
      </c>
      <c r="C36" s="68" t="s">
        <v>270</v>
      </c>
      <c r="D36" s="68" t="s">
        <v>271</v>
      </c>
      <c r="E36" s="68" t="s">
        <v>261</v>
      </c>
      <c r="F36" s="68" t="s">
        <v>250</v>
      </c>
      <c r="G36" s="69"/>
      <c r="H36" s="69"/>
      <c r="I36" s="68" t="s">
        <v>262</v>
      </c>
      <c r="J36" s="68" t="s">
        <v>263</v>
      </c>
      <c r="K36" s="68" t="s">
        <v>264</v>
      </c>
      <c r="L36" s="69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</row>
    <row r="37" spans="1:26" ht="16.5" customHeight="1">
      <c r="A37" s="68" t="s">
        <v>25</v>
      </c>
      <c r="B37" s="68" t="s">
        <v>214</v>
      </c>
      <c r="C37" s="68" t="s">
        <v>270</v>
      </c>
      <c r="D37" s="68" t="s">
        <v>271</v>
      </c>
      <c r="E37" s="68" t="s">
        <v>265</v>
      </c>
      <c r="F37" s="68" t="s">
        <v>250</v>
      </c>
      <c r="G37" s="69"/>
      <c r="H37" s="69"/>
      <c r="I37" s="68" t="s">
        <v>262</v>
      </c>
      <c r="J37" s="68" t="s">
        <v>262</v>
      </c>
      <c r="K37" s="68" t="s">
        <v>268</v>
      </c>
      <c r="L37" s="69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</row>
    <row r="38" spans="1:26" ht="16.5" customHeight="1">
      <c r="A38" s="26" t="s">
        <v>25</v>
      </c>
      <c r="B38" s="26" t="s">
        <v>216</v>
      </c>
      <c r="C38" s="26" t="s">
        <v>269</v>
      </c>
      <c r="D38" s="26" t="s">
        <v>271</v>
      </c>
      <c r="E38" s="26" t="s">
        <v>246</v>
      </c>
      <c r="F38" s="26" t="s">
        <v>246</v>
      </c>
      <c r="G38" s="71"/>
      <c r="H38" s="71"/>
      <c r="I38" s="26" t="s">
        <v>247</v>
      </c>
      <c r="J38" s="26" t="s">
        <v>248</v>
      </c>
      <c r="K38" s="26" t="s">
        <v>249</v>
      </c>
      <c r="L38" s="71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customHeight="1">
      <c r="A39" s="26" t="s">
        <v>25</v>
      </c>
      <c r="B39" s="26" t="s">
        <v>216</v>
      </c>
      <c r="C39" s="26" t="s">
        <v>269</v>
      </c>
      <c r="D39" s="26" t="s">
        <v>271</v>
      </c>
      <c r="E39" s="26" t="s">
        <v>250</v>
      </c>
      <c r="F39" s="26" t="s">
        <v>246</v>
      </c>
      <c r="G39" s="71"/>
      <c r="H39" s="71"/>
      <c r="I39" s="26" t="s">
        <v>247</v>
      </c>
      <c r="J39" s="26" t="s">
        <v>247</v>
      </c>
      <c r="K39" s="26" t="s">
        <v>247</v>
      </c>
      <c r="L39" s="71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ht="16.5" customHeight="1">
      <c r="A40" s="26" t="s">
        <v>25</v>
      </c>
      <c r="B40" s="26" t="s">
        <v>216</v>
      </c>
      <c r="C40" s="26" t="s">
        <v>270</v>
      </c>
      <c r="D40" s="26" t="s">
        <v>271</v>
      </c>
      <c r="E40" s="26" t="s">
        <v>250</v>
      </c>
      <c r="F40" s="26" t="s">
        <v>246</v>
      </c>
      <c r="G40" s="71"/>
      <c r="H40" s="71"/>
      <c r="I40" s="26" t="s">
        <v>251</v>
      </c>
      <c r="J40" s="26" t="s">
        <v>252</v>
      </c>
      <c r="K40" s="26" t="s">
        <v>253</v>
      </c>
      <c r="L40" s="71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customHeight="1">
      <c r="A41" s="26" t="s">
        <v>25</v>
      </c>
      <c r="B41" s="26" t="s">
        <v>216</v>
      </c>
      <c r="C41" s="26" t="s">
        <v>270</v>
      </c>
      <c r="D41" s="26" t="s">
        <v>271</v>
      </c>
      <c r="E41" s="26" t="s">
        <v>254</v>
      </c>
      <c r="F41" s="26" t="s">
        <v>246</v>
      </c>
      <c r="G41" s="71"/>
      <c r="H41" s="71"/>
      <c r="I41" s="26" t="s">
        <v>255</v>
      </c>
      <c r="J41" s="26" t="s">
        <v>256</v>
      </c>
      <c r="K41" s="26" t="s">
        <v>257</v>
      </c>
      <c r="L41" s="71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ht="16.5" customHeight="1">
      <c r="A42" s="26" t="s">
        <v>25</v>
      </c>
      <c r="B42" s="26" t="s">
        <v>216</v>
      </c>
      <c r="C42" s="26" t="s">
        <v>270</v>
      </c>
      <c r="D42" s="26" t="s">
        <v>271</v>
      </c>
      <c r="E42" s="26" t="s">
        <v>258</v>
      </c>
      <c r="F42" s="26" t="s">
        <v>246</v>
      </c>
      <c r="G42" s="71"/>
      <c r="H42" s="71"/>
      <c r="I42" s="26" t="s">
        <v>259</v>
      </c>
      <c r="J42" s="26" t="s">
        <v>260</v>
      </c>
      <c r="K42" s="26" t="s">
        <v>256</v>
      </c>
      <c r="L42" s="71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customHeight="1">
      <c r="A43" s="26" t="s">
        <v>25</v>
      </c>
      <c r="B43" s="26" t="s">
        <v>216</v>
      </c>
      <c r="C43" s="26" t="s">
        <v>270</v>
      </c>
      <c r="D43" s="26" t="s">
        <v>271</v>
      </c>
      <c r="E43" s="26" t="s">
        <v>261</v>
      </c>
      <c r="F43" s="26" t="s">
        <v>250</v>
      </c>
      <c r="G43" s="71"/>
      <c r="H43" s="71"/>
      <c r="I43" s="26" t="s">
        <v>273</v>
      </c>
      <c r="J43" s="26" t="s">
        <v>273</v>
      </c>
      <c r="K43" s="26" t="s">
        <v>264</v>
      </c>
      <c r="L43" s="71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ht="16.5" customHeight="1">
      <c r="A44" s="68" t="s">
        <v>25</v>
      </c>
      <c r="B44" s="68" t="s">
        <v>217</v>
      </c>
      <c r="C44" s="68" t="s">
        <v>270</v>
      </c>
      <c r="D44" s="68" t="s">
        <v>271</v>
      </c>
      <c r="E44" s="68" t="s">
        <v>246</v>
      </c>
      <c r="F44" s="68" t="s">
        <v>246</v>
      </c>
      <c r="G44" s="69"/>
      <c r="H44" s="69"/>
      <c r="I44" s="68" t="s">
        <v>247</v>
      </c>
      <c r="J44" s="68" t="s">
        <v>248</v>
      </c>
      <c r="K44" s="68" t="s">
        <v>249</v>
      </c>
      <c r="L44" s="69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</row>
    <row r="45" spans="1:26" ht="16.5" customHeight="1">
      <c r="A45" s="68" t="s">
        <v>25</v>
      </c>
      <c r="B45" s="68" t="s">
        <v>217</v>
      </c>
      <c r="C45" s="68" t="s">
        <v>270</v>
      </c>
      <c r="D45" s="68" t="s">
        <v>271</v>
      </c>
      <c r="E45" s="68" t="s">
        <v>250</v>
      </c>
      <c r="F45" s="68" t="s">
        <v>246</v>
      </c>
      <c r="G45" s="69"/>
      <c r="H45" s="69"/>
      <c r="I45" s="68" t="s">
        <v>247</v>
      </c>
      <c r="J45" s="68" t="s">
        <v>247</v>
      </c>
      <c r="K45" s="68" t="s">
        <v>247</v>
      </c>
      <c r="L45" s="69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</row>
    <row r="46" spans="1:26" ht="16.5" customHeight="1">
      <c r="A46" s="68" t="s">
        <v>25</v>
      </c>
      <c r="B46" s="68" t="s">
        <v>217</v>
      </c>
      <c r="C46" s="68" t="s">
        <v>271</v>
      </c>
      <c r="D46" s="68" t="s">
        <v>274</v>
      </c>
      <c r="E46" s="68" t="s">
        <v>250</v>
      </c>
      <c r="F46" s="68" t="s">
        <v>246</v>
      </c>
      <c r="G46" s="69"/>
      <c r="H46" s="69"/>
      <c r="I46" s="68" t="s">
        <v>251</v>
      </c>
      <c r="J46" s="68" t="s">
        <v>252</v>
      </c>
      <c r="K46" s="68" t="s">
        <v>253</v>
      </c>
      <c r="L46" s="69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</row>
    <row r="47" spans="1:26" ht="16.5" customHeight="1">
      <c r="A47" s="68" t="s">
        <v>25</v>
      </c>
      <c r="B47" s="68" t="s">
        <v>217</v>
      </c>
      <c r="C47" s="68" t="s">
        <v>271</v>
      </c>
      <c r="D47" s="68" t="s">
        <v>274</v>
      </c>
      <c r="E47" s="68" t="s">
        <v>254</v>
      </c>
      <c r="F47" s="68" t="s">
        <v>246</v>
      </c>
      <c r="G47" s="69"/>
      <c r="H47" s="69"/>
      <c r="I47" s="68" t="s">
        <v>255</v>
      </c>
      <c r="J47" s="68" t="s">
        <v>256</v>
      </c>
      <c r="K47" s="68" t="s">
        <v>257</v>
      </c>
      <c r="L47" s="69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</row>
    <row r="48" spans="1:26" ht="16.5" customHeight="1">
      <c r="A48" s="68" t="s">
        <v>25</v>
      </c>
      <c r="B48" s="68" t="s">
        <v>217</v>
      </c>
      <c r="C48" s="68" t="s">
        <v>271</v>
      </c>
      <c r="D48" s="68" t="s">
        <v>274</v>
      </c>
      <c r="E48" s="68" t="s">
        <v>258</v>
      </c>
      <c r="F48" s="68" t="s">
        <v>246</v>
      </c>
      <c r="G48" s="69"/>
      <c r="H48" s="69"/>
      <c r="I48" s="68" t="s">
        <v>259</v>
      </c>
      <c r="J48" s="68" t="s">
        <v>260</v>
      </c>
      <c r="K48" s="68" t="s">
        <v>256</v>
      </c>
      <c r="L48" s="69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</row>
    <row r="49" spans="1:26" ht="16.5" customHeight="1">
      <c r="A49" s="68" t="s">
        <v>25</v>
      </c>
      <c r="B49" s="68" t="s">
        <v>217</v>
      </c>
      <c r="C49" s="68" t="s">
        <v>271</v>
      </c>
      <c r="D49" s="68" t="s">
        <v>274</v>
      </c>
      <c r="E49" s="68" t="s">
        <v>261</v>
      </c>
      <c r="F49" s="68" t="s">
        <v>250</v>
      </c>
      <c r="G49" s="69"/>
      <c r="H49" s="69"/>
      <c r="I49" s="68" t="s">
        <v>275</v>
      </c>
      <c r="J49" s="68" t="s">
        <v>275</v>
      </c>
      <c r="K49" s="68" t="s">
        <v>264</v>
      </c>
      <c r="L49" s="69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</row>
    <row r="50" spans="1:26" ht="16.5" customHeight="1">
      <c r="A50" s="26" t="s">
        <v>25</v>
      </c>
      <c r="B50" s="26" t="s">
        <v>219</v>
      </c>
      <c r="C50" s="26" t="s">
        <v>271</v>
      </c>
      <c r="D50" s="26" t="s">
        <v>274</v>
      </c>
      <c r="E50" s="26" t="s">
        <v>246</v>
      </c>
      <c r="F50" s="26" t="s">
        <v>246</v>
      </c>
      <c r="G50" s="71"/>
      <c r="H50" s="71"/>
      <c r="I50" s="26" t="s">
        <v>247</v>
      </c>
      <c r="J50" s="26" t="s">
        <v>248</v>
      </c>
      <c r="K50" s="26" t="s">
        <v>249</v>
      </c>
      <c r="L50" s="71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customHeight="1">
      <c r="A51" s="26" t="s">
        <v>25</v>
      </c>
      <c r="B51" s="26" t="s">
        <v>219</v>
      </c>
      <c r="C51" s="26" t="s">
        <v>271</v>
      </c>
      <c r="D51" s="26" t="s">
        <v>274</v>
      </c>
      <c r="E51" s="26" t="s">
        <v>250</v>
      </c>
      <c r="F51" s="26" t="s">
        <v>246</v>
      </c>
      <c r="G51" s="71"/>
      <c r="H51" s="71"/>
      <c r="I51" s="26" t="s">
        <v>247</v>
      </c>
      <c r="J51" s="26" t="s">
        <v>247</v>
      </c>
      <c r="K51" s="26" t="s">
        <v>247</v>
      </c>
      <c r="L51" s="71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ht="16.5" customHeight="1">
      <c r="A52" s="26" t="s">
        <v>25</v>
      </c>
      <c r="B52" s="26" t="s">
        <v>219</v>
      </c>
      <c r="C52" s="26" t="s">
        <v>271</v>
      </c>
      <c r="D52" s="26" t="s">
        <v>274</v>
      </c>
      <c r="E52" s="26" t="s">
        <v>250</v>
      </c>
      <c r="F52" s="26" t="s">
        <v>246</v>
      </c>
      <c r="G52" s="71"/>
      <c r="H52" s="71"/>
      <c r="I52" s="26" t="s">
        <v>251</v>
      </c>
      <c r="J52" s="26" t="s">
        <v>252</v>
      </c>
      <c r="K52" s="26" t="s">
        <v>253</v>
      </c>
      <c r="L52" s="71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customHeight="1">
      <c r="A53" s="26" t="s">
        <v>25</v>
      </c>
      <c r="B53" s="26" t="s">
        <v>219</v>
      </c>
      <c r="C53" s="26" t="s">
        <v>271</v>
      </c>
      <c r="D53" s="26" t="s">
        <v>274</v>
      </c>
      <c r="E53" s="26" t="s">
        <v>254</v>
      </c>
      <c r="F53" s="26" t="s">
        <v>246</v>
      </c>
      <c r="G53" s="71"/>
      <c r="H53" s="71"/>
      <c r="I53" s="26" t="s">
        <v>255</v>
      </c>
      <c r="J53" s="26" t="s">
        <v>256</v>
      </c>
      <c r="K53" s="26" t="s">
        <v>257</v>
      </c>
      <c r="L53" s="71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ht="16.5" customHeight="1">
      <c r="A54" s="26" t="s">
        <v>25</v>
      </c>
      <c r="B54" s="26" t="s">
        <v>219</v>
      </c>
      <c r="C54" s="26" t="s">
        <v>271</v>
      </c>
      <c r="D54" s="26" t="s">
        <v>276</v>
      </c>
      <c r="E54" s="26" t="s">
        <v>258</v>
      </c>
      <c r="F54" s="26" t="s">
        <v>246</v>
      </c>
      <c r="G54" s="71"/>
      <c r="H54" s="71"/>
      <c r="I54" s="26" t="s">
        <v>259</v>
      </c>
      <c r="J54" s="26" t="s">
        <v>260</v>
      </c>
      <c r="K54" s="26" t="s">
        <v>256</v>
      </c>
      <c r="L54" s="71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customHeight="1">
      <c r="A55" s="26" t="s">
        <v>25</v>
      </c>
      <c r="B55" s="26" t="s">
        <v>219</v>
      </c>
      <c r="C55" s="26" t="s">
        <v>271</v>
      </c>
      <c r="D55" s="26" t="s">
        <v>276</v>
      </c>
      <c r="E55" s="26" t="s">
        <v>261</v>
      </c>
      <c r="F55" s="26" t="s">
        <v>250</v>
      </c>
      <c r="G55" s="71"/>
      <c r="H55" s="71"/>
      <c r="I55" s="26" t="s">
        <v>259</v>
      </c>
      <c r="J55" s="26" t="s">
        <v>259</v>
      </c>
      <c r="K55" s="26" t="s">
        <v>264</v>
      </c>
      <c r="L55" s="71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ht="16.5" customHeight="1">
      <c r="A56" s="68" t="s">
        <v>25</v>
      </c>
      <c r="B56" s="68" t="s">
        <v>221</v>
      </c>
      <c r="C56" s="68" t="s">
        <v>271</v>
      </c>
      <c r="D56" s="68" t="s">
        <v>274</v>
      </c>
      <c r="E56" s="68" t="s">
        <v>246</v>
      </c>
      <c r="F56" s="68" t="s">
        <v>246</v>
      </c>
      <c r="G56" s="69"/>
      <c r="H56" s="69"/>
      <c r="I56" s="68" t="s">
        <v>247</v>
      </c>
      <c r="J56" s="68" t="s">
        <v>248</v>
      </c>
      <c r="K56" s="68" t="s">
        <v>249</v>
      </c>
      <c r="L56" s="69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  <row r="57" spans="1:26" ht="16.5" customHeight="1">
      <c r="A57" s="68" t="s">
        <v>25</v>
      </c>
      <c r="B57" s="68" t="s">
        <v>221</v>
      </c>
      <c r="C57" s="68" t="s">
        <v>271</v>
      </c>
      <c r="D57" s="68" t="s">
        <v>274</v>
      </c>
      <c r="E57" s="68" t="s">
        <v>250</v>
      </c>
      <c r="F57" s="68" t="s">
        <v>246</v>
      </c>
      <c r="G57" s="69"/>
      <c r="H57" s="69"/>
      <c r="I57" s="68" t="s">
        <v>247</v>
      </c>
      <c r="J57" s="68" t="s">
        <v>247</v>
      </c>
      <c r="K57" s="68" t="s">
        <v>247</v>
      </c>
      <c r="L57" s="69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</row>
    <row r="58" spans="1:26" ht="16.5" customHeight="1">
      <c r="A58" s="68" t="s">
        <v>25</v>
      </c>
      <c r="B58" s="68" t="s">
        <v>221</v>
      </c>
      <c r="C58" s="68" t="s">
        <v>274</v>
      </c>
      <c r="D58" s="68" t="s">
        <v>276</v>
      </c>
      <c r="E58" s="68" t="s">
        <v>250</v>
      </c>
      <c r="F58" s="68" t="s">
        <v>246</v>
      </c>
      <c r="G58" s="69"/>
      <c r="H58" s="69"/>
      <c r="I58" s="68" t="s">
        <v>251</v>
      </c>
      <c r="J58" s="68" t="s">
        <v>252</v>
      </c>
      <c r="K58" s="68" t="s">
        <v>253</v>
      </c>
      <c r="L58" s="69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</row>
    <row r="59" spans="1:26" ht="16.5" customHeight="1">
      <c r="A59" s="68" t="s">
        <v>25</v>
      </c>
      <c r="B59" s="68" t="s">
        <v>221</v>
      </c>
      <c r="C59" s="68" t="s">
        <v>274</v>
      </c>
      <c r="D59" s="68" t="s">
        <v>276</v>
      </c>
      <c r="E59" s="68" t="s">
        <v>254</v>
      </c>
      <c r="F59" s="68" t="s">
        <v>246</v>
      </c>
      <c r="G59" s="69"/>
      <c r="H59" s="69"/>
      <c r="I59" s="68" t="s">
        <v>277</v>
      </c>
      <c r="J59" s="68" t="s">
        <v>277</v>
      </c>
      <c r="K59" s="68" t="s">
        <v>257</v>
      </c>
      <c r="L59" s="69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</row>
    <row r="60" spans="1:26" ht="16.5" customHeight="1">
      <c r="A60" s="68" t="s">
        <v>25</v>
      </c>
      <c r="B60" s="68" t="s">
        <v>221</v>
      </c>
      <c r="C60" s="68" t="s">
        <v>274</v>
      </c>
      <c r="D60" s="68" t="s">
        <v>276</v>
      </c>
      <c r="E60" s="68" t="s">
        <v>258</v>
      </c>
      <c r="F60" s="68" t="s">
        <v>246</v>
      </c>
      <c r="G60" s="69"/>
      <c r="H60" s="69"/>
      <c r="I60" s="68" t="s">
        <v>261</v>
      </c>
      <c r="J60" s="68" t="s">
        <v>261</v>
      </c>
      <c r="K60" s="68" t="s">
        <v>256</v>
      </c>
      <c r="L60" s="69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</row>
    <row r="61" spans="1:26" ht="16.5" customHeight="1">
      <c r="A61" s="68" t="s">
        <v>25</v>
      </c>
      <c r="B61" s="68" t="s">
        <v>221</v>
      </c>
      <c r="C61" s="68" t="s">
        <v>274</v>
      </c>
      <c r="D61" s="68" t="s">
        <v>276</v>
      </c>
      <c r="E61" s="68" t="s">
        <v>261</v>
      </c>
      <c r="F61" s="68" t="s">
        <v>246</v>
      </c>
      <c r="G61" s="69"/>
      <c r="H61" s="69"/>
      <c r="I61" s="68"/>
      <c r="J61" s="68"/>
      <c r="K61" s="68" t="s">
        <v>261</v>
      </c>
      <c r="L61" s="69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</row>
    <row r="62" spans="1:26" ht="16.5" customHeight="1">
      <c r="A62" s="26" t="s">
        <v>25</v>
      </c>
      <c r="B62" s="26" t="s">
        <v>76</v>
      </c>
      <c r="C62" s="26" t="s">
        <v>274</v>
      </c>
      <c r="D62" s="26" t="s">
        <v>276</v>
      </c>
      <c r="E62" s="26" t="s">
        <v>246</v>
      </c>
      <c r="F62" s="26" t="s">
        <v>246</v>
      </c>
      <c r="G62" s="71"/>
      <c r="H62" s="71"/>
      <c r="I62" s="26" t="s">
        <v>247</v>
      </c>
      <c r="J62" s="26" t="s">
        <v>248</v>
      </c>
      <c r="K62" s="26" t="s">
        <v>249</v>
      </c>
      <c r="L62" s="71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ht="16.5" customHeight="1">
      <c r="A63" s="26" t="s">
        <v>25</v>
      </c>
      <c r="B63" s="26" t="s">
        <v>76</v>
      </c>
      <c r="C63" s="26" t="s">
        <v>274</v>
      </c>
      <c r="D63" s="26" t="s">
        <v>276</v>
      </c>
      <c r="E63" s="26" t="s">
        <v>250</v>
      </c>
      <c r="F63" s="26" t="s">
        <v>246</v>
      </c>
      <c r="G63" s="71"/>
      <c r="H63" s="71"/>
      <c r="I63" s="26" t="s">
        <v>247</v>
      </c>
      <c r="J63" s="26" t="s">
        <v>247</v>
      </c>
      <c r="K63" s="26" t="s">
        <v>247</v>
      </c>
      <c r="L63" s="71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ht="16.5" customHeight="1">
      <c r="A64" s="26" t="s">
        <v>25</v>
      </c>
      <c r="B64" s="26" t="s">
        <v>76</v>
      </c>
      <c r="C64" s="26" t="s">
        <v>274</v>
      </c>
      <c r="D64" s="26" t="s">
        <v>276</v>
      </c>
      <c r="E64" s="26" t="s">
        <v>250</v>
      </c>
      <c r="F64" s="26" t="s">
        <v>246</v>
      </c>
      <c r="G64" s="71"/>
      <c r="H64" s="71"/>
      <c r="I64" s="26" t="s">
        <v>251</v>
      </c>
      <c r="J64" s="26" t="s">
        <v>252</v>
      </c>
      <c r="K64" s="26" t="s">
        <v>253</v>
      </c>
      <c r="L64" s="71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ht="16.5" customHeight="1">
      <c r="A65" s="26" t="s">
        <v>25</v>
      </c>
      <c r="B65" s="26" t="s">
        <v>76</v>
      </c>
      <c r="C65" s="26" t="s">
        <v>274</v>
      </c>
      <c r="D65" s="26" t="s">
        <v>276</v>
      </c>
      <c r="E65" s="26" t="s">
        <v>254</v>
      </c>
      <c r="F65" s="26" t="s">
        <v>246</v>
      </c>
      <c r="G65" s="71"/>
      <c r="H65" s="71"/>
      <c r="I65" s="26" t="s">
        <v>278</v>
      </c>
      <c r="J65" s="26" t="s">
        <v>278</v>
      </c>
      <c r="K65" s="26" t="s">
        <v>257</v>
      </c>
      <c r="L65" s="71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ht="16.5" customHeight="1">
      <c r="A66" s="26" t="s">
        <v>25</v>
      </c>
      <c r="B66" s="26" t="s">
        <v>76</v>
      </c>
      <c r="C66" s="26" t="s">
        <v>274</v>
      </c>
      <c r="D66" s="26" t="s">
        <v>276</v>
      </c>
      <c r="E66" s="26" t="s">
        <v>258</v>
      </c>
      <c r="F66" s="26" t="s">
        <v>246</v>
      </c>
      <c r="G66" s="71"/>
      <c r="H66" s="71"/>
      <c r="I66" s="26"/>
      <c r="J66" s="26"/>
      <c r="K66" s="26" t="s">
        <v>278</v>
      </c>
      <c r="L66" s="71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ht="16.5" customHeight="1">
      <c r="A67" s="68" t="s">
        <v>25</v>
      </c>
      <c r="B67" s="68" t="s">
        <v>224</v>
      </c>
      <c r="C67" s="68" t="s">
        <v>274</v>
      </c>
      <c r="D67" s="68" t="s">
        <v>276</v>
      </c>
      <c r="E67" s="68" t="s">
        <v>246</v>
      </c>
      <c r="F67" s="68" t="s">
        <v>246</v>
      </c>
      <c r="G67" s="69"/>
      <c r="H67" s="69"/>
      <c r="I67" s="68" t="s">
        <v>247</v>
      </c>
      <c r="J67" s="68" t="s">
        <v>248</v>
      </c>
      <c r="K67" s="68" t="s">
        <v>249</v>
      </c>
      <c r="L67" s="69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</row>
    <row r="68" spans="1:26" ht="16.5" customHeight="1">
      <c r="A68" s="68" t="s">
        <v>25</v>
      </c>
      <c r="B68" s="68" t="s">
        <v>224</v>
      </c>
      <c r="C68" s="68" t="s">
        <v>274</v>
      </c>
      <c r="D68" s="68" t="s">
        <v>276</v>
      </c>
      <c r="E68" s="68" t="s">
        <v>250</v>
      </c>
      <c r="F68" s="68" t="s">
        <v>246</v>
      </c>
      <c r="G68" s="69"/>
      <c r="H68" s="69"/>
      <c r="I68" s="68" t="s">
        <v>247</v>
      </c>
      <c r="J68" s="68" t="s">
        <v>247</v>
      </c>
      <c r="K68" s="68" t="s">
        <v>247</v>
      </c>
      <c r="L68" s="69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</row>
    <row r="69" spans="1:26" ht="16.5" customHeight="1">
      <c r="A69" s="68" t="s">
        <v>25</v>
      </c>
      <c r="B69" s="68" t="s">
        <v>224</v>
      </c>
      <c r="C69" s="68" t="s">
        <v>274</v>
      </c>
      <c r="D69" s="68" t="s">
        <v>276</v>
      </c>
      <c r="E69" s="68" t="s">
        <v>250</v>
      </c>
      <c r="F69" s="68" t="s">
        <v>246</v>
      </c>
      <c r="G69" s="69"/>
      <c r="H69" s="69"/>
      <c r="I69" s="68" t="s">
        <v>251</v>
      </c>
      <c r="J69" s="68" t="s">
        <v>252</v>
      </c>
      <c r="K69" s="68" t="s">
        <v>253</v>
      </c>
      <c r="L69" s="69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</row>
    <row r="70" spans="1:26" ht="16.5" customHeight="1">
      <c r="A70" s="68" t="s">
        <v>25</v>
      </c>
      <c r="B70" s="68" t="s">
        <v>224</v>
      </c>
      <c r="C70" s="68" t="s">
        <v>274</v>
      </c>
      <c r="D70" s="68" t="s">
        <v>276</v>
      </c>
      <c r="E70" s="68" t="s">
        <v>254</v>
      </c>
      <c r="F70" s="68" t="s">
        <v>246</v>
      </c>
      <c r="G70" s="69"/>
      <c r="H70" s="69"/>
      <c r="I70" s="68" t="s">
        <v>277</v>
      </c>
      <c r="J70" s="68" t="s">
        <v>277</v>
      </c>
      <c r="K70" s="68" t="s">
        <v>257</v>
      </c>
      <c r="L70" s="69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</row>
    <row r="71" spans="1:26" ht="16.5" customHeight="1">
      <c r="A71" s="68" t="s">
        <v>25</v>
      </c>
      <c r="B71" s="68" t="s">
        <v>224</v>
      </c>
      <c r="C71" s="68" t="s">
        <v>274</v>
      </c>
      <c r="D71" s="68" t="s">
        <v>276</v>
      </c>
      <c r="E71" s="68" t="s">
        <v>258</v>
      </c>
      <c r="F71" s="68" t="s">
        <v>246</v>
      </c>
      <c r="G71" s="69"/>
      <c r="H71" s="69"/>
      <c r="I71" s="68"/>
      <c r="J71" s="68"/>
      <c r="K71" s="68" t="s">
        <v>277</v>
      </c>
      <c r="L71" s="69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</row>
    <row r="72" spans="1:26" ht="16.5" customHeight="1">
      <c r="A72" s="26" t="s">
        <v>25</v>
      </c>
      <c r="B72" s="26" t="s">
        <v>225</v>
      </c>
      <c r="C72" s="26" t="s">
        <v>274</v>
      </c>
      <c r="D72" s="26" t="s">
        <v>276</v>
      </c>
      <c r="E72" s="26" t="s">
        <v>246</v>
      </c>
      <c r="F72" s="26" t="s">
        <v>246</v>
      </c>
      <c r="G72" s="71"/>
      <c r="H72" s="71"/>
      <c r="I72" s="26" t="s">
        <v>247</v>
      </c>
      <c r="J72" s="26" t="s">
        <v>248</v>
      </c>
      <c r="K72" s="26" t="s">
        <v>249</v>
      </c>
      <c r="L72" s="71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ht="16.5" customHeight="1">
      <c r="A73" s="26" t="s">
        <v>25</v>
      </c>
      <c r="B73" s="26" t="s">
        <v>225</v>
      </c>
      <c r="C73" s="26" t="s">
        <v>274</v>
      </c>
      <c r="D73" s="26" t="s">
        <v>276</v>
      </c>
      <c r="E73" s="26" t="s">
        <v>250</v>
      </c>
      <c r="F73" s="26" t="s">
        <v>246</v>
      </c>
      <c r="G73" s="71"/>
      <c r="H73" s="71"/>
      <c r="I73" s="26" t="s">
        <v>247</v>
      </c>
      <c r="J73" s="26" t="s">
        <v>247</v>
      </c>
      <c r="K73" s="26" t="s">
        <v>247</v>
      </c>
      <c r="L73" s="71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ht="16.5" customHeight="1">
      <c r="A74" s="26" t="s">
        <v>25</v>
      </c>
      <c r="B74" s="26" t="s">
        <v>225</v>
      </c>
      <c r="C74" s="26" t="s">
        <v>274</v>
      </c>
      <c r="D74" s="26" t="s">
        <v>276</v>
      </c>
      <c r="E74" s="26" t="s">
        <v>250</v>
      </c>
      <c r="F74" s="26" t="s">
        <v>246</v>
      </c>
      <c r="G74" s="71"/>
      <c r="H74" s="71"/>
      <c r="I74" s="26" t="s">
        <v>279</v>
      </c>
      <c r="J74" s="26" t="s">
        <v>279</v>
      </c>
      <c r="K74" s="26" t="s">
        <v>253</v>
      </c>
      <c r="L74" s="71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ht="16.5" customHeight="1">
      <c r="A75" s="26" t="s">
        <v>25</v>
      </c>
      <c r="B75" s="26" t="s">
        <v>225</v>
      </c>
      <c r="C75" s="26" t="s">
        <v>274</v>
      </c>
      <c r="D75" s="26" t="s">
        <v>276</v>
      </c>
      <c r="E75" s="26" t="s">
        <v>254</v>
      </c>
      <c r="F75" s="26" t="s">
        <v>246</v>
      </c>
      <c r="G75" s="71"/>
      <c r="H75" s="71"/>
      <c r="I75" s="26" t="s">
        <v>277</v>
      </c>
      <c r="J75" s="26" t="s">
        <v>277</v>
      </c>
      <c r="K75" s="26" t="s">
        <v>257</v>
      </c>
      <c r="L75" s="71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ht="16.5" customHeight="1">
      <c r="A76" s="26" t="s">
        <v>25</v>
      </c>
      <c r="B76" s="26" t="s">
        <v>225</v>
      </c>
      <c r="C76" s="26" t="s">
        <v>274</v>
      </c>
      <c r="D76" s="26" t="s">
        <v>276</v>
      </c>
      <c r="E76" s="26" t="s">
        <v>258</v>
      </c>
      <c r="F76" s="26" t="s">
        <v>246</v>
      </c>
      <c r="G76" s="71"/>
      <c r="H76" s="71"/>
      <c r="I76" s="26"/>
      <c r="J76" s="26"/>
      <c r="K76" s="26" t="s">
        <v>277</v>
      </c>
      <c r="L76" s="71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ht="16.5" customHeight="1">
      <c r="A77" s="68" t="s">
        <v>25</v>
      </c>
      <c r="B77" s="68" t="s">
        <v>226</v>
      </c>
      <c r="C77" s="68" t="s">
        <v>276</v>
      </c>
      <c r="D77" s="68" t="s">
        <v>22</v>
      </c>
      <c r="E77" s="68" t="s">
        <v>246</v>
      </c>
      <c r="F77" s="68" t="s">
        <v>246</v>
      </c>
      <c r="G77" s="69"/>
      <c r="H77" s="69"/>
      <c r="I77" s="68" t="s">
        <v>280</v>
      </c>
      <c r="J77" s="68" t="s">
        <v>280</v>
      </c>
      <c r="K77" s="68" t="s">
        <v>249</v>
      </c>
      <c r="L77" s="69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</row>
    <row r="78" spans="1:26" ht="16.5" customHeight="1">
      <c r="A78" s="68" t="s">
        <v>25</v>
      </c>
      <c r="B78" s="68" t="s">
        <v>226</v>
      </c>
      <c r="C78" s="68" t="s">
        <v>276</v>
      </c>
      <c r="D78" s="68" t="s">
        <v>22</v>
      </c>
      <c r="E78" s="68" t="s">
        <v>250</v>
      </c>
      <c r="F78" s="68" t="s">
        <v>246</v>
      </c>
      <c r="G78" s="69"/>
      <c r="H78" s="69"/>
      <c r="I78" s="68" t="s">
        <v>280</v>
      </c>
      <c r="J78" s="68" t="s">
        <v>280</v>
      </c>
      <c r="K78" s="68" t="s">
        <v>280</v>
      </c>
      <c r="L78" s="69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</row>
    <row r="79" spans="1:26" ht="16.5" customHeight="1">
      <c r="A79" s="68" t="s">
        <v>25</v>
      </c>
      <c r="B79" s="68" t="s">
        <v>226</v>
      </c>
      <c r="C79" s="68" t="s">
        <v>276</v>
      </c>
      <c r="D79" s="68" t="s">
        <v>22</v>
      </c>
      <c r="E79" s="68" t="s">
        <v>250</v>
      </c>
      <c r="F79" s="68" t="s">
        <v>246</v>
      </c>
      <c r="G79" s="69"/>
      <c r="H79" s="69"/>
      <c r="I79" s="68" t="s">
        <v>250</v>
      </c>
      <c r="J79" s="68" t="s">
        <v>250</v>
      </c>
      <c r="K79" s="68" t="s">
        <v>250</v>
      </c>
      <c r="L79" s="69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</row>
    <row r="80" spans="1:26" ht="16.5" customHeight="1">
      <c r="A80" s="68" t="s">
        <v>25</v>
      </c>
      <c r="B80" s="68" t="s">
        <v>226</v>
      </c>
      <c r="C80" s="68" t="s">
        <v>276</v>
      </c>
      <c r="D80" s="68" t="s">
        <v>22</v>
      </c>
      <c r="E80" s="68" t="s">
        <v>254</v>
      </c>
      <c r="F80" s="68" t="s">
        <v>246</v>
      </c>
      <c r="G80" s="69"/>
      <c r="H80" s="69"/>
      <c r="I80" s="68" t="s">
        <v>254</v>
      </c>
      <c r="J80" s="68" t="s">
        <v>254</v>
      </c>
      <c r="K80" s="68" t="s">
        <v>254</v>
      </c>
      <c r="L80" s="69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</row>
    <row r="81" spans="1:26" ht="16.5" customHeight="1">
      <c r="A81" s="26" t="s">
        <v>25</v>
      </c>
      <c r="B81" s="26" t="s">
        <v>228</v>
      </c>
      <c r="C81" s="26" t="s">
        <v>276</v>
      </c>
      <c r="D81" s="26" t="s">
        <v>22</v>
      </c>
      <c r="E81" s="26" t="s">
        <v>246</v>
      </c>
      <c r="F81" s="26" t="s">
        <v>246</v>
      </c>
      <c r="G81" s="71"/>
      <c r="H81" s="71"/>
      <c r="I81" s="26" t="s">
        <v>281</v>
      </c>
      <c r="J81" s="26" t="s">
        <v>281</v>
      </c>
      <c r="K81" s="26" t="s">
        <v>249</v>
      </c>
      <c r="L81" s="71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ht="16.5" customHeight="1">
      <c r="A82" s="26" t="s">
        <v>25</v>
      </c>
      <c r="B82" s="26" t="s">
        <v>228</v>
      </c>
      <c r="C82" s="26" t="s">
        <v>276</v>
      </c>
      <c r="D82" s="26" t="s">
        <v>22</v>
      </c>
      <c r="E82" s="26" t="s">
        <v>250</v>
      </c>
      <c r="F82" s="26" t="s">
        <v>246</v>
      </c>
      <c r="G82" s="71"/>
      <c r="H82" s="71"/>
      <c r="I82" s="26" t="s">
        <v>281</v>
      </c>
      <c r="J82" s="26" t="s">
        <v>281</v>
      </c>
      <c r="K82" s="26" t="s">
        <v>281</v>
      </c>
      <c r="L82" s="71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ht="16.5" customHeight="1">
      <c r="A83" s="26" t="s">
        <v>25</v>
      </c>
      <c r="B83" s="26" t="s">
        <v>228</v>
      </c>
      <c r="C83" s="26" t="s">
        <v>276</v>
      </c>
      <c r="D83" s="26" t="s">
        <v>282</v>
      </c>
      <c r="E83" s="26" t="s">
        <v>250</v>
      </c>
      <c r="F83" s="26" t="s">
        <v>246</v>
      </c>
      <c r="G83" s="71"/>
      <c r="H83" s="71"/>
      <c r="I83" s="26" t="s">
        <v>283</v>
      </c>
      <c r="J83" s="26" t="s">
        <v>283</v>
      </c>
      <c r="K83" s="26" t="s">
        <v>283</v>
      </c>
      <c r="L83" s="71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ht="16.5" customHeight="1">
      <c r="A84" s="26" t="s">
        <v>25</v>
      </c>
      <c r="B84" s="26" t="s">
        <v>228</v>
      </c>
      <c r="C84" s="26" t="s">
        <v>276</v>
      </c>
      <c r="D84" s="26" t="s">
        <v>282</v>
      </c>
      <c r="E84" s="26" t="s">
        <v>254</v>
      </c>
      <c r="F84" s="26" t="s">
        <v>246</v>
      </c>
      <c r="G84" s="71"/>
      <c r="H84" s="71"/>
      <c r="I84" s="26" t="s">
        <v>250</v>
      </c>
      <c r="J84" s="26" t="s">
        <v>250</v>
      </c>
      <c r="K84" s="26" t="s">
        <v>250</v>
      </c>
      <c r="L84" s="71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ht="16.5" customHeight="1">
      <c r="A85" s="68" t="s">
        <v>25</v>
      </c>
      <c r="B85" s="68" t="s">
        <v>88</v>
      </c>
      <c r="C85" s="68" t="s">
        <v>22</v>
      </c>
      <c r="D85" s="68" t="s">
        <v>282</v>
      </c>
      <c r="E85" s="68" t="s">
        <v>246</v>
      </c>
      <c r="F85" s="68" t="s">
        <v>246</v>
      </c>
      <c r="G85" s="69"/>
      <c r="H85" s="69"/>
      <c r="I85" s="68" t="s">
        <v>284</v>
      </c>
      <c r="J85" s="68" t="s">
        <v>284</v>
      </c>
      <c r="K85" s="68" t="s">
        <v>284</v>
      </c>
      <c r="L85" s="69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</row>
    <row r="86" spans="1:26" ht="16.5" customHeight="1">
      <c r="A86" s="68" t="s">
        <v>25</v>
      </c>
      <c r="B86" s="68" t="s">
        <v>88</v>
      </c>
      <c r="C86" s="68" t="s">
        <v>22</v>
      </c>
      <c r="D86" s="68" t="s">
        <v>282</v>
      </c>
      <c r="E86" s="68" t="s">
        <v>250</v>
      </c>
      <c r="F86" s="68" t="s">
        <v>246</v>
      </c>
      <c r="G86" s="69"/>
      <c r="H86" s="69"/>
      <c r="I86" s="68" t="s">
        <v>284</v>
      </c>
      <c r="J86" s="68" t="s">
        <v>284</v>
      </c>
      <c r="K86" s="68" t="s">
        <v>284</v>
      </c>
      <c r="L86" s="69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</row>
    <row r="87" spans="1:26" ht="16.5" customHeight="1">
      <c r="A87" s="68" t="s">
        <v>25</v>
      </c>
      <c r="B87" s="68" t="s">
        <v>88</v>
      </c>
      <c r="C87" s="68" t="s">
        <v>22</v>
      </c>
      <c r="D87" s="68" t="s">
        <v>282</v>
      </c>
      <c r="E87" s="68" t="s">
        <v>250</v>
      </c>
      <c r="F87" s="68" t="s">
        <v>246</v>
      </c>
      <c r="G87" s="69"/>
      <c r="H87" s="69"/>
      <c r="I87" s="68" t="s">
        <v>285</v>
      </c>
      <c r="J87" s="68" t="s">
        <v>285</v>
      </c>
      <c r="K87" s="68" t="s">
        <v>285</v>
      </c>
      <c r="L87" s="69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</row>
    <row r="88" spans="1:26" ht="16.5" customHeight="1">
      <c r="A88" s="68" t="s">
        <v>25</v>
      </c>
      <c r="B88" s="68" t="s">
        <v>88</v>
      </c>
      <c r="C88" s="68" t="s">
        <v>22</v>
      </c>
      <c r="D88" s="68" t="s">
        <v>282</v>
      </c>
      <c r="E88" s="68" t="s">
        <v>250</v>
      </c>
      <c r="F88" s="68" t="s">
        <v>246</v>
      </c>
      <c r="G88" s="69"/>
      <c r="H88" s="69"/>
      <c r="I88" s="68" t="s">
        <v>250</v>
      </c>
      <c r="J88" s="68" t="s">
        <v>250</v>
      </c>
      <c r="K88" s="68" t="s">
        <v>250</v>
      </c>
      <c r="L88" s="69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</row>
    <row r="89" spans="1:26" ht="16.5" customHeight="1">
      <c r="A89" s="26" t="s">
        <v>286</v>
      </c>
      <c r="B89" s="26" t="s">
        <v>209</v>
      </c>
      <c r="C89" s="26" t="s">
        <v>245</v>
      </c>
      <c r="D89" s="26" t="s">
        <v>270</v>
      </c>
      <c r="E89" s="71" t="s">
        <v>250</v>
      </c>
      <c r="F89" s="71" t="s">
        <v>246</v>
      </c>
      <c r="G89" s="71"/>
      <c r="H89" s="71"/>
      <c r="I89" s="71"/>
      <c r="J89" s="71"/>
      <c r="K89" s="26" t="s">
        <v>287</v>
      </c>
      <c r="L89" s="26" t="s">
        <v>288</v>
      </c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ht="16.5" customHeight="1">
      <c r="A90" s="26" t="s">
        <v>286</v>
      </c>
      <c r="B90" s="26" t="s">
        <v>209</v>
      </c>
      <c r="C90" s="26" t="s">
        <v>245</v>
      </c>
      <c r="D90" s="26" t="s">
        <v>270</v>
      </c>
      <c r="E90" s="26" t="s">
        <v>254</v>
      </c>
      <c r="F90" s="71" t="s">
        <v>246</v>
      </c>
      <c r="G90" s="71"/>
      <c r="H90" s="71"/>
      <c r="I90" s="71"/>
      <c r="J90" s="71"/>
      <c r="K90" s="26" t="s">
        <v>289</v>
      </c>
      <c r="L90" s="26" t="s">
        <v>290</v>
      </c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ht="16.5" customHeight="1">
      <c r="A91" s="26" t="s">
        <v>286</v>
      </c>
      <c r="B91" s="26" t="s">
        <v>209</v>
      </c>
      <c r="C91" s="26" t="s">
        <v>269</v>
      </c>
      <c r="D91" s="26" t="s">
        <v>270</v>
      </c>
      <c r="E91" s="26" t="s">
        <v>258</v>
      </c>
      <c r="F91" s="26" t="s">
        <v>250</v>
      </c>
      <c r="G91" s="71"/>
      <c r="H91" s="71"/>
      <c r="I91" s="71"/>
      <c r="J91" s="71"/>
      <c r="K91" s="26" t="s">
        <v>291</v>
      </c>
      <c r="L91" s="26" t="s">
        <v>292</v>
      </c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ht="16.5" customHeight="1">
      <c r="A92" s="26" t="s">
        <v>286</v>
      </c>
      <c r="B92" s="26" t="s">
        <v>209</v>
      </c>
      <c r="C92" s="26" t="s">
        <v>269</v>
      </c>
      <c r="D92" s="26" t="s">
        <v>270</v>
      </c>
      <c r="E92" s="26" t="s">
        <v>261</v>
      </c>
      <c r="F92" s="26" t="s">
        <v>250</v>
      </c>
      <c r="G92" s="71"/>
      <c r="H92" s="71"/>
      <c r="I92" s="71"/>
      <c r="J92" s="71"/>
      <c r="K92" s="26" t="s">
        <v>293</v>
      </c>
      <c r="L92" s="26" t="s">
        <v>294</v>
      </c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ht="16.5" customHeight="1">
      <c r="A93" s="26" t="s">
        <v>286</v>
      </c>
      <c r="B93" s="26" t="s">
        <v>209</v>
      </c>
      <c r="C93" s="26" t="s">
        <v>269</v>
      </c>
      <c r="D93" s="26" t="s">
        <v>270</v>
      </c>
      <c r="E93" s="26" t="s">
        <v>265</v>
      </c>
      <c r="F93" s="26" t="s">
        <v>250</v>
      </c>
      <c r="G93" s="71"/>
      <c r="H93" s="71"/>
      <c r="I93" s="71"/>
      <c r="J93" s="71"/>
      <c r="K93" s="26" t="s">
        <v>295</v>
      </c>
      <c r="L93" s="26" t="s">
        <v>296</v>
      </c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ht="16.5" customHeight="1">
      <c r="A94" s="69" t="s">
        <v>286</v>
      </c>
      <c r="B94" s="68" t="s">
        <v>211</v>
      </c>
      <c r="C94" s="69" t="s">
        <v>245</v>
      </c>
      <c r="D94" s="69" t="s">
        <v>270</v>
      </c>
      <c r="E94" s="69" t="s">
        <v>250</v>
      </c>
      <c r="F94" s="69" t="s">
        <v>246</v>
      </c>
      <c r="G94" s="69"/>
      <c r="H94" s="69"/>
      <c r="I94" s="69"/>
      <c r="J94" s="69"/>
      <c r="K94" s="69" t="s">
        <v>287</v>
      </c>
      <c r="L94" s="69" t="s">
        <v>288</v>
      </c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</row>
    <row r="95" spans="1:26" ht="16.5" customHeight="1">
      <c r="A95" s="69" t="s">
        <v>286</v>
      </c>
      <c r="B95" s="68" t="s">
        <v>211</v>
      </c>
      <c r="C95" s="69" t="s">
        <v>245</v>
      </c>
      <c r="D95" s="69" t="s">
        <v>270</v>
      </c>
      <c r="E95" s="69" t="s">
        <v>254</v>
      </c>
      <c r="F95" s="69" t="s">
        <v>246</v>
      </c>
      <c r="G95" s="69"/>
      <c r="H95" s="69"/>
      <c r="I95" s="69"/>
      <c r="J95" s="69"/>
      <c r="K95" s="69" t="s">
        <v>289</v>
      </c>
      <c r="L95" s="69" t="s">
        <v>290</v>
      </c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</row>
    <row r="96" spans="1:26" ht="16.5" customHeight="1">
      <c r="A96" s="69" t="s">
        <v>286</v>
      </c>
      <c r="B96" s="68" t="s">
        <v>211</v>
      </c>
      <c r="C96" s="69" t="s">
        <v>269</v>
      </c>
      <c r="D96" s="69" t="s">
        <v>270</v>
      </c>
      <c r="E96" s="69" t="s">
        <v>258</v>
      </c>
      <c r="F96" s="69" t="s">
        <v>250</v>
      </c>
      <c r="G96" s="69"/>
      <c r="H96" s="69"/>
      <c r="I96" s="69"/>
      <c r="J96" s="69"/>
      <c r="K96" s="69" t="s">
        <v>291</v>
      </c>
      <c r="L96" s="69" t="s">
        <v>292</v>
      </c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</row>
    <row r="97" spans="1:26" ht="16.5" customHeight="1">
      <c r="A97" s="69" t="s">
        <v>286</v>
      </c>
      <c r="B97" s="68" t="s">
        <v>211</v>
      </c>
      <c r="C97" s="69" t="s">
        <v>269</v>
      </c>
      <c r="D97" s="69" t="s">
        <v>270</v>
      </c>
      <c r="E97" s="69" t="s">
        <v>261</v>
      </c>
      <c r="F97" s="69" t="s">
        <v>250</v>
      </c>
      <c r="G97" s="69"/>
      <c r="H97" s="69"/>
      <c r="I97" s="69"/>
      <c r="J97" s="69"/>
      <c r="K97" s="69" t="s">
        <v>293</v>
      </c>
      <c r="L97" s="69" t="s">
        <v>294</v>
      </c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</row>
    <row r="98" spans="1:26" ht="16.5" customHeight="1">
      <c r="A98" s="69" t="s">
        <v>286</v>
      </c>
      <c r="B98" s="68" t="s">
        <v>211</v>
      </c>
      <c r="C98" s="69" t="s">
        <v>269</v>
      </c>
      <c r="D98" s="68" t="s">
        <v>271</v>
      </c>
      <c r="E98" s="69" t="s">
        <v>265</v>
      </c>
      <c r="F98" s="69" t="s">
        <v>250</v>
      </c>
      <c r="G98" s="69"/>
      <c r="H98" s="69"/>
      <c r="I98" s="69"/>
      <c r="J98" s="69"/>
      <c r="K98" s="69" t="s">
        <v>295</v>
      </c>
      <c r="L98" s="69" t="s">
        <v>296</v>
      </c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</row>
    <row r="99" spans="1:26" ht="16.5" customHeight="1">
      <c r="A99" s="71" t="s">
        <v>286</v>
      </c>
      <c r="B99" s="26" t="s">
        <v>212</v>
      </c>
      <c r="C99" s="71" t="s">
        <v>245</v>
      </c>
      <c r="D99" s="71" t="s">
        <v>270</v>
      </c>
      <c r="E99" s="71" t="s">
        <v>250</v>
      </c>
      <c r="F99" s="71" t="s">
        <v>246</v>
      </c>
      <c r="G99" s="71"/>
      <c r="H99" s="71"/>
      <c r="I99" s="71"/>
      <c r="J99" s="71"/>
      <c r="K99" s="71" t="s">
        <v>287</v>
      </c>
      <c r="L99" s="71" t="s">
        <v>288</v>
      </c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ht="16.5" customHeight="1">
      <c r="A100" s="71" t="s">
        <v>286</v>
      </c>
      <c r="B100" s="26" t="s">
        <v>212</v>
      </c>
      <c r="C100" s="71" t="s">
        <v>245</v>
      </c>
      <c r="D100" s="71" t="s">
        <v>270</v>
      </c>
      <c r="E100" s="71" t="s">
        <v>254</v>
      </c>
      <c r="F100" s="71" t="s">
        <v>246</v>
      </c>
      <c r="G100" s="71"/>
      <c r="H100" s="71"/>
      <c r="I100" s="71"/>
      <c r="J100" s="71"/>
      <c r="K100" s="71" t="s">
        <v>289</v>
      </c>
      <c r="L100" s="71" t="s">
        <v>290</v>
      </c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ht="16.5" customHeight="1">
      <c r="A101" s="71" t="s">
        <v>286</v>
      </c>
      <c r="B101" s="26" t="s">
        <v>212</v>
      </c>
      <c r="C101" s="71" t="s">
        <v>269</v>
      </c>
      <c r="D101" s="26" t="s">
        <v>271</v>
      </c>
      <c r="E101" s="71" t="s">
        <v>258</v>
      </c>
      <c r="F101" s="71" t="s">
        <v>250</v>
      </c>
      <c r="G101" s="71"/>
      <c r="H101" s="71"/>
      <c r="I101" s="71"/>
      <c r="J101" s="71"/>
      <c r="K101" s="71" t="s">
        <v>291</v>
      </c>
      <c r="L101" s="71" t="s">
        <v>292</v>
      </c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ht="16.5" customHeight="1">
      <c r="A102" s="71" t="s">
        <v>286</v>
      </c>
      <c r="B102" s="26" t="s">
        <v>212</v>
      </c>
      <c r="C102" s="71" t="s">
        <v>269</v>
      </c>
      <c r="D102" s="26" t="s">
        <v>271</v>
      </c>
      <c r="E102" s="71" t="s">
        <v>261</v>
      </c>
      <c r="F102" s="71" t="s">
        <v>250</v>
      </c>
      <c r="G102" s="71"/>
      <c r="H102" s="71"/>
      <c r="I102" s="71"/>
      <c r="J102" s="71"/>
      <c r="K102" s="71" t="s">
        <v>293</v>
      </c>
      <c r="L102" s="71" t="s">
        <v>294</v>
      </c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ht="16.5" customHeight="1">
      <c r="A103" s="71" t="s">
        <v>286</v>
      </c>
      <c r="B103" s="26" t="s">
        <v>212</v>
      </c>
      <c r="C103" s="71" t="s">
        <v>269</v>
      </c>
      <c r="D103" s="71" t="s">
        <v>271</v>
      </c>
      <c r="E103" s="71" t="s">
        <v>265</v>
      </c>
      <c r="F103" s="71" t="s">
        <v>250</v>
      </c>
      <c r="G103" s="71"/>
      <c r="H103" s="71"/>
      <c r="I103" s="71"/>
      <c r="J103" s="71"/>
      <c r="K103" s="71" t="s">
        <v>295</v>
      </c>
      <c r="L103" s="71" t="s">
        <v>296</v>
      </c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ht="16.5" customHeight="1">
      <c r="A104" s="69" t="s">
        <v>286</v>
      </c>
      <c r="B104" s="68" t="s">
        <v>214</v>
      </c>
      <c r="C104" s="68" t="s">
        <v>269</v>
      </c>
      <c r="D104" s="68" t="s">
        <v>271</v>
      </c>
      <c r="E104" s="69" t="s">
        <v>250</v>
      </c>
      <c r="F104" s="69" t="s">
        <v>246</v>
      </c>
      <c r="G104" s="69"/>
      <c r="H104" s="69"/>
      <c r="I104" s="69"/>
      <c r="J104" s="69"/>
      <c r="K104" s="69" t="s">
        <v>287</v>
      </c>
      <c r="L104" s="69" t="s">
        <v>288</v>
      </c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</row>
    <row r="105" spans="1:26" ht="16.5" customHeight="1">
      <c r="A105" s="69" t="s">
        <v>286</v>
      </c>
      <c r="B105" s="68" t="s">
        <v>214</v>
      </c>
      <c r="C105" s="68" t="s">
        <v>269</v>
      </c>
      <c r="D105" s="68" t="s">
        <v>271</v>
      </c>
      <c r="E105" s="69" t="s">
        <v>254</v>
      </c>
      <c r="F105" s="69" t="s">
        <v>246</v>
      </c>
      <c r="G105" s="69"/>
      <c r="H105" s="69"/>
      <c r="I105" s="69"/>
      <c r="J105" s="69"/>
      <c r="K105" s="69" t="s">
        <v>289</v>
      </c>
      <c r="L105" s="69" t="s">
        <v>290</v>
      </c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</row>
    <row r="106" spans="1:26" ht="16.5" customHeight="1">
      <c r="A106" s="69" t="s">
        <v>286</v>
      </c>
      <c r="B106" s="68" t="s">
        <v>214</v>
      </c>
      <c r="C106" s="68" t="s">
        <v>269</v>
      </c>
      <c r="D106" s="68" t="s">
        <v>271</v>
      </c>
      <c r="E106" s="69" t="s">
        <v>258</v>
      </c>
      <c r="F106" s="69" t="s">
        <v>250</v>
      </c>
      <c r="G106" s="69"/>
      <c r="H106" s="69"/>
      <c r="I106" s="69"/>
      <c r="J106" s="69"/>
      <c r="K106" s="69" t="s">
        <v>291</v>
      </c>
      <c r="L106" s="69" t="s">
        <v>292</v>
      </c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</row>
    <row r="107" spans="1:26" ht="16.5" customHeight="1">
      <c r="A107" s="69" t="s">
        <v>286</v>
      </c>
      <c r="B107" s="68" t="s">
        <v>214</v>
      </c>
      <c r="C107" s="68" t="s">
        <v>270</v>
      </c>
      <c r="D107" s="69" t="s">
        <v>271</v>
      </c>
      <c r="E107" s="69" t="s">
        <v>261</v>
      </c>
      <c r="F107" s="69" t="s">
        <v>250</v>
      </c>
      <c r="G107" s="69"/>
      <c r="H107" s="69"/>
      <c r="I107" s="69"/>
      <c r="J107" s="69"/>
      <c r="K107" s="69" t="s">
        <v>293</v>
      </c>
      <c r="L107" s="69" t="s">
        <v>294</v>
      </c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</row>
    <row r="108" spans="1:26" ht="16.5" customHeight="1">
      <c r="A108" s="69" t="s">
        <v>286</v>
      </c>
      <c r="B108" s="68" t="s">
        <v>214</v>
      </c>
      <c r="C108" s="68" t="s">
        <v>270</v>
      </c>
      <c r="D108" s="69" t="s">
        <v>271</v>
      </c>
      <c r="E108" s="69" t="s">
        <v>265</v>
      </c>
      <c r="F108" s="69" t="s">
        <v>250</v>
      </c>
      <c r="G108" s="69"/>
      <c r="H108" s="69"/>
      <c r="I108" s="69"/>
      <c r="J108" s="69"/>
      <c r="K108" s="68" t="s">
        <v>262</v>
      </c>
      <c r="L108" s="69" t="s">
        <v>296</v>
      </c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</row>
    <row r="109" spans="1:26" ht="16.5" customHeight="1">
      <c r="A109" s="71" t="s">
        <v>286</v>
      </c>
      <c r="B109" s="26" t="s">
        <v>216</v>
      </c>
      <c r="C109" s="26" t="s">
        <v>270</v>
      </c>
      <c r="D109" s="71" t="s">
        <v>271</v>
      </c>
      <c r="E109" s="71" t="s">
        <v>250</v>
      </c>
      <c r="F109" s="71" t="s">
        <v>246</v>
      </c>
      <c r="G109" s="71"/>
      <c r="H109" s="71"/>
      <c r="I109" s="71"/>
      <c r="J109" s="71"/>
      <c r="K109" s="71" t="s">
        <v>287</v>
      </c>
      <c r="L109" s="71" t="s">
        <v>288</v>
      </c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ht="16.5" customHeight="1">
      <c r="A110" s="71" t="s">
        <v>286</v>
      </c>
      <c r="B110" s="26" t="s">
        <v>216</v>
      </c>
      <c r="C110" s="26" t="s">
        <v>270</v>
      </c>
      <c r="D110" s="71" t="s">
        <v>271</v>
      </c>
      <c r="E110" s="71" t="s">
        <v>254</v>
      </c>
      <c r="F110" s="71" t="s">
        <v>246</v>
      </c>
      <c r="G110" s="71"/>
      <c r="H110" s="71"/>
      <c r="I110" s="71"/>
      <c r="J110" s="71"/>
      <c r="K110" s="71" t="s">
        <v>289</v>
      </c>
      <c r="L110" s="71" t="s">
        <v>290</v>
      </c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ht="16.5" customHeight="1">
      <c r="A111" s="71" t="s">
        <v>286</v>
      </c>
      <c r="B111" s="26" t="s">
        <v>216</v>
      </c>
      <c r="C111" s="26" t="s">
        <v>270</v>
      </c>
      <c r="D111" s="71" t="s">
        <v>271</v>
      </c>
      <c r="E111" s="71" t="s">
        <v>258</v>
      </c>
      <c r="F111" s="26" t="s">
        <v>246</v>
      </c>
      <c r="G111" s="71"/>
      <c r="H111" s="71"/>
      <c r="I111" s="71"/>
      <c r="J111" s="71"/>
      <c r="K111" s="71" t="s">
        <v>291</v>
      </c>
      <c r="L111" s="71" t="s">
        <v>292</v>
      </c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ht="16.5" customHeight="1">
      <c r="A112" s="71" t="s">
        <v>286</v>
      </c>
      <c r="B112" s="26" t="s">
        <v>216</v>
      </c>
      <c r="C112" s="71" t="s">
        <v>270</v>
      </c>
      <c r="D112" s="71" t="s">
        <v>271</v>
      </c>
      <c r="E112" s="71" t="s">
        <v>261</v>
      </c>
      <c r="F112" s="71" t="s">
        <v>250</v>
      </c>
      <c r="G112" s="71"/>
      <c r="H112" s="71"/>
      <c r="I112" s="71"/>
      <c r="J112" s="71"/>
      <c r="K112" s="71" t="s">
        <v>293</v>
      </c>
      <c r="L112" s="71" t="s">
        <v>294</v>
      </c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ht="16.5" customHeight="1">
      <c r="A113" s="69" t="s">
        <v>286</v>
      </c>
      <c r="B113" s="68" t="s">
        <v>217</v>
      </c>
      <c r="C113" s="68" t="s">
        <v>271</v>
      </c>
      <c r="D113" s="68" t="s">
        <v>274</v>
      </c>
      <c r="E113" s="69" t="s">
        <v>250</v>
      </c>
      <c r="F113" s="69" t="s">
        <v>246</v>
      </c>
      <c r="G113" s="69"/>
      <c r="H113" s="69"/>
      <c r="I113" s="69"/>
      <c r="J113" s="69"/>
      <c r="K113" s="69" t="s">
        <v>287</v>
      </c>
      <c r="L113" s="69" t="s">
        <v>288</v>
      </c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</row>
    <row r="114" spans="1:26" ht="16.5" customHeight="1">
      <c r="A114" s="69" t="s">
        <v>286</v>
      </c>
      <c r="B114" s="68" t="s">
        <v>217</v>
      </c>
      <c r="C114" s="68" t="s">
        <v>271</v>
      </c>
      <c r="D114" s="68" t="s">
        <v>274</v>
      </c>
      <c r="E114" s="69" t="s">
        <v>254</v>
      </c>
      <c r="F114" s="69" t="s">
        <v>246</v>
      </c>
      <c r="G114" s="69"/>
      <c r="H114" s="69"/>
      <c r="I114" s="69"/>
      <c r="J114" s="69"/>
      <c r="K114" s="69" t="s">
        <v>289</v>
      </c>
      <c r="L114" s="69" t="s">
        <v>290</v>
      </c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</row>
    <row r="115" spans="1:26" ht="16.5" customHeight="1">
      <c r="A115" s="69" t="s">
        <v>286</v>
      </c>
      <c r="B115" s="68" t="s">
        <v>217</v>
      </c>
      <c r="C115" s="68" t="s">
        <v>271</v>
      </c>
      <c r="D115" s="68" t="s">
        <v>274</v>
      </c>
      <c r="E115" s="69" t="s">
        <v>258</v>
      </c>
      <c r="F115" s="69" t="s">
        <v>246</v>
      </c>
      <c r="G115" s="69"/>
      <c r="H115" s="69"/>
      <c r="I115" s="69"/>
      <c r="J115" s="69"/>
      <c r="K115" s="69" t="s">
        <v>291</v>
      </c>
      <c r="L115" s="69" t="s">
        <v>292</v>
      </c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</row>
    <row r="116" spans="1:26" ht="16.5" customHeight="1">
      <c r="A116" s="69" t="s">
        <v>286</v>
      </c>
      <c r="B116" s="68" t="s">
        <v>217</v>
      </c>
      <c r="C116" s="68" t="s">
        <v>271</v>
      </c>
      <c r="D116" s="68" t="s">
        <v>274</v>
      </c>
      <c r="E116" s="69" t="s">
        <v>261</v>
      </c>
      <c r="F116" s="69" t="s">
        <v>250</v>
      </c>
      <c r="G116" s="69"/>
      <c r="H116" s="69"/>
      <c r="I116" s="69"/>
      <c r="J116" s="69"/>
      <c r="K116" s="69" t="s">
        <v>293</v>
      </c>
      <c r="L116" s="69" t="s">
        <v>294</v>
      </c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</row>
    <row r="117" spans="1:26" ht="16.5" customHeight="1">
      <c r="A117" s="71" t="s">
        <v>286</v>
      </c>
      <c r="B117" s="26" t="s">
        <v>219</v>
      </c>
      <c r="C117" s="71" t="s">
        <v>271</v>
      </c>
      <c r="D117" s="71" t="s">
        <v>274</v>
      </c>
      <c r="E117" s="71" t="s">
        <v>250</v>
      </c>
      <c r="F117" s="71" t="s">
        <v>246</v>
      </c>
      <c r="G117" s="71"/>
      <c r="H117" s="71"/>
      <c r="I117" s="71"/>
      <c r="J117" s="71"/>
      <c r="K117" s="71" t="s">
        <v>287</v>
      </c>
      <c r="L117" s="71" t="s">
        <v>288</v>
      </c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ht="16.5" customHeight="1">
      <c r="A118" s="71" t="s">
        <v>286</v>
      </c>
      <c r="B118" s="26" t="s">
        <v>219</v>
      </c>
      <c r="C118" s="71" t="s">
        <v>271</v>
      </c>
      <c r="D118" s="71" t="s">
        <v>274</v>
      </c>
      <c r="E118" s="71" t="s">
        <v>254</v>
      </c>
      <c r="F118" s="71" t="s">
        <v>246</v>
      </c>
      <c r="G118" s="71"/>
      <c r="H118" s="71"/>
      <c r="I118" s="71"/>
      <c r="J118" s="71"/>
      <c r="K118" s="71" t="s">
        <v>289</v>
      </c>
      <c r="L118" s="71" t="s">
        <v>290</v>
      </c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ht="16.5" customHeight="1">
      <c r="A119" s="71" t="s">
        <v>286</v>
      </c>
      <c r="B119" s="26" t="s">
        <v>219</v>
      </c>
      <c r="C119" s="71" t="s">
        <v>271</v>
      </c>
      <c r="D119" s="26" t="s">
        <v>276</v>
      </c>
      <c r="E119" s="71" t="s">
        <v>258</v>
      </c>
      <c r="F119" s="71" t="s">
        <v>246</v>
      </c>
      <c r="G119" s="71"/>
      <c r="H119" s="71"/>
      <c r="I119" s="71"/>
      <c r="J119" s="71"/>
      <c r="K119" s="71" t="s">
        <v>291</v>
      </c>
      <c r="L119" s="71" t="s">
        <v>292</v>
      </c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ht="16.5" customHeight="1">
      <c r="A120" s="71" t="s">
        <v>286</v>
      </c>
      <c r="B120" s="26" t="s">
        <v>219</v>
      </c>
      <c r="C120" s="71" t="s">
        <v>271</v>
      </c>
      <c r="D120" s="26" t="s">
        <v>276</v>
      </c>
      <c r="E120" s="71" t="s">
        <v>261</v>
      </c>
      <c r="F120" s="71" t="s">
        <v>250</v>
      </c>
      <c r="G120" s="71"/>
      <c r="H120" s="71"/>
      <c r="I120" s="71"/>
      <c r="J120" s="71"/>
      <c r="K120" s="26" t="s">
        <v>259</v>
      </c>
      <c r="L120" s="71" t="s">
        <v>294</v>
      </c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ht="16.5" customHeight="1">
      <c r="A121" s="69" t="s">
        <v>286</v>
      </c>
      <c r="B121" s="68" t="s">
        <v>221</v>
      </c>
      <c r="C121" s="68" t="s">
        <v>274</v>
      </c>
      <c r="D121" s="68" t="s">
        <v>276</v>
      </c>
      <c r="E121" s="69" t="s">
        <v>250</v>
      </c>
      <c r="F121" s="69" t="s">
        <v>246</v>
      </c>
      <c r="G121" s="69"/>
      <c r="H121" s="69"/>
      <c r="I121" s="69"/>
      <c r="J121" s="69"/>
      <c r="K121" s="69" t="s">
        <v>287</v>
      </c>
      <c r="L121" s="69" t="s">
        <v>288</v>
      </c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</row>
    <row r="122" spans="1:26" ht="16.5" customHeight="1">
      <c r="A122" s="69" t="s">
        <v>286</v>
      </c>
      <c r="B122" s="68" t="s">
        <v>221</v>
      </c>
      <c r="C122" s="68" t="s">
        <v>274</v>
      </c>
      <c r="D122" s="68" t="s">
        <v>276</v>
      </c>
      <c r="E122" s="69" t="s">
        <v>254</v>
      </c>
      <c r="F122" s="69" t="s">
        <v>246</v>
      </c>
      <c r="G122" s="69"/>
      <c r="H122" s="69"/>
      <c r="I122" s="69"/>
      <c r="J122" s="69"/>
      <c r="K122" s="68" t="s">
        <v>277</v>
      </c>
      <c r="L122" s="69" t="s">
        <v>290</v>
      </c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</row>
    <row r="123" spans="1:26" ht="16.5" customHeight="1">
      <c r="A123" s="69" t="s">
        <v>286</v>
      </c>
      <c r="B123" s="68" t="s">
        <v>221</v>
      </c>
      <c r="C123" s="68" t="s">
        <v>274</v>
      </c>
      <c r="D123" s="69" t="s">
        <v>276</v>
      </c>
      <c r="E123" s="69" t="s">
        <v>258</v>
      </c>
      <c r="F123" s="69" t="s">
        <v>246</v>
      </c>
      <c r="G123" s="69"/>
      <c r="H123" s="69"/>
      <c r="I123" s="69"/>
      <c r="J123" s="69"/>
      <c r="K123" s="68" t="s">
        <v>261</v>
      </c>
      <c r="L123" s="69" t="s">
        <v>292</v>
      </c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</row>
    <row r="124" spans="1:26" ht="16.5" customHeight="1">
      <c r="A124" s="69" t="s">
        <v>286</v>
      </c>
      <c r="B124" s="68" t="s">
        <v>221</v>
      </c>
      <c r="C124" s="68" t="s">
        <v>274</v>
      </c>
      <c r="D124" s="69" t="s">
        <v>276</v>
      </c>
      <c r="E124" s="69" t="s">
        <v>261</v>
      </c>
      <c r="F124" s="69" t="s">
        <v>250</v>
      </c>
      <c r="G124" s="69"/>
      <c r="H124" s="69"/>
      <c r="I124" s="69"/>
      <c r="J124" s="69"/>
      <c r="K124" s="68" t="s">
        <v>261</v>
      </c>
      <c r="L124" s="69" t="s">
        <v>294</v>
      </c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</row>
    <row r="125" spans="1:26" ht="16.5" customHeight="1">
      <c r="A125" s="71" t="s">
        <v>286</v>
      </c>
      <c r="B125" s="26" t="s">
        <v>76</v>
      </c>
      <c r="C125" s="71" t="s">
        <v>274</v>
      </c>
      <c r="D125" s="71" t="s">
        <v>276</v>
      </c>
      <c r="E125" s="71" t="s">
        <v>250</v>
      </c>
      <c r="F125" s="71" t="s">
        <v>246</v>
      </c>
      <c r="G125" s="71"/>
      <c r="H125" s="71"/>
      <c r="I125" s="71"/>
      <c r="J125" s="71"/>
      <c r="K125" s="71" t="s">
        <v>287</v>
      </c>
      <c r="L125" s="71" t="s">
        <v>288</v>
      </c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ht="16.5" customHeight="1">
      <c r="A126" s="71" t="s">
        <v>286</v>
      </c>
      <c r="B126" s="26" t="s">
        <v>76</v>
      </c>
      <c r="C126" s="71" t="s">
        <v>274</v>
      </c>
      <c r="D126" s="71" t="s">
        <v>276</v>
      </c>
      <c r="E126" s="71" t="s">
        <v>254</v>
      </c>
      <c r="F126" s="71" t="s">
        <v>246</v>
      </c>
      <c r="G126" s="71"/>
      <c r="H126" s="71"/>
      <c r="I126" s="71"/>
      <c r="J126" s="71"/>
      <c r="K126" s="71" t="s">
        <v>277</v>
      </c>
      <c r="L126" s="71" t="s">
        <v>290</v>
      </c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ht="16.5" customHeight="1">
      <c r="A127" s="71" t="s">
        <v>286</v>
      </c>
      <c r="B127" s="26" t="s">
        <v>76</v>
      </c>
      <c r="C127" s="71" t="s">
        <v>274</v>
      </c>
      <c r="D127" s="71" t="s">
        <v>276</v>
      </c>
      <c r="E127" s="71" t="s">
        <v>258</v>
      </c>
      <c r="F127" s="71" t="s">
        <v>246</v>
      </c>
      <c r="G127" s="71"/>
      <c r="H127" s="71"/>
      <c r="I127" s="71"/>
      <c r="J127" s="71"/>
      <c r="K127" s="26" t="s">
        <v>278</v>
      </c>
      <c r="L127" s="71" t="s">
        <v>292</v>
      </c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ht="16.5" customHeight="1">
      <c r="A128" s="69" t="s">
        <v>286</v>
      </c>
      <c r="B128" s="68" t="s">
        <v>224</v>
      </c>
      <c r="C128" s="69" t="s">
        <v>274</v>
      </c>
      <c r="D128" s="69" t="s">
        <v>276</v>
      </c>
      <c r="E128" s="69" t="s">
        <v>250</v>
      </c>
      <c r="F128" s="69" t="s">
        <v>246</v>
      </c>
      <c r="G128" s="69"/>
      <c r="H128" s="69"/>
      <c r="I128" s="69"/>
      <c r="J128" s="69"/>
      <c r="K128" s="69" t="s">
        <v>287</v>
      </c>
      <c r="L128" s="69" t="s">
        <v>288</v>
      </c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</row>
    <row r="129" spans="1:26" ht="16.5" customHeight="1">
      <c r="A129" s="69" t="s">
        <v>286</v>
      </c>
      <c r="B129" s="68" t="s">
        <v>224</v>
      </c>
      <c r="C129" s="69" t="s">
        <v>274</v>
      </c>
      <c r="D129" s="69" t="s">
        <v>276</v>
      </c>
      <c r="E129" s="69" t="s">
        <v>254</v>
      </c>
      <c r="F129" s="69" t="s">
        <v>246</v>
      </c>
      <c r="G129" s="69"/>
      <c r="H129" s="69"/>
      <c r="I129" s="69"/>
      <c r="J129" s="69"/>
      <c r="K129" s="69" t="s">
        <v>277</v>
      </c>
      <c r="L129" s="69" t="s">
        <v>290</v>
      </c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</row>
    <row r="130" spans="1:26" ht="16.5" customHeight="1">
      <c r="A130" s="69" t="s">
        <v>286</v>
      </c>
      <c r="B130" s="68" t="s">
        <v>224</v>
      </c>
      <c r="C130" s="69" t="s">
        <v>274</v>
      </c>
      <c r="D130" s="69" t="s">
        <v>276</v>
      </c>
      <c r="E130" s="69" t="s">
        <v>258</v>
      </c>
      <c r="F130" s="69" t="s">
        <v>246</v>
      </c>
      <c r="G130" s="69"/>
      <c r="H130" s="69"/>
      <c r="I130" s="69"/>
      <c r="J130" s="69"/>
      <c r="K130" s="68" t="s">
        <v>277</v>
      </c>
      <c r="L130" s="69" t="s">
        <v>292</v>
      </c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</row>
    <row r="131" spans="1:26" ht="16.5" customHeight="1">
      <c r="A131" s="71" t="s">
        <v>286</v>
      </c>
      <c r="B131" s="26" t="s">
        <v>225</v>
      </c>
      <c r="C131" s="71" t="s">
        <v>274</v>
      </c>
      <c r="D131" s="71" t="s">
        <v>276</v>
      </c>
      <c r="E131" s="71" t="s">
        <v>250</v>
      </c>
      <c r="F131" s="71" t="s">
        <v>246</v>
      </c>
      <c r="G131" s="71"/>
      <c r="H131" s="71"/>
      <c r="I131" s="71"/>
      <c r="J131" s="71"/>
      <c r="K131" s="71" t="s">
        <v>287</v>
      </c>
      <c r="L131" s="71" t="s">
        <v>288</v>
      </c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ht="16.5" customHeight="1">
      <c r="A132" s="71" t="s">
        <v>286</v>
      </c>
      <c r="B132" s="26" t="s">
        <v>225</v>
      </c>
      <c r="C132" s="71" t="s">
        <v>274</v>
      </c>
      <c r="D132" s="71" t="s">
        <v>276</v>
      </c>
      <c r="E132" s="71" t="s">
        <v>254</v>
      </c>
      <c r="F132" s="71" t="s">
        <v>246</v>
      </c>
      <c r="G132" s="71"/>
      <c r="H132" s="71"/>
      <c r="I132" s="71"/>
      <c r="J132" s="71"/>
      <c r="K132" s="71" t="s">
        <v>277</v>
      </c>
      <c r="L132" s="71" t="s">
        <v>290</v>
      </c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ht="16.5" customHeight="1">
      <c r="A133" s="71" t="s">
        <v>286</v>
      </c>
      <c r="B133" s="26" t="s">
        <v>225</v>
      </c>
      <c r="C133" s="71" t="s">
        <v>274</v>
      </c>
      <c r="D133" s="71" t="s">
        <v>276</v>
      </c>
      <c r="E133" s="71" t="s">
        <v>258</v>
      </c>
      <c r="F133" s="71" t="s">
        <v>246</v>
      </c>
      <c r="G133" s="71"/>
      <c r="H133" s="71"/>
      <c r="I133" s="71"/>
      <c r="J133" s="71"/>
      <c r="K133" s="71" t="s">
        <v>277</v>
      </c>
      <c r="L133" s="71" t="s">
        <v>292</v>
      </c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ht="16.5" customHeight="1">
      <c r="A134" s="69" t="s">
        <v>286</v>
      </c>
      <c r="B134" s="68" t="s">
        <v>226</v>
      </c>
      <c r="C134" s="68" t="s">
        <v>276</v>
      </c>
      <c r="D134" s="68" t="s">
        <v>22</v>
      </c>
      <c r="E134" s="69" t="s">
        <v>250</v>
      </c>
      <c r="F134" s="69" t="s">
        <v>246</v>
      </c>
      <c r="G134" s="69"/>
      <c r="H134" s="69"/>
      <c r="I134" s="69"/>
      <c r="J134" s="69"/>
      <c r="K134" s="68" t="s">
        <v>280</v>
      </c>
      <c r="L134" s="68" t="s">
        <v>280</v>
      </c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</row>
    <row r="135" spans="1:26" ht="16.5" customHeight="1">
      <c r="A135" s="69" t="s">
        <v>286</v>
      </c>
      <c r="B135" s="68" t="s">
        <v>226</v>
      </c>
      <c r="C135" s="68" t="s">
        <v>276</v>
      </c>
      <c r="D135" s="68" t="s">
        <v>22</v>
      </c>
      <c r="E135" s="69" t="s">
        <v>254</v>
      </c>
      <c r="F135" s="69" t="s">
        <v>246</v>
      </c>
      <c r="G135" s="69"/>
      <c r="H135" s="69"/>
      <c r="I135" s="69"/>
      <c r="J135" s="69"/>
      <c r="K135" s="68" t="s">
        <v>254</v>
      </c>
      <c r="L135" s="68" t="s">
        <v>290</v>
      </c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</row>
    <row r="136" spans="1:26" ht="16.5" customHeight="1">
      <c r="A136" s="71" t="s">
        <v>286</v>
      </c>
      <c r="B136" s="26" t="s">
        <v>228</v>
      </c>
      <c r="C136" s="71" t="s">
        <v>276</v>
      </c>
      <c r="D136" s="71" t="s">
        <v>22</v>
      </c>
      <c r="E136" s="71" t="s">
        <v>250</v>
      </c>
      <c r="F136" s="71" t="s">
        <v>246</v>
      </c>
      <c r="G136" s="71"/>
      <c r="H136" s="71"/>
      <c r="I136" s="71"/>
      <c r="J136" s="71"/>
      <c r="K136" s="26" t="s">
        <v>281</v>
      </c>
      <c r="L136" s="26" t="s">
        <v>281</v>
      </c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ht="16.5" customHeight="1">
      <c r="A137" s="71" t="s">
        <v>286</v>
      </c>
      <c r="B137" s="26" t="s">
        <v>228</v>
      </c>
      <c r="C137" s="71" t="s">
        <v>276</v>
      </c>
      <c r="D137" s="26" t="s">
        <v>282</v>
      </c>
      <c r="E137" s="71" t="s">
        <v>254</v>
      </c>
      <c r="F137" s="71" t="s">
        <v>246</v>
      </c>
      <c r="G137" s="71"/>
      <c r="H137" s="71"/>
      <c r="I137" s="71"/>
      <c r="J137" s="71"/>
      <c r="K137" s="26" t="s">
        <v>250</v>
      </c>
      <c r="L137" s="26" t="s">
        <v>250</v>
      </c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ht="16.5" customHeight="1">
      <c r="A138" s="69" t="s">
        <v>286</v>
      </c>
      <c r="B138" s="68" t="s">
        <v>88</v>
      </c>
      <c r="C138" s="68" t="s">
        <v>22</v>
      </c>
      <c r="D138" s="68" t="s">
        <v>282</v>
      </c>
      <c r="E138" s="69" t="s">
        <v>250</v>
      </c>
      <c r="F138" s="69" t="s">
        <v>246</v>
      </c>
      <c r="G138" s="69"/>
      <c r="H138" s="69"/>
      <c r="I138" s="69"/>
      <c r="J138" s="69"/>
      <c r="K138" s="68" t="s">
        <v>285</v>
      </c>
      <c r="L138" s="69" t="s">
        <v>281</v>
      </c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</row>
    <row r="139" spans="1:26" ht="16.5" customHeight="1">
      <c r="A139" s="69" t="s">
        <v>286</v>
      </c>
      <c r="B139" s="68" t="s">
        <v>88</v>
      </c>
      <c r="C139" s="68" t="s">
        <v>22</v>
      </c>
      <c r="D139" s="69" t="s">
        <v>282</v>
      </c>
      <c r="E139" s="68" t="s">
        <v>250</v>
      </c>
      <c r="F139" s="69" t="s">
        <v>246</v>
      </c>
      <c r="G139" s="69"/>
      <c r="H139" s="69"/>
      <c r="I139" s="69"/>
      <c r="J139" s="69"/>
      <c r="K139" s="69" t="s">
        <v>250</v>
      </c>
      <c r="L139" s="68" t="s">
        <v>297</v>
      </c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</row>
    <row r="140" spans="1:26" ht="16.5" customHeight="1">
      <c r="A140" s="26" t="s">
        <v>298</v>
      </c>
      <c r="B140" s="71" t="s">
        <v>207</v>
      </c>
      <c r="C140" s="71" t="s">
        <v>244</v>
      </c>
      <c r="D140" s="71" t="s">
        <v>245</v>
      </c>
      <c r="E140" s="71" t="s">
        <v>246</v>
      </c>
      <c r="F140" s="71" t="s">
        <v>246</v>
      </c>
      <c r="G140" s="26" t="s">
        <v>299</v>
      </c>
      <c r="H140" s="26" t="s">
        <v>299</v>
      </c>
      <c r="I140" s="26" t="s">
        <v>299</v>
      </c>
      <c r="J140" s="26" t="s">
        <v>300</v>
      </c>
      <c r="K140" s="26" t="s">
        <v>249</v>
      </c>
      <c r="L140" s="26" t="s">
        <v>301</v>
      </c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ht="16.5" customHeight="1">
      <c r="A141" s="26" t="s">
        <v>298</v>
      </c>
      <c r="B141" s="71" t="s">
        <v>207</v>
      </c>
      <c r="C141" s="71" t="s">
        <v>244</v>
      </c>
      <c r="D141" s="71" t="s">
        <v>245</v>
      </c>
      <c r="E141" s="71" t="s">
        <v>250</v>
      </c>
      <c r="F141" s="71" t="s">
        <v>246</v>
      </c>
      <c r="G141" s="26" t="s">
        <v>299</v>
      </c>
      <c r="H141" s="26" t="s">
        <v>299</v>
      </c>
      <c r="I141" s="26" t="s">
        <v>299</v>
      </c>
      <c r="J141" s="26" t="s">
        <v>300</v>
      </c>
      <c r="K141" s="26" t="s">
        <v>249</v>
      </c>
      <c r="L141" s="26" t="s">
        <v>301</v>
      </c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ht="16.5" customHeight="1">
      <c r="A142" s="26" t="s">
        <v>298</v>
      </c>
      <c r="B142" s="71" t="s">
        <v>207</v>
      </c>
      <c r="C142" s="71" t="s">
        <v>244</v>
      </c>
      <c r="D142" s="71" t="s">
        <v>245</v>
      </c>
      <c r="E142" s="71" t="s">
        <v>250</v>
      </c>
      <c r="F142" s="71" t="s">
        <v>246</v>
      </c>
      <c r="G142" s="26" t="s">
        <v>302</v>
      </c>
      <c r="H142" s="26" t="s">
        <v>302</v>
      </c>
      <c r="I142" s="26" t="s">
        <v>302</v>
      </c>
      <c r="J142" s="26" t="s">
        <v>303</v>
      </c>
      <c r="K142" s="26" t="s">
        <v>304</v>
      </c>
      <c r="L142" s="26" t="s">
        <v>305</v>
      </c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ht="16.5" customHeight="1">
      <c r="A143" s="26" t="s">
        <v>298</v>
      </c>
      <c r="B143" s="71" t="s">
        <v>207</v>
      </c>
      <c r="C143" s="71" t="s">
        <v>244</v>
      </c>
      <c r="D143" s="71" t="s">
        <v>245</v>
      </c>
      <c r="E143" s="71" t="s">
        <v>254</v>
      </c>
      <c r="F143" s="71" t="s">
        <v>246</v>
      </c>
      <c r="G143" s="26" t="s">
        <v>306</v>
      </c>
      <c r="H143" s="26" t="s">
        <v>306</v>
      </c>
      <c r="I143" s="26" t="s">
        <v>306</v>
      </c>
      <c r="J143" s="26" t="s">
        <v>307</v>
      </c>
      <c r="K143" s="26" t="s">
        <v>308</v>
      </c>
      <c r="L143" s="26" t="s">
        <v>309</v>
      </c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ht="16.5" customHeight="1">
      <c r="A144" s="26" t="s">
        <v>298</v>
      </c>
      <c r="B144" s="71" t="s">
        <v>207</v>
      </c>
      <c r="C144" s="71" t="s">
        <v>244</v>
      </c>
      <c r="D144" s="71" t="s">
        <v>245</v>
      </c>
      <c r="E144" s="71" t="s">
        <v>258</v>
      </c>
      <c r="F144" s="71" t="s">
        <v>250</v>
      </c>
      <c r="G144" s="26" t="s">
        <v>310</v>
      </c>
      <c r="H144" s="26" t="s">
        <v>310</v>
      </c>
      <c r="I144" s="26" t="s">
        <v>310</v>
      </c>
      <c r="J144" s="26" t="s">
        <v>311</v>
      </c>
      <c r="K144" s="26" t="s">
        <v>312</v>
      </c>
      <c r="L144" s="26" t="s">
        <v>313</v>
      </c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ht="16.5" customHeight="1">
      <c r="A145" s="26" t="s">
        <v>298</v>
      </c>
      <c r="B145" s="71" t="s">
        <v>207</v>
      </c>
      <c r="C145" s="71" t="s">
        <v>244</v>
      </c>
      <c r="D145" s="71" t="s">
        <v>245</v>
      </c>
      <c r="E145" s="71" t="s">
        <v>261</v>
      </c>
      <c r="F145" s="71" t="s">
        <v>250</v>
      </c>
      <c r="G145" s="26" t="s">
        <v>314</v>
      </c>
      <c r="H145" s="26" t="s">
        <v>314</v>
      </c>
      <c r="I145" s="26" t="s">
        <v>314</v>
      </c>
      <c r="J145" s="26" t="s">
        <v>315</v>
      </c>
      <c r="K145" s="26" t="s">
        <v>316</v>
      </c>
      <c r="L145" s="26" t="s">
        <v>317</v>
      </c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ht="16.5" customHeight="1">
      <c r="A146" s="26" t="s">
        <v>298</v>
      </c>
      <c r="B146" s="71" t="s">
        <v>207</v>
      </c>
      <c r="C146" s="71" t="s">
        <v>244</v>
      </c>
      <c r="D146" s="26" t="s">
        <v>245</v>
      </c>
      <c r="E146" s="71" t="s">
        <v>265</v>
      </c>
      <c r="F146" s="71" t="s">
        <v>250</v>
      </c>
      <c r="G146" s="26" t="s">
        <v>318</v>
      </c>
      <c r="H146" s="26" t="s">
        <v>318</v>
      </c>
      <c r="I146" s="26" t="s">
        <v>318</v>
      </c>
      <c r="J146" s="26" t="s">
        <v>319</v>
      </c>
      <c r="K146" s="26" t="s">
        <v>320</v>
      </c>
      <c r="L146" s="26" t="s">
        <v>321</v>
      </c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ht="16.5" customHeight="1">
      <c r="A147" s="26" t="s">
        <v>298</v>
      </c>
      <c r="B147" s="71" t="s">
        <v>209</v>
      </c>
      <c r="C147" s="71">
        <v>1</v>
      </c>
      <c r="D147" s="71">
        <v>2</v>
      </c>
      <c r="E147" s="71" t="s">
        <v>246</v>
      </c>
      <c r="F147" s="71" t="s">
        <v>246</v>
      </c>
      <c r="G147" s="26" t="s">
        <v>299</v>
      </c>
      <c r="H147" s="26" t="s">
        <v>299</v>
      </c>
      <c r="I147" s="26" t="s">
        <v>299</v>
      </c>
      <c r="J147" s="26" t="s">
        <v>300</v>
      </c>
      <c r="K147" s="26" t="s">
        <v>249</v>
      </c>
      <c r="L147" s="26" t="s">
        <v>301</v>
      </c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ht="16.5" customHeight="1">
      <c r="A148" s="26" t="s">
        <v>298</v>
      </c>
      <c r="B148" s="71" t="s">
        <v>209</v>
      </c>
      <c r="C148" s="71">
        <v>1</v>
      </c>
      <c r="D148" s="71">
        <v>2</v>
      </c>
      <c r="E148" s="71" t="s">
        <v>250</v>
      </c>
      <c r="F148" s="71" t="s">
        <v>246</v>
      </c>
      <c r="G148" s="26" t="s">
        <v>299</v>
      </c>
      <c r="H148" s="26" t="s">
        <v>299</v>
      </c>
      <c r="I148" s="26" t="s">
        <v>299</v>
      </c>
      <c r="J148" s="26" t="s">
        <v>300</v>
      </c>
      <c r="K148" s="26" t="s">
        <v>249</v>
      </c>
      <c r="L148" s="26" t="s">
        <v>301</v>
      </c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ht="16.5" customHeight="1">
      <c r="A149" s="26" t="s">
        <v>298</v>
      </c>
      <c r="B149" s="71" t="s">
        <v>209</v>
      </c>
      <c r="C149" s="71">
        <v>1</v>
      </c>
      <c r="D149" s="71">
        <v>2</v>
      </c>
      <c r="E149" s="71" t="s">
        <v>250</v>
      </c>
      <c r="F149" s="71" t="s">
        <v>246</v>
      </c>
      <c r="G149" s="26" t="s">
        <v>302</v>
      </c>
      <c r="H149" s="26" t="s">
        <v>302</v>
      </c>
      <c r="I149" s="26" t="s">
        <v>302</v>
      </c>
      <c r="J149" s="26" t="s">
        <v>303</v>
      </c>
      <c r="K149" s="26" t="s">
        <v>304</v>
      </c>
      <c r="L149" s="26" t="s">
        <v>305</v>
      </c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ht="16.5" customHeight="1">
      <c r="A150" s="26" t="s">
        <v>298</v>
      </c>
      <c r="B150" s="71" t="s">
        <v>209</v>
      </c>
      <c r="C150" s="71">
        <v>1</v>
      </c>
      <c r="D150" s="71">
        <v>2</v>
      </c>
      <c r="E150" s="71" t="s">
        <v>254</v>
      </c>
      <c r="F150" s="71" t="s">
        <v>246</v>
      </c>
      <c r="G150" s="26" t="s">
        <v>306</v>
      </c>
      <c r="H150" s="26" t="s">
        <v>306</v>
      </c>
      <c r="I150" s="26" t="s">
        <v>306</v>
      </c>
      <c r="J150" s="26" t="s">
        <v>307</v>
      </c>
      <c r="K150" s="26" t="s">
        <v>308</v>
      </c>
      <c r="L150" s="26" t="s">
        <v>309</v>
      </c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ht="16.5" customHeight="1">
      <c r="A151" s="26" t="s">
        <v>298</v>
      </c>
      <c r="B151" s="71" t="s">
        <v>209</v>
      </c>
      <c r="C151" s="71" t="s">
        <v>269</v>
      </c>
      <c r="D151" s="71">
        <v>2</v>
      </c>
      <c r="E151" s="71" t="s">
        <v>258</v>
      </c>
      <c r="F151" s="71" t="s">
        <v>250</v>
      </c>
      <c r="G151" s="26" t="s">
        <v>310</v>
      </c>
      <c r="H151" s="26" t="s">
        <v>310</v>
      </c>
      <c r="I151" s="26" t="s">
        <v>310</v>
      </c>
      <c r="J151" s="26" t="s">
        <v>311</v>
      </c>
      <c r="K151" s="26" t="s">
        <v>312</v>
      </c>
      <c r="L151" s="26" t="s">
        <v>313</v>
      </c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ht="16.5" customHeight="1">
      <c r="A152" s="26" t="s">
        <v>298</v>
      </c>
      <c r="B152" s="71" t="s">
        <v>209</v>
      </c>
      <c r="C152" s="71" t="s">
        <v>269</v>
      </c>
      <c r="D152" s="71">
        <v>2</v>
      </c>
      <c r="E152" s="71" t="s">
        <v>261</v>
      </c>
      <c r="F152" s="71" t="s">
        <v>250</v>
      </c>
      <c r="G152" s="26" t="s">
        <v>314</v>
      </c>
      <c r="H152" s="26" t="s">
        <v>314</v>
      </c>
      <c r="I152" s="26" t="s">
        <v>314</v>
      </c>
      <c r="J152" s="26" t="s">
        <v>315</v>
      </c>
      <c r="K152" s="26" t="s">
        <v>316</v>
      </c>
      <c r="L152" s="26" t="s">
        <v>317</v>
      </c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ht="16.5" customHeight="1">
      <c r="A153" s="26" t="s">
        <v>298</v>
      </c>
      <c r="B153" s="71" t="s">
        <v>209</v>
      </c>
      <c r="C153" s="71" t="s">
        <v>269</v>
      </c>
      <c r="D153" s="26" t="s">
        <v>271</v>
      </c>
      <c r="E153" s="71" t="s">
        <v>265</v>
      </c>
      <c r="F153" s="71" t="s">
        <v>250</v>
      </c>
      <c r="G153" s="26" t="s">
        <v>318</v>
      </c>
      <c r="H153" s="26" t="s">
        <v>318</v>
      </c>
      <c r="I153" s="26" t="s">
        <v>318</v>
      </c>
      <c r="J153" s="26" t="s">
        <v>319</v>
      </c>
      <c r="K153" s="26" t="s">
        <v>320</v>
      </c>
      <c r="L153" s="26" t="s">
        <v>321</v>
      </c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ht="16.5" customHeight="1">
      <c r="A154" s="69" t="s">
        <v>298</v>
      </c>
      <c r="B154" s="68" t="s">
        <v>211</v>
      </c>
      <c r="C154" s="69">
        <v>1</v>
      </c>
      <c r="D154" s="69">
        <v>2</v>
      </c>
      <c r="E154" s="69" t="s">
        <v>246</v>
      </c>
      <c r="F154" s="69" t="s">
        <v>246</v>
      </c>
      <c r="G154" s="69" t="s">
        <v>299</v>
      </c>
      <c r="H154" s="69" t="s">
        <v>299</v>
      </c>
      <c r="I154" s="69" t="s">
        <v>299</v>
      </c>
      <c r="J154" s="69" t="s">
        <v>300</v>
      </c>
      <c r="K154" s="69" t="s">
        <v>249</v>
      </c>
      <c r="L154" s="69" t="s">
        <v>301</v>
      </c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</row>
    <row r="155" spans="1:26" ht="16.5" customHeight="1">
      <c r="A155" s="69" t="s">
        <v>298</v>
      </c>
      <c r="B155" s="68" t="s">
        <v>211</v>
      </c>
      <c r="C155" s="69">
        <v>1</v>
      </c>
      <c r="D155" s="69">
        <v>2</v>
      </c>
      <c r="E155" s="69" t="s">
        <v>250</v>
      </c>
      <c r="F155" s="69" t="s">
        <v>246</v>
      </c>
      <c r="G155" s="69" t="s">
        <v>299</v>
      </c>
      <c r="H155" s="69" t="s">
        <v>299</v>
      </c>
      <c r="I155" s="69" t="s">
        <v>299</v>
      </c>
      <c r="J155" s="69" t="s">
        <v>300</v>
      </c>
      <c r="K155" s="69" t="s">
        <v>249</v>
      </c>
      <c r="L155" s="69" t="s">
        <v>301</v>
      </c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</row>
    <row r="156" spans="1:26" ht="16.5" customHeight="1">
      <c r="A156" s="69" t="s">
        <v>298</v>
      </c>
      <c r="B156" s="68" t="s">
        <v>211</v>
      </c>
      <c r="C156" s="69">
        <v>1</v>
      </c>
      <c r="D156" s="69">
        <v>2</v>
      </c>
      <c r="E156" s="69" t="s">
        <v>250</v>
      </c>
      <c r="F156" s="69" t="s">
        <v>246</v>
      </c>
      <c r="G156" s="69" t="s">
        <v>302</v>
      </c>
      <c r="H156" s="69" t="s">
        <v>302</v>
      </c>
      <c r="I156" s="69" t="s">
        <v>302</v>
      </c>
      <c r="J156" s="69" t="s">
        <v>303</v>
      </c>
      <c r="K156" s="69" t="s">
        <v>304</v>
      </c>
      <c r="L156" s="69" t="s">
        <v>305</v>
      </c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</row>
    <row r="157" spans="1:26" ht="16.5" customHeight="1">
      <c r="A157" s="69" t="s">
        <v>298</v>
      </c>
      <c r="B157" s="68" t="s">
        <v>211</v>
      </c>
      <c r="C157" s="69">
        <v>1</v>
      </c>
      <c r="D157" s="69">
        <v>2</v>
      </c>
      <c r="E157" s="69" t="s">
        <v>254</v>
      </c>
      <c r="F157" s="69" t="s">
        <v>246</v>
      </c>
      <c r="G157" s="69" t="s">
        <v>306</v>
      </c>
      <c r="H157" s="69" t="s">
        <v>306</v>
      </c>
      <c r="I157" s="69" t="s">
        <v>306</v>
      </c>
      <c r="J157" s="68" t="s">
        <v>322</v>
      </c>
      <c r="K157" s="69" t="s">
        <v>308</v>
      </c>
      <c r="L157" s="69" t="s">
        <v>309</v>
      </c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</row>
    <row r="158" spans="1:26" ht="16.5" customHeight="1">
      <c r="A158" s="69" t="s">
        <v>298</v>
      </c>
      <c r="B158" s="68" t="s">
        <v>211</v>
      </c>
      <c r="C158" s="69" t="s">
        <v>269</v>
      </c>
      <c r="D158" s="69">
        <v>2</v>
      </c>
      <c r="E158" s="69" t="s">
        <v>258</v>
      </c>
      <c r="F158" s="69" t="s">
        <v>250</v>
      </c>
      <c r="G158" s="69" t="s">
        <v>310</v>
      </c>
      <c r="H158" s="69" t="s">
        <v>310</v>
      </c>
      <c r="I158" s="69" t="s">
        <v>310</v>
      </c>
      <c r="J158" s="69" t="s">
        <v>311</v>
      </c>
      <c r="K158" s="69" t="s">
        <v>312</v>
      </c>
      <c r="L158" s="69" t="s">
        <v>313</v>
      </c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</row>
    <row r="159" spans="1:26" ht="16.5" customHeight="1">
      <c r="A159" s="69" t="s">
        <v>298</v>
      </c>
      <c r="B159" s="68" t="s">
        <v>211</v>
      </c>
      <c r="C159" s="69" t="s">
        <v>269</v>
      </c>
      <c r="D159" s="69">
        <v>2</v>
      </c>
      <c r="E159" s="69" t="s">
        <v>261</v>
      </c>
      <c r="F159" s="69" t="s">
        <v>250</v>
      </c>
      <c r="G159" s="69" t="s">
        <v>314</v>
      </c>
      <c r="H159" s="69" t="s">
        <v>314</v>
      </c>
      <c r="I159" s="69" t="s">
        <v>314</v>
      </c>
      <c r="J159" s="69" t="s">
        <v>315</v>
      </c>
      <c r="K159" s="69" t="s">
        <v>316</v>
      </c>
      <c r="L159" s="69" t="s">
        <v>317</v>
      </c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</row>
    <row r="160" spans="1:26" ht="16.5" customHeight="1">
      <c r="A160" s="69" t="s">
        <v>298</v>
      </c>
      <c r="B160" s="68" t="s">
        <v>211</v>
      </c>
      <c r="C160" s="69" t="s">
        <v>269</v>
      </c>
      <c r="D160" s="69" t="s">
        <v>271</v>
      </c>
      <c r="E160" s="69" t="s">
        <v>265</v>
      </c>
      <c r="F160" s="69" t="s">
        <v>250</v>
      </c>
      <c r="G160" s="69" t="s">
        <v>318</v>
      </c>
      <c r="H160" s="68" t="s">
        <v>266</v>
      </c>
      <c r="I160" s="68" t="s">
        <v>266</v>
      </c>
      <c r="J160" s="69" t="s">
        <v>319</v>
      </c>
      <c r="K160" s="69" t="s">
        <v>320</v>
      </c>
      <c r="L160" s="69" t="s">
        <v>321</v>
      </c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</row>
    <row r="161" spans="1:26" ht="16.5" customHeight="1">
      <c r="A161" s="71" t="s">
        <v>298</v>
      </c>
      <c r="B161" s="26" t="s">
        <v>212</v>
      </c>
      <c r="C161" s="26" t="s">
        <v>269</v>
      </c>
      <c r="D161" s="71">
        <v>2</v>
      </c>
      <c r="E161" s="71" t="s">
        <v>246</v>
      </c>
      <c r="F161" s="71" t="s">
        <v>246</v>
      </c>
      <c r="G161" s="71" t="s">
        <v>299</v>
      </c>
      <c r="H161" s="71" t="s">
        <v>299</v>
      </c>
      <c r="I161" s="71" t="s">
        <v>299</v>
      </c>
      <c r="J161" s="71" t="s">
        <v>300</v>
      </c>
      <c r="K161" s="71" t="s">
        <v>249</v>
      </c>
      <c r="L161" s="71" t="s">
        <v>301</v>
      </c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ht="16.5" customHeight="1">
      <c r="A162" s="71" t="s">
        <v>298</v>
      </c>
      <c r="B162" s="26" t="s">
        <v>212</v>
      </c>
      <c r="C162" s="26" t="s">
        <v>269</v>
      </c>
      <c r="D162" s="71">
        <v>2</v>
      </c>
      <c r="E162" s="71" t="s">
        <v>250</v>
      </c>
      <c r="F162" s="71" t="s">
        <v>246</v>
      </c>
      <c r="G162" s="71" t="s">
        <v>299</v>
      </c>
      <c r="H162" s="71" t="s">
        <v>299</v>
      </c>
      <c r="I162" s="71" t="s">
        <v>299</v>
      </c>
      <c r="J162" s="71" t="s">
        <v>300</v>
      </c>
      <c r="K162" s="71" t="s">
        <v>249</v>
      </c>
      <c r="L162" s="71" t="s">
        <v>301</v>
      </c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ht="16.5" customHeight="1">
      <c r="A163" s="71" t="s">
        <v>298</v>
      </c>
      <c r="B163" s="26" t="s">
        <v>212</v>
      </c>
      <c r="C163" s="26" t="s">
        <v>269</v>
      </c>
      <c r="D163" s="71">
        <v>2</v>
      </c>
      <c r="E163" s="71" t="s">
        <v>250</v>
      </c>
      <c r="F163" s="71" t="s">
        <v>246</v>
      </c>
      <c r="G163" s="71" t="s">
        <v>302</v>
      </c>
      <c r="H163" s="71" t="s">
        <v>302</v>
      </c>
      <c r="I163" s="71" t="s">
        <v>302</v>
      </c>
      <c r="J163" s="71" t="s">
        <v>303</v>
      </c>
      <c r="K163" s="71" t="s">
        <v>304</v>
      </c>
      <c r="L163" s="71" t="s">
        <v>305</v>
      </c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ht="16.5" customHeight="1">
      <c r="A164" s="71" t="s">
        <v>298</v>
      </c>
      <c r="B164" s="26" t="s">
        <v>212</v>
      </c>
      <c r="C164" s="26" t="s">
        <v>269</v>
      </c>
      <c r="D164" s="71">
        <v>2</v>
      </c>
      <c r="E164" s="71" t="s">
        <v>254</v>
      </c>
      <c r="F164" s="71" t="s">
        <v>246</v>
      </c>
      <c r="G164" s="71" t="s">
        <v>306</v>
      </c>
      <c r="H164" s="71" t="s">
        <v>306</v>
      </c>
      <c r="I164" s="71" t="s">
        <v>306</v>
      </c>
      <c r="J164" s="71" t="s">
        <v>322</v>
      </c>
      <c r="K164" s="71" t="s">
        <v>308</v>
      </c>
      <c r="L164" s="71" t="s">
        <v>309</v>
      </c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ht="16.5" customHeight="1">
      <c r="A165" s="71" t="s">
        <v>298</v>
      </c>
      <c r="B165" s="26" t="s">
        <v>212</v>
      </c>
      <c r="C165" s="71" t="s">
        <v>269</v>
      </c>
      <c r="D165" s="26" t="s">
        <v>271</v>
      </c>
      <c r="E165" s="71" t="s">
        <v>258</v>
      </c>
      <c r="F165" s="71" t="s">
        <v>250</v>
      </c>
      <c r="G165" s="71" t="s">
        <v>310</v>
      </c>
      <c r="H165" s="71" t="s">
        <v>310</v>
      </c>
      <c r="I165" s="71" t="s">
        <v>310</v>
      </c>
      <c r="J165" s="71" t="s">
        <v>311</v>
      </c>
      <c r="K165" s="71" t="s">
        <v>312</v>
      </c>
      <c r="L165" s="71" t="s">
        <v>313</v>
      </c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ht="16.5" customHeight="1">
      <c r="A166" s="71" t="s">
        <v>298</v>
      </c>
      <c r="B166" s="26" t="s">
        <v>212</v>
      </c>
      <c r="C166" s="71" t="s">
        <v>269</v>
      </c>
      <c r="D166" s="26" t="s">
        <v>271</v>
      </c>
      <c r="E166" s="71" t="s">
        <v>261</v>
      </c>
      <c r="F166" s="71" t="s">
        <v>250</v>
      </c>
      <c r="G166" s="26" t="s">
        <v>323</v>
      </c>
      <c r="H166" s="71" t="s">
        <v>314</v>
      </c>
      <c r="I166" s="71" t="s">
        <v>314</v>
      </c>
      <c r="J166" s="71" t="s">
        <v>315</v>
      </c>
      <c r="K166" s="71" t="s">
        <v>316</v>
      </c>
      <c r="L166" s="71" t="s">
        <v>317</v>
      </c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ht="16.5" customHeight="1">
      <c r="A167" s="71" t="s">
        <v>298</v>
      </c>
      <c r="B167" s="26" t="s">
        <v>212</v>
      </c>
      <c r="C167" s="71" t="s">
        <v>269</v>
      </c>
      <c r="D167" s="71" t="s">
        <v>271</v>
      </c>
      <c r="E167" s="71" t="s">
        <v>265</v>
      </c>
      <c r="F167" s="71" t="s">
        <v>250</v>
      </c>
      <c r="G167" s="26" t="s">
        <v>324</v>
      </c>
      <c r="H167" s="26" t="s">
        <v>272</v>
      </c>
      <c r="I167" s="26" t="s">
        <v>272</v>
      </c>
      <c r="J167" s="71" t="s">
        <v>319</v>
      </c>
      <c r="K167" s="71" t="s">
        <v>320</v>
      </c>
      <c r="L167" s="71" t="s">
        <v>321</v>
      </c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ht="16.5" customHeight="1">
      <c r="A168" s="69" t="s">
        <v>298</v>
      </c>
      <c r="B168" s="68" t="s">
        <v>214</v>
      </c>
      <c r="C168" s="69" t="s">
        <v>269</v>
      </c>
      <c r="D168" s="68" t="s">
        <v>271</v>
      </c>
      <c r="E168" s="69" t="s">
        <v>246</v>
      </c>
      <c r="F168" s="69" t="s">
        <v>246</v>
      </c>
      <c r="G168" s="69" t="s">
        <v>299</v>
      </c>
      <c r="H168" s="69" t="s">
        <v>299</v>
      </c>
      <c r="I168" s="69" t="s">
        <v>299</v>
      </c>
      <c r="J168" s="69" t="s">
        <v>300</v>
      </c>
      <c r="K168" s="69" t="s">
        <v>249</v>
      </c>
      <c r="L168" s="69" t="s">
        <v>301</v>
      </c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</row>
    <row r="169" spans="1:26" ht="16.5" customHeight="1">
      <c r="A169" s="69" t="s">
        <v>298</v>
      </c>
      <c r="B169" s="68" t="s">
        <v>214</v>
      </c>
      <c r="C169" s="69" t="s">
        <v>269</v>
      </c>
      <c r="D169" s="68" t="s">
        <v>271</v>
      </c>
      <c r="E169" s="69" t="s">
        <v>250</v>
      </c>
      <c r="F169" s="69" t="s">
        <v>246</v>
      </c>
      <c r="G169" s="69" t="s">
        <v>299</v>
      </c>
      <c r="H169" s="69" t="s">
        <v>299</v>
      </c>
      <c r="I169" s="69" t="s">
        <v>299</v>
      </c>
      <c r="J169" s="69" t="s">
        <v>300</v>
      </c>
      <c r="K169" s="69" t="s">
        <v>249</v>
      </c>
      <c r="L169" s="69" t="s">
        <v>301</v>
      </c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</row>
    <row r="170" spans="1:26" ht="16.5" customHeight="1">
      <c r="A170" s="69" t="s">
        <v>298</v>
      </c>
      <c r="B170" s="68" t="s">
        <v>214</v>
      </c>
      <c r="C170" s="69" t="s">
        <v>269</v>
      </c>
      <c r="D170" s="68" t="s">
        <v>271</v>
      </c>
      <c r="E170" s="69" t="s">
        <v>250</v>
      </c>
      <c r="F170" s="69" t="s">
        <v>246</v>
      </c>
      <c r="G170" s="69" t="s">
        <v>302</v>
      </c>
      <c r="H170" s="69" t="s">
        <v>302</v>
      </c>
      <c r="I170" s="69" t="s">
        <v>302</v>
      </c>
      <c r="J170" s="69" t="s">
        <v>303</v>
      </c>
      <c r="K170" s="69" t="s">
        <v>304</v>
      </c>
      <c r="L170" s="69" t="s">
        <v>305</v>
      </c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</row>
    <row r="171" spans="1:26" ht="16.5" customHeight="1">
      <c r="A171" s="69" t="s">
        <v>298</v>
      </c>
      <c r="B171" s="68" t="s">
        <v>214</v>
      </c>
      <c r="C171" s="69" t="s">
        <v>269</v>
      </c>
      <c r="D171" s="68" t="s">
        <v>271</v>
      </c>
      <c r="E171" s="69" t="s">
        <v>254</v>
      </c>
      <c r="F171" s="69" t="s">
        <v>246</v>
      </c>
      <c r="G171" s="69" t="s">
        <v>306</v>
      </c>
      <c r="H171" s="69" t="s">
        <v>306</v>
      </c>
      <c r="I171" s="69" t="s">
        <v>306</v>
      </c>
      <c r="J171" s="69" t="s">
        <v>322</v>
      </c>
      <c r="K171" s="69" t="s">
        <v>308</v>
      </c>
      <c r="L171" s="69" t="s">
        <v>309</v>
      </c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</row>
    <row r="172" spans="1:26" ht="16.5" customHeight="1">
      <c r="A172" s="69" t="s">
        <v>298</v>
      </c>
      <c r="B172" s="68" t="s">
        <v>214</v>
      </c>
      <c r="C172" s="69" t="s">
        <v>269</v>
      </c>
      <c r="D172" s="69" t="s">
        <v>271</v>
      </c>
      <c r="E172" s="69" t="s">
        <v>258</v>
      </c>
      <c r="F172" s="69" t="s">
        <v>250</v>
      </c>
      <c r="G172" s="69" t="s">
        <v>310</v>
      </c>
      <c r="H172" s="69" t="s">
        <v>310</v>
      </c>
      <c r="I172" s="69" t="s">
        <v>310</v>
      </c>
      <c r="J172" s="69" t="s">
        <v>311</v>
      </c>
      <c r="K172" s="69" t="s">
        <v>312</v>
      </c>
      <c r="L172" s="69" t="s">
        <v>313</v>
      </c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</row>
    <row r="173" spans="1:26" ht="16.5" customHeight="1">
      <c r="A173" s="69" t="s">
        <v>298</v>
      </c>
      <c r="B173" s="68" t="s">
        <v>214</v>
      </c>
      <c r="C173" s="68" t="s">
        <v>270</v>
      </c>
      <c r="D173" s="69" t="s">
        <v>271</v>
      </c>
      <c r="E173" s="69" t="s">
        <v>261</v>
      </c>
      <c r="F173" s="69" t="s">
        <v>250</v>
      </c>
      <c r="G173" s="68" t="s">
        <v>325</v>
      </c>
      <c r="H173" s="69" t="s">
        <v>314</v>
      </c>
      <c r="I173" s="69" t="s">
        <v>314</v>
      </c>
      <c r="J173" s="69" t="s">
        <v>315</v>
      </c>
      <c r="K173" s="69" t="s">
        <v>316</v>
      </c>
      <c r="L173" s="69" t="s">
        <v>317</v>
      </c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</row>
    <row r="174" spans="1:26" ht="16.5" customHeight="1">
      <c r="A174" s="69" t="s">
        <v>298</v>
      </c>
      <c r="B174" s="68" t="s">
        <v>214</v>
      </c>
      <c r="C174" s="68" t="s">
        <v>270</v>
      </c>
      <c r="D174" s="69" t="s">
        <v>271</v>
      </c>
      <c r="E174" s="69" t="s">
        <v>265</v>
      </c>
      <c r="F174" s="69" t="s">
        <v>250</v>
      </c>
      <c r="G174" s="68" t="s">
        <v>326</v>
      </c>
      <c r="H174" s="68" t="s">
        <v>314</v>
      </c>
      <c r="I174" s="68" t="s">
        <v>314</v>
      </c>
      <c r="J174" s="68" t="s">
        <v>314</v>
      </c>
      <c r="K174" s="69" t="s">
        <v>320</v>
      </c>
      <c r="L174" s="69" t="s">
        <v>321</v>
      </c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</row>
    <row r="175" spans="1:26" ht="16.5" customHeight="1">
      <c r="A175" s="71" t="s">
        <v>298</v>
      </c>
      <c r="B175" s="26" t="s">
        <v>216</v>
      </c>
      <c r="C175" s="71" t="s">
        <v>269</v>
      </c>
      <c r="D175" s="71" t="s">
        <v>271</v>
      </c>
      <c r="E175" s="71" t="s">
        <v>246</v>
      </c>
      <c r="F175" s="71" t="s">
        <v>246</v>
      </c>
      <c r="G175" s="71" t="s">
        <v>299</v>
      </c>
      <c r="H175" s="71" t="s">
        <v>299</v>
      </c>
      <c r="I175" s="71" t="s">
        <v>299</v>
      </c>
      <c r="J175" s="71" t="s">
        <v>300</v>
      </c>
      <c r="K175" s="71" t="s">
        <v>249</v>
      </c>
      <c r="L175" s="71" t="s">
        <v>301</v>
      </c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ht="16.5" customHeight="1">
      <c r="A176" s="71" t="s">
        <v>298</v>
      </c>
      <c r="B176" s="26" t="s">
        <v>216</v>
      </c>
      <c r="C176" s="71" t="s">
        <v>269</v>
      </c>
      <c r="D176" s="71" t="s">
        <v>271</v>
      </c>
      <c r="E176" s="71" t="s">
        <v>250</v>
      </c>
      <c r="F176" s="71" t="s">
        <v>246</v>
      </c>
      <c r="G176" s="71" t="s">
        <v>299</v>
      </c>
      <c r="H176" s="71" t="s">
        <v>299</v>
      </c>
      <c r="I176" s="71" t="s">
        <v>299</v>
      </c>
      <c r="J176" s="71" t="s">
        <v>300</v>
      </c>
      <c r="K176" s="71" t="s">
        <v>249</v>
      </c>
      <c r="L176" s="71" t="s">
        <v>301</v>
      </c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ht="16.5" customHeight="1">
      <c r="A177" s="71" t="s">
        <v>298</v>
      </c>
      <c r="B177" s="26" t="s">
        <v>216</v>
      </c>
      <c r="C177" s="26" t="s">
        <v>270</v>
      </c>
      <c r="D177" s="71" t="s">
        <v>271</v>
      </c>
      <c r="E177" s="71" t="s">
        <v>250</v>
      </c>
      <c r="F177" s="71" t="s">
        <v>246</v>
      </c>
      <c r="G177" s="71" t="s">
        <v>302</v>
      </c>
      <c r="H177" s="71" t="s">
        <v>302</v>
      </c>
      <c r="I177" s="71" t="s">
        <v>302</v>
      </c>
      <c r="J177" s="71" t="s">
        <v>303</v>
      </c>
      <c r="K177" s="71" t="s">
        <v>304</v>
      </c>
      <c r="L177" s="71" t="s">
        <v>305</v>
      </c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ht="16.5" customHeight="1">
      <c r="A178" s="71" t="s">
        <v>298</v>
      </c>
      <c r="B178" s="26" t="s">
        <v>216</v>
      </c>
      <c r="C178" s="26" t="s">
        <v>270</v>
      </c>
      <c r="D178" s="71" t="s">
        <v>271</v>
      </c>
      <c r="E178" s="71" t="s">
        <v>254</v>
      </c>
      <c r="F178" s="71" t="s">
        <v>246</v>
      </c>
      <c r="G178" s="71" t="s">
        <v>306</v>
      </c>
      <c r="H178" s="71" t="s">
        <v>306</v>
      </c>
      <c r="I178" s="71" t="s">
        <v>306</v>
      </c>
      <c r="J178" s="71" t="s">
        <v>322</v>
      </c>
      <c r="K178" s="71" t="s">
        <v>308</v>
      </c>
      <c r="L178" s="71" t="s">
        <v>309</v>
      </c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ht="16.5" customHeight="1">
      <c r="A179" s="71" t="s">
        <v>298</v>
      </c>
      <c r="B179" s="26" t="s">
        <v>216</v>
      </c>
      <c r="C179" s="26" t="s">
        <v>270</v>
      </c>
      <c r="D179" s="71" t="s">
        <v>271</v>
      </c>
      <c r="E179" s="71" t="s">
        <v>258</v>
      </c>
      <c r="F179" s="26" t="s">
        <v>246</v>
      </c>
      <c r="G179" s="26" t="s">
        <v>311</v>
      </c>
      <c r="H179" s="71" t="s">
        <v>310</v>
      </c>
      <c r="I179" s="71" t="s">
        <v>310</v>
      </c>
      <c r="J179" s="71" t="s">
        <v>311</v>
      </c>
      <c r="K179" s="71" t="s">
        <v>312</v>
      </c>
      <c r="L179" s="71" t="s">
        <v>313</v>
      </c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ht="16.5" customHeight="1">
      <c r="A180" s="71" t="s">
        <v>298</v>
      </c>
      <c r="B180" s="26" t="s">
        <v>216</v>
      </c>
      <c r="C180" s="71" t="s">
        <v>270</v>
      </c>
      <c r="D180" s="71" t="s">
        <v>271</v>
      </c>
      <c r="E180" s="71" t="s">
        <v>261</v>
      </c>
      <c r="F180" s="71" t="s">
        <v>250</v>
      </c>
      <c r="G180" s="26" t="s">
        <v>327</v>
      </c>
      <c r="H180" s="26" t="s">
        <v>273</v>
      </c>
      <c r="I180" s="26" t="s">
        <v>273</v>
      </c>
      <c r="J180" s="71" t="s">
        <v>315</v>
      </c>
      <c r="K180" s="71" t="s">
        <v>316</v>
      </c>
      <c r="L180" s="71" t="s">
        <v>317</v>
      </c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ht="16.5" customHeight="1">
      <c r="A181" s="69" t="s">
        <v>298</v>
      </c>
      <c r="B181" s="68" t="s">
        <v>217</v>
      </c>
      <c r="C181" s="68" t="s">
        <v>270</v>
      </c>
      <c r="D181" s="69" t="s">
        <v>271</v>
      </c>
      <c r="E181" s="69" t="s">
        <v>246</v>
      </c>
      <c r="F181" s="69" t="s">
        <v>246</v>
      </c>
      <c r="G181" s="69" t="s">
        <v>299</v>
      </c>
      <c r="H181" s="69" t="s">
        <v>299</v>
      </c>
      <c r="I181" s="69" t="s">
        <v>299</v>
      </c>
      <c r="J181" s="69" t="s">
        <v>300</v>
      </c>
      <c r="K181" s="69" t="s">
        <v>249</v>
      </c>
      <c r="L181" s="69" t="s">
        <v>301</v>
      </c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</row>
    <row r="182" spans="1:26" ht="16.5" customHeight="1">
      <c r="A182" s="69" t="s">
        <v>298</v>
      </c>
      <c r="B182" s="68" t="s">
        <v>217</v>
      </c>
      <c r="C182" s="68" t="s">
        <v>270</v>
      </c>
      <c r="D182" s="69" t="s">
        <v>271</v>
      </c>
      <c r="E182" s="69" t="s">
        <v>250</v>
      </c>
      <c r="F182" s="69" t="s">
        <v>246</v>
      </c>
      <c r="G182" s="69" t="s">
        <v>299</v>
      </c>
      <c r="H182" s="69" t="s">
        <v>299</v>
      </c>
      <c r="I182" s="69" t="s">
        <v>299</v>
      </c>
      <c r="J182" s="69" t="s">
        <v>300</v>
      </c>
      <c r="K182" s="69" t="s">
        <v>249</v>
      </c>
      <c r="L182" s="69" t="s">
        <v>301</v>
      </c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</row>
    <row r="183" spans="1:26" ht="16.5" customHeight="1">
      <c r="A183" s="69" t="s">
        <v>298</v>
      </c>
      <c r="B183" s="68" t="s">
        <v>217</v>
      </c>
      <c r="C183" s="68" t="s">
        <v>271</v>
      </c>
      <c r="D183" s="68" t="s">
        <v>274</v>
      </c>
      <c r="E183" s="69" t="s">
        <v>250</v>
      </c>
      <c r="F183" s="69" t="s">
        <v>246</v>
      </c>
      <c r="G183" s="68" t="s">
        <v>328</v>
      </c>
      <c r="H183" s="69" t="s">
        <v>302</v>
      </c>
      <c r="I183" s="69" t="s">
        <v>302</v>
      </c>
      <c r="J183" s="69" t="s">
        <v>303</v>
      </c>
      <c r="K183" s="69" t="s">
        <v>304</v>
      </c>
      <c r="L183" s="69" t="s">
        <v>305</v>
      </c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</row>
    <row r="184" spans="1:26" ht="16.5" customHeight="1">
      <c r="A184" s="69" t="s">
        <v>298</v>
      </c>
      <c r="B184" s="68" t="s">
        <v>217</v>
      </c>
      <c r="C184" s="68" t="s">
        <v>271</v>
      </c>
      <c r="D184" s="68" t="s">
        <v>274</v>
      </c>
      <c r="E184" s="69" t="s">
        <v>254</v>
      </c>
      <c r="F184" s="69" t="s">
        <v>246</v>
      </c>
      <c r="G184" s="68" t="s">
        <v>329</v>
      </c>
      <c r="H184" s="69" t="s">
        <v>306</v>
      </c>
      <c r="I184" s="69" t="s">
        <v>306</v>
      </c>
      <c r="J184" s="69" t="s">
        <v>322</v>
      </c>
      <c r="K184" s="69" t="s">
        <v>308</v>
      </c>
      <c r="L184" s="69" t="s">
        <v>309</v>
      </c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</row>
    <row r="185" spans="1:26" ht="16.5" customHeight="1">
      <c r="A185" s="69" t="s">
        <v>298</v>
      </c>
      <c r="B185" s="68" t="s">
        <v>217</v>
      </c>
      <c r="C185" s="68" t="s">
        <v>271</v>
      </c>
      <c r="D185" s="68" t="s">
        <v>274</v>
      </c>
      <c r="E185" s="69" t="s">
        <v>258</v>
      </c>
      <c r="F185" s="69" t="s">
        <v>246</v>
      </c>
      <c r="G185" s="68" t="s">
        <v>330</v>
      </c>
      <c r="H185" s="69" t="s">
        <v>310</v>
      </c>
      <c r="I185" s="69" t="s">
        <v>310</v>
      </c>
      <c r="J185" s="69" t="s">
        <v>311</v>
      </c>
      <c r="K185" s="69" t="s">
        <v>312</v>
      </c>
      <c r="L185" s="69" t="s">
        <v>313</v>
      </c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</row>
    <row r="186" spans="1:26" ht="16.5" customHeight="1">
      <c r="A186" s="69" t="s">
        <v>298</v>
      </c>
      <c r="B186" s="68" t="s">
        <v>217</v>
      </c>
      <c r="C186" s="68" t="s">
        <v>271</v>
      </c>
      <c r="D186" s="68" t="s">
        <v>274</v>
      </c>
      <c r="E186" s="69" t="s">
        <v>261</v>
      </c>
      <c r="F186" s="69" t="s">
        <v>250</v>
      </c>
      <c r="G186" s="68" t="s">
        <v>330</v>
      </c>
      <c r="H186" s="68" t="s">
        <v>275</v>
      </c>
      <c r="I186" s="68" t="s">
        <v>275</v>
      </c>
      <c r="J186" s="69" t="s">
        <v>315</v>
      </c>
      <c r="K186" s="69" t="s">
        <v>316</v>
      </c>
      <c r="L186" s="69" t="s">
        <v>317</v>
      </c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</row>
    <row r="187" spans="1:26" ht="16.5" customHeight="1">
      <c r="A187" s="71" t="s">
        <v>298</v>
      </c>
      <c r="B187" s="26" t="s">
        <v>219</v>
      </c>
      <c r="C187" s="26" t="s">
        <v>271</v>
      </c>
      <c r="D187" s="26" t="s">
        <v>274</v>
      </c>
      <c r="E187" s="71" t="s">
        <v>246</v>
      </c>
      <c r="F187" s="71" t="s">
        <v>246</v>
      </c>
      <c r="G187" s="71" t="s">
        <v>299</v>
      </c>
      <c r="H187" s="71" t="s">
        <v>299</v>
      </c>
      <c r="I187" s="71" t="s">
        <v>299</v>
      </c>
      <c r="J187" s="71" t="s">
        <v>300</v>
      </c>
      <c r="K187" s="71" t="s">
        <v>249</v>
      </c>
      <c r="L187" s="71" t="s">
        <v>301</v>
      </c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ht="16.5" customHeight="1">
      <c r="A188" s="71" t="s">
        <v>298</v>
      </c>
      <c r="B188" s="26" t="s">
        <v>219</v>
      </c>
      <c r="C188" s="26" t="s">
        <v>271</v>
      </c>
      <c r="D188" s="26" t="s">
        <v>274</v>
      </c>
      <c r="E188" s="71" t="s">
        <v>250</v>
      </c>
      <c r="F188" s="71" t="s">
        <v>246</v>
      </c>
      <c r="G188" s="71" t="s">
        <v>299</v>
      </c>
      <c r="H188" s="71" t="s">
        <v>299</v>
      </c>
      <c r="I188" s="71" t="s">
        <v>299</v>
      </c>
      <c r="J188" s="71" t="s">
        <v>300</v>
      </c>
      <c r="K188" s="71" t="s">
        <v>249</v>
      </c>
      <c r="L188" s="71" t="s">
        <v>301</v>
      </c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ht="16.5" customHeight="1">
      <c r="A189" s="71" t="s">
        <v>298</v>
      </c>
      <c r="B189" s="26" t="s">
        <v>219</v>
      </c>
      <c r="C189" s="71" t="s">
        <v>271</v>
      </c>
      <c r="D189" s="71" t="s">
        <v>274</v>
      </c>
      <c r="E189" s="71" t="s">
        <v>250</v>
      </c>
      <c r="F189" s="71" t="s">
        <v>246</v>
      </c>
      <c r="G189" s="26" t="s">
        <v>279</v>
      </c>
      <c r="H189" s="71" t="s">
        <v>302</v>
      </c>
      <c r="I189" s="71" t="s">
        <v>302</v>
      </c>
      <c r="J189" s="71" t="s">
        <v>303</v>
      </c>
      <c r="K189" s="71" t="s">
        <v>304</v>
      </c>
      <c r="L189" s="71" t="s">
        <v>305</v>
      </c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ht="16.5" customHeight="1">
      <c r="A190" s="71" t="s">
        <v>298</v>
      </c>
      <c r="B190" s="26" t="s">
        <v>219</v>
      </c>
      <c r="C190" s="71" t="s">
        <v>271</v>
      </c>
      <c r="D190" s="71" t="s">
        <v>274</v>
      </c>
      <c r="E190" s="71" t="s">
        <v>254</v>
      </c>
      <c r="F190" s="71" t="s">
        <v>246</v>
      </c>
      <c r="G190" s="26" t="s">
        <v>254</v>
      </c>
      <c r="H190" s="71" t="s">
        <v>306</v>
      </c>
      <c r="I190" s="71" t="s">
        <v>306</v>
      </c>
      <c r="J190" s="71" t="s">
        <v>322</v>
      </c>
      <c r="K190" s="71" t="s">
        <v>308</v>
      </c>
      <c r="L190" s="71" t="s">
        <v>309</v>
      </c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ht="16.5" customHeight="1">
      <c r="A191" s="71" t="s">
        <v>298</v>
      </c>
      <c r="B191" s="26" t="s">
        <v>219</v>
      </c>
      <c r="C191" s="71" t="s">
        <v>271</v>
      </c>
      <c r="D191" s="26" t="s">
        <v>276</v>
      </c>
      <c r="E191" s="71" t="s">
        <v>258</v>
      </c>
      <c r="F191" s="71" t="s">
        <v>246</v>
      </c>
      <c r="G191" s="26" t="s">
        <v>254</v>
      </c>
      <c r="H191" s="71" t="s">
        <v>310</v>
      </c>
      <c r="I191" s="71" t="s">
        <v>310</v>
      </c>
      <c r="J191" s="71" t="s">
        <v>311</v>
      </c>
      <c r="K191" s="71" t="s">
        <v>312</v>
      </c>
      <c r="L191" s="71" t="s">
        <v>313</v>
      </c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ht="16.5" customHeight="1">
      <c r="A192" s="71" t="s">
        <v>298</v>
      </c>
      <c r="B192" s="26" t="s">
        <v>219</v>
      </c>
      <c r="C192" s="71" t="s">
        <v>271</v>
      </c>
      <c r="D192" s="26" t="s">
        <v>276</v>
      </c>
      <c r="E192" s="71" t="s">
        <v>261</v>
      </c>
      <c r="F192" s="71" t="s">
        <v>250</v>
      </c>
      <c r="G192" s="26" t="s">
        <v>331</v>
      </c>
      <c r="H192" s="26" t="s">
        <v>259</v>
      </c>
      <c r="I192" s="26" t="s">
        <v>259</v>
      </c>
      <c r="J192" s="71" t="s">
        <v>315</v>
      </c>
      <c r="K192" s="71" t="s">
        <v>316</v>
      </c>
      <c r="L192" s="71" t="s">
        <v>317</v>
      </c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ht="16.5" customHeight="1">
      <c r="A193" s="69" t="s">
        <v>298</v>
      </c>
      <c r="B193" s="68" t="s">
        <v>221</v>
      </c>
      <c r="C193" s="69" t="s">
        <v>271</v>
      </c>
      <c r="D193" s="69" t="s">
        <v>274</v>
      </c>
      <c r="E193" s="69" t="s">
        <v>246</v>
      </c>
      <c r="F193" s="69" t="s">
        <v>246</v>
      </c>
      <c r="G193" s="69" t="s">
        <v>299</v>
      </c>
      <c r="H193" s="69" t="s">
        <v>299</v>
      </c>
      <c r="I193" s="69" t="s">
        <v>299</v>
      </c>
      <c r="J193" s="69" t="s">
        <v>300</v>
      </c>
      <c r="K193" s="69" t="s">
        <v>249</v>
      </c>
      <c r="L193" s="69" t="s">
        <v>301</v>
      </c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</row>
    <row r="194" spans="1:26" ht="16.5" customHeight="1">
      <c r="A194" s="69" t="s">
        <v>298</v>
      </c>
      <c r="B194" s="68" t="s">
        <v>221</v>
      </c>
      <c r="C194" s="69" t="s">
        <v>271</v>
      </c>
      <c r="D194" s="69" t="s">
        <v>274</v>
      </c>
      <c r="E194" s="69" t="s">
        <v>250</v>
      </c>
      <c r="F194" s="69" t="s">
        <v>246</v>
      </c>
      <c r="G194" s="69" t="s">
        <v>299</v>
      </c>
      <c r="H194" s="69" t="s">
        <v>299</v>
      </c>
      <c r="I194" s="69" t="s">
        <v>299</v>
      </c>
      <c r="J194" s="69" t="s">
        <v>300</v>
      </c>
      <c r="K194" s="69" t="s">
        <v>249</v>
      </c>
      <c r="L194" s="69" t="s">
        <v>301</v>
      </c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</row>
    <row r="195" spans="1:26" ht="16.5" customHeight="1">
      <c r="A195" s="69" t="s">
        <v>298</v>
      </c>
      <c r="B195" s="68" t="s">
        <v>221</v>
      </c>
      <c r="C195" s="68" t="s">
        <v>274</v>
      </c>
      <c r="D195" s="68" t="s">
        <v>276</v>
      </c>
      <c r="E195" s="69" t="s">
        <v>250</v>
      </c>
      <c r="F195" s="69" t="s">
        <v>246</v>
      </c>
      <c r="G195" s="68" t="s">
        <v>332</v>
      </c>
      <c r="H195" s="69" t="s">
        <v>302</v>
      </c>
      <c r="I195" s="69" t="s">
        <v>302</v>
      </c>
      <c r="J195" s="69" t="s">
        <v>303</v>
      </c>
      <c r="K195" s="69" t="s">
        <v>304</v>
      </c>
      <c r="L195" s="69" t="s">
        <v>305</v>
      </c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</row>
    <row r="196" spans="1:26" ht="16.5" customHeight="1">
      <c r="A196" s="69" t="s">
        <v>298</v>
      </c>
      <c r="B196" s="68" t="s">
        <v>221</v>
      </c>
      <c r="C196" s="68" t="s">
        <v>274</v>
      </c>
      <c r="D196" s="68" t="s">
        <v>276</v>
      </c>
      <c r="E196" s="69" t="s">
        <v>254</v>
      </c>
      <c r="F196" s="69" t="s">
        <v>246</v>
      </c>
      <c r="G196" s="68" t="s">
        <v>332</v>
      </c>
      <c r="H196" s="68" t="s">
        <v>277</v>
      </c>
      <c r="I196" s="68" t="s">
        <v>277</v>
      </c>
      <c r="J196" s="69" t="s">
        <v>322</v>
      </c>
      <c r="K196" s="69" t="s">
        <v>308</v>
      </c>
      <c r="L196" s="69" t="s">
        <v>309</v>
      </c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</row>
    <row r="197" spans="1:26" ht="16.5" customHeight="1">
      <c r="A197" s="69" t="s">
        <v>298</v>
      </c>
      <c r="B197" s="68" t="s">
        <v>221</v>
      </c>
      <c r="C197" s="68" t="s">
        <v>274</v>
      </c>
      <c r="D197" s="69" t="s">
        <v>276</v>
      </c>
      <c r="E197" s="69" t="s">
        <v>258</v>
      </c>
      <c r="F197" s="69" t="s">
        <v>246</v>
      </c>
      <c r="G197" s="68" t="s">
        <v>309</v>
      </c>
      <c r="H197" s="68" t="s">
        <v>261</v>
      </c>
      <c r="I197" s="68" t="s">
        <v>261</v>
      </c>
      <c r="J197" s="69" t="s">
        <v>311</v>
      </c>
      <c r="K197" s="69" t="s">
        <v>312</v>
      </c>
      <c r="L197" s="69" t="s">
        <v>313</v>
      </c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</row>
    <row r="198" spans="1:26" ht="16.5" customHeight="1">
      <c r="A198" s="71" t="s">
        <v>298</v>
      </c>
      <c r="B198" s="26" t="s">
        <v>76</v>
      </c>
      <c r="C198" s="26" t="s">
        <v>274</v>
      </c>
      <c r="D198" s="26" t="s">
        <v>276</v>
      </c>
      <c r="E198" s="71" t="s">
        <v>246</v>
      </c>
      <c r="F198" s="71" t="s">
        <v>246</v>
      </c>
      <c r="G198" s="71" t="s">
        <v>299</v>
      </c>
      <c r="H198" s="71" t="s">
        <v>299</v>
      </c>
      <c r="I198" s="71" t="s">
        <v>299</v>
      </c>
      <c r="J198" s="71" t="s">
        <v>300</v>
      </c>
      <c r="K198" s="71" t="s">
        <v>249</v>
      </c>
      <c r="L198" s="71" t="s">
        <v>301</v>
      </c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ht="16.5" customHeight="1">
      <c r="A199" s="71" t="s">
        <v>298</v>
      </c>
      <c r="B199" s="26" t="s">
        <v>76</v>
      </c>
      <c r="C199" s="26" t="s">
        <v>274</v>
      </c>
      <c r="D199" s="26" t="s">
        <v>276</v>
      </c>
      <c r="E199" s="71" t="s">
        <v>250</v>
      </c>
      <c r="F199" s="71" t="s">
        <v>246</v>
      </c>
      <c r="G199" s="71" t="s">
        <v>299</v>
      </c>
      <c r="H199" s="71" t="s">
        <v>299</v>
      </c>
      <c r="I199" s="71" t="s">
        <v>299</v>
      </c>
      <c r="J199" s="71" t="s">
        <v>300</v>
      </c>
      <c r="K199" s="71" t="s">
        <v>249</v>
      </c>
      <c r="L199" s="71" t="s">
        <v>301</v>
      </c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ht="16.5" customHeight="1">
      <c r="A200" s="71" t="s">
        <v>298</v>
      </c>
      <c r="B200" s="26" t="s">
        <v>76</v>
      </c>
      <c r="C200" s="71" t="s">
        <v>274</v>
      </c>
      <c r="D200" s="71" t="s">
        <v>276</v>
      </c>
      <c r="E200" s="71" t="s">
        <v>250</v>
      </c>
      <c r="F200" s="71" t="s">
        <v>246</v>
      </c>
      <c r="G200" s="26" t="s">
        <v>279</v>
      </c>
      <c r="H200" s="71" t="s">
        <v>302</v>
      </c>
      <c r="I200" s="71" t="s">
        <v>302</v>
      </c>
      <c r="J200" s="71" t="s">
        <v>303</v>
      </c>
      <c r="K200" s="71" t="s">
        <v>304</v>
      </c>
      <c r="L200" s="71" t="s">
        <v>305</v>
      </c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ht="16.5" customHeight="1">
      <c r="A201" s="71" t="s">
        <v>298</v>
      </c>
      <c r="B201" s="26" t="s">
        <v>76</v>
      </c>
      <c r="C201" s="71" t="s">
        <v>274</v>
      </c>
      <c r="D201" s="71" t="s">
        <v>276</v>
      </c>
      <c r="E201" s="71" t="s">
        <v>254</v>
      </c>
      <c r="F201" s="71" t="s">
        <v>246</v>
      </c>
      <c r="G201" s="26" t="s">
        <v>254</v>
      </c>
      <c r="H201" s="71" t="s">
        <v>277</v>
      </c>
      <c r="I201" s="71" t="s">
        <v>277</v>
      </c>
      <c r="J201" s="71" t="s">
        <v>322</v>
      </c>
      <c r="K201" s="71" t="s">
        <v>308</v>
      </c>
      <c r="L201" s="71" t="s">
        <v>309</v>
      </c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ht="16.5" customHeight="1">
      <c r="A202" s="69" t="s">
        <v>298</v>
      </c>
      <c r="B202" s="68" t="s">
        <v>224</v>
      </c>
      <c r="C202" s="69" t="s">
        <v>274</v>
      </c>
      <c r="D202" s="69" t="s">
        <v>276</v>
      </c>
      <c r="E202" s="69" t="s">
        <v>246</v>
      </c>
      <c r="F202" s="69" t="s">
        <v>246</v>
      </c>
      <c r="G202" s="69" t="s">
        <v>299</v>
      </c>
      <c r="H202" s="69" t="s">
        <v>299</v>
      </c>
      <c r="I202" s="69" t="s">
        <v>299</v>
      </c>
      <c r="J202" s="69" t="s">
        <v>300</v>
      </c>
      <c r="K202" s="69" t="s">
        <v>249</v>
      </c>
      <c r="L202" s="69" t="s">
        <v>301</v>
      </c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</row>
    <row r="203" spans="1:26" ht="16.5" customHeight="1">
      <c r="A203" s="69" t="s">
        <v>298</v>
      </c>
      <c r="B203" s="68" t="s">
        <v>224</v>
      </c>
      <c r="C203" s="69" t="s">
        <v>274</v>
      </c>
      <c r="D203" s="69" t="s">
        <v>276</v>
      </c>
      <c r="E203" s="69" t="s">
        <v>250</v>
      </c>
      <c r="F203" s="69" t="s">
        <v>246</v>
      </c>
      <c r="G203" s="69" t="s">
        <v>299</v>
      </c>
      <c r="H203" s="69" t="s">
        <v>299</v>
      </c>
      <c r="I203" s="69" t="s">
        <v>299</v>
      </c>
      <c r="J203" s="69" t="s">
        <v>300</v>
      </c>
      <c r="K203" s="69" t="s">
        <v>249</v>
      </c>
      <c r="L203" s="69" t="s">
        <v>301</v>
      </c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</row>
    <row r="204" spans="1:26" ht="16.5" customHeight="1">
      <c r="A204" s="69" t="s">
        <v>298</v>
      </c>
      <c r="B204" s="68" t="s">
        <v>224</v>
      </c>
      <c r="C204" s="69" t="s">
        <v>274</v>
      </c>
      <c r="D204" s="69" t="s">
        <v>276</v>
      </c>
      <c r="E204" s="69" t="s">
        <v>250</v>
      </c>
      <c r="F204" s="69" t="s">
        <v>246</v>
      </c>
      <c r="G204" s="68" t="s">
        <v>333</v>
      </c>
      <c r="H204" s="69" t="s">
        <v>302</v>
      </c>
      <c r="I204" s="69" t="s">
        <v>302</v>
      </c>
      <c r="J204" s="69" t="s">
        <v>303</v>
      </c>
      <c r="K204" s="69" t="s">
        <v>304</v>
      </c>
      <c r="L204" s="69" t="s">
        <v>305</v>
      </c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</row>
    <row r="205" spans="1:26" ht="16.5" customHeight="1">
      <c r="A205" s="69" t="s">
        <v>298</v>
      </c>
      <c r="B205" s="68" t="s">
        <v>224</v>
      </c>
      <c r="C205" s="69" t="s">
        <v>274</v>
      </c>
      <c r="D205" s="69" t="s">
        <v>276</v>
      </c>
      <c r="E205" s="69" t="s">
        <v>254</v>
      </c>
      <c r="F205" s="69" t="s">
        <v>246</v>
      </c>
      <c r="G205" s="68" t="s">
        <v>328</v>
      </c>
      <c r="H205" s="69" t="s">
        <v>277</v>
      </c>
      <c r="I205" s="69" t="s">
        <v>277</v>
      </c>
      <c r="J205" s="69" t="s">
        <v>322</v>
      </c>
      <c r="K205" s="69" t="s">
        <v>308</v>
      </c>
      <c r="L205" s="69" t="s">
        <v>309</v>
      </c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</row>
    <row r="206" spans="1:26" ht="16.5" customHeight="1">
      <c r="A206" s="71" t="s">
        <v>298</v>
      </c>
      <c r="B206" s="26" t="s">
        <v>225</v>
      </c>
      <c r="C206" s="71" t="s">
        <v>274</v>
      </c>
      <c r="D206" s="71" t="s">
        <v>276</v>
      </c>
      <c r="E206" s="71" t="s">
        <v>246</v>
      </c>
      <c r="F206" s="71" t="s">
        <v>246</v>
      </c>
      <c r="G206" s="26" t="s">
        <v>334</v>
      </c>
      <c r="H206" s="71" t="s">
        <v>299</v>
      </c>
      <c r="I206" s="71" t="s">
        <v>299</v>
      </c>
      <c r="J206" s="71" t="s">
        <v>300</v>
      </c>
      <c r="K206" s="71" t="s">
        <v>249</v>
      </c>
      <c r="L206" s="71" t="s">
        <v>301</v>
      </c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ht="16.5" customHeight="1">
      <c r="A207" s="71" t="s">
        <v>298</v>
      </c>
      <c r="B207" s="26" t="s">
        <v>225</v>
      </c>
      <c r="C207" s="71" t="s">
        <v>274</v>
      </c>
      <c r="D207" s="71" t="s">
        <v>276</v>
      </c>
      <c r="E207" s="71" t="s">
        <v>250</v>
      </c>
      <c r="F207" s="71" t="s">
        <v>246</v>
      </c>
      <c r="G207" s="26" t="s">
        <v>334</v>
      </c>
      <c r="H207" s="71" t="s">
        <v>299</v>
      </c>
      <c r="I207" s="71" t="s">
        <v>299</v>
      </c>
      <c r="J207" s="71" t="s">
        <v>300</v>
      </c>
      <c r="K207" s="71" t="s">
        <v>249</v>
      </c>
      <c r="L207" s="71" t="s">
        <v>301</v>
      </c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ht="16.5" customHeight="1">
      <c r="A208" s="71" t="s">
        <v>298</v>
      </c>
      <c r="B208" s="26" t="s">
        <v>225</v>
      </c>
      <c r="C208" s="71" t="s">
        <v>274</v>
      </c>
      <c r="D208" s="71" t="s">
        <v>276</v>
      </c>
      <c r="E208" s="71" t="s">
        <v>250</v>
      </c>
      <c r="F208" s="71" t="s">
        <v>246</v>
      </c>
      <c r="G208" s="26" t="s">
        <v>250</v>
      </c>
      <c r="H208" s="26" t="s">
        <v>279</v>
      </c>
      <c r="I208" s="26" t="s">
        <v>279</v>
      </c>
      <c r="J208" s="71" t="s">
        <v>303</v>
      </c>
      <c r="K208" s="71" t="s">
        <v>304</v>
      </c>
      <c r="L208" s="71" t="s">
        <v>305</v>
      </c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ht="16.5" customHeight="1">
      <c r="A209" s="71" t="s">
        <v>298</v>
      </c>
      <c r="B209" s="26" t="s">
        <v>225</v>
      </c>
      <c r="C209" s="71" t="s">
        <v>274</v>
      </c>
      <c r="D209" s="71" t="s">
        <v>276</v>
      </c>
      <c r="E209" s="71" t="s">
        <v>254</v>
      </c>
      <c r="F209" s="71" t="s">
        <v>246</v>
      </c>
      <c r="G209" s="26" t="s">
        <v>335</v>
      </c>
      <c r="H209" s="71" t="s">
        <v>277</v>
      </c>
      <c r="I209" s="71" t="s">
        <v>277</v>
      </c>
      <c r="J209" s="71" t="s">
        <v>322</v>
      </c>
      <c r="K209" s="71" t="s">
        <v>308</v>
      </c>
      <c r="L209" s="71" t="s">
        <v>309</v>
      </c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ht="16.5" customHeight="1">
      <c r="A210" s="69" t="s">
        <v>298</v>
      </c>
      <c r="B210" s="68" t="s">
        <v>226</v>
      </c>
      <c r="C210" s="68" t="s">
        <v>276</v>
      </c>
      <c r="D210" s="68" t="s">
        <v>22</v>
      </c>
      <c r="E210" s="69" t="s">
        <v>246</v>
      </c>
      <c r="F210" s="69" t="s">
        <v>246</v>
      </c>
      <c r="G210" s="68" t="s">
        <v>280</v>
      </c>
      <c r="H210" s="68" t="s">
        <v>280</v>
      </c>
      <c r="I210" s="68" t="s">
        <v>280</v>
      </c>
      <c r="J210" s="68" t="s">
        <v>280</v>
      </c>
      <c r="K210" s="69" t="s">
        <v>249</v>
      </c>
      <c r="L210" s="69" t="s">
        <v>301</v>
      </c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</row>
    <row r="211" spans="1:26" ht="16.5" customHeight="1">
      <c r="A211" s="69" t="s">
        <v>298</v>
      </c>
      <c r="B211" s="68" t="s">
        <v>226</v>
      </c>
      <c r="C211" s="68" t="s">
        <v>276</v>
      </c>
      <c r="D211" s="68" t="s">
        <v>22</v>
      </c>
      <c r="E211" s="69" t="s">
        <v>250</v>
      </c>
      <c r="F211" s="69" t="s">
        <v>246</v>
      </c>
      <c r="G211" s="68" t="s">
        <v>280</v>
      </c>
      <c r="H211" s="68" t="s">
        <v>280</v>
      </c>
      <c r="I211" s="68" t="s">
        <v>280</v>
      </c>
      <c r="J211" s="68" t="s">
        <v>280</v>
      </c>
      <c r="K211" s="69" t="s">
        <v>249</v>
      </c>
      <c r="L211" s="69" t="s">
        <v>301</v>
      </c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</row>
    <row r="212" spans="1:26" ht="16.5" customHeight="1">
      <c r="A212" s="69" t="s">
        <v>298</v>
      </c>
      <c r="B212" s="68" t="s">
        <v>226</v>
      </c>
      <c r="C212" s="68" t="s">
        <v>276</v>
      </c>
      <c r="D212" s="68" t="s">
        <v>22</v>
      </c>
      <c r="E212" s="69" t="s">
        <v>250</v>
      </c>
      <c r="F212" s="69" t="s">
        <v>246</v>
      </c>
      <c r="G212" s="68" t="s">
        <v>336</v>
      </c>
      <c r="H212" s="68" t="s">
        <v>250</v>
      </c>
      <c r="I212" s="68" t="s">
        <v>250</v>
      </c>
      <c r="J212" s="68" t="s">
        <v>250</v>
      </c>
      <c r="K212" s="68" t="s">
        <v>250</v>
      </c>
      <c r="L212" s="69" t="s">
        <v>305</v>
      </c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</row>
    <row r="213" spans="1:26" ht="16.5" customHeight="1">
      <c r="A213" s="69" t="s">
        <v>298</v>
      </c>
      <c r="B213" s="68" t="s">
        <v>226</v>
      </c>
      <c r="C213" s="68" t="s">
        <v>276</v>
      </c>
      <c r="D213" s="68" t="s">
        <v>22</v>
      </c>
      <c r="E213" s="69" t="s">
        <v>254</v>
      </c>
      <c r="F213" s="69" t="s">
        <v>246</v>
      </c>
      <c r="G213" s="68" t="s">
        <v>250</v>
      </c>
      <c r="H213" s="68" t="s">
        <v>254</v>
      </c>
      <c r="I213" s="68" t="s">
        <v>254</v>
      </c>
      <c r="J213" s="68" t="s">
        <v>254</v>
      </c>
      <c r="K213" s="68" t="s">
        <v>254</v>
      </c>
      <c r="L213" s="68" t="s">
        <v>254</v>
      </c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</row>
    <row r="214" spans="1:26" ht="16.5" customHeight="1">
      <c r="A214" s="71" t="s">
        <v>298</v>
      </c>
      <c r="B214" s="26" t="s">
        <v>228</v>
      </c>
      <c r="C214" s="71" t="s">
        <v>276</v>
      </c>
      <c r="D214" s="71" t="s">
        <v>22</v>
      </c>
      <c r="E214" s="71" t="s">
        <v>246</v>
      </c>
      <c r="F214" s="71" t="s">
        <v>246</v>
      </c>
      <c r="G214" s="26" t="s">
        <v>337</v>
      </c>
      <c r="H214" s="26" t="s">
        <v>281</v>
      </c>
      <c r="I214" s="26" t="s">
        <v>281</v>
      </c>
      <c r="J214" s="26" t="s">
        <v>281</v>
      </c>
      <c r="K214" s="71" t="s">
        <v>249</v>
      </c>
      <c r="L214" s="71" t="s">
        <v>301</v>
      </c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ht="16.5" customHeight="1">
      <c r="A215" s="71" t="s">
        <v>298</v>
      </c>
      <c r="B215" s="26" t="s">
        <v>228</v>
      </c>
      <c r="C215" s="71" t="s">
        <v>276</v>
      </c>
      <c r="D215" s="71" t="s">
        <v>22</v>
      </c>
      <c r="E215" s="71" t="s">
        <v>250</v>
      </c>
      <c r="F215" s="71" t="s">
        <v>246</v>
      </c>
      <c r="G215" s="26" t="s">
        <v>337</v>
      </c>
      <c r="H215" s="26" t="s">
        <v>281</v>
      </c>
      <c r="I215" s="26" t="s">
        <v>281</v>
      </c>
      <c r="J215" s="26" t="s">
        <v>281</v>
      </c>
      <c r="K215" s="71" t="s">
        <v>249</v>
      </c>
      <c r="L215" s="71" t="s">
        <v>301</v>
      </c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ht="16.5" customHeight="1">
      <c r="A216" s="71" t="s">
        <v>298</v>
      </c>
      <c r="B216" s="26" t="s">
        <v>228</v>
      </c>
      <c r="C216" s="71" t="s">
        <v>276</v>
      </c>
      <c r="D216" s="26" t="s">
        <v>282</v>
      </c>
      <c r="E216" s="71" t="s">
        <v>250</v>
      </c>
      <c r="F216" s="71" t="s">
        <v>246</v>
      </c>
      <c r="G216" s="26" t="s">
        <v>246</v>
      </c>
      <c r="H216" s="26" t="s">
        <v>283</v>
      </c>
      <c r="I216" s="26" t="s">
        <v>283</v>
      </c>
      <c r="J216" s="26" t="s">
        <v>283</v>
      </c>
      <c r="K216" s="26" t="s">
        <v>283</v>
      </c>
      <c r="L216" s="26" t="s">
        <v>283</v>
      </c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ht="16.5" customHeight="1">
      <c r="A217" s="71" t="s">
        <v>298</v>
      </c>
      <c r="B217" s="26" t="s">
        <v>228</v>
      </c>
      <c r="C217" s="71" t="s">
        <v>276</v>
      </c>
      <c r="D217" s="26" t="s">
        <v>282</v>
      </c>
      <c r="E217" s="71" t="s">
        <v>254</v>
      </c>
      <c r="F217" s="71" t="s">
        <v>246</v>
      </c>
      <c r="G217" s="26" t="s">
        <v>338</v>
      </c>
      <c r="H217" s="26" t="s">
        <v>250</v>
      </c>
      <c r="I217" s="26" t="s">
        <v>250</v>
      </c>
      <c r="J217" s="26" t="s">
        <v>250</v>
      </c>
      <c r="K217" s="26" t="s">
        <v>250</v>
      </c>
      <c r="L217" s="26" t="s">
        <v>250</v>
      </c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ht="16.5" customHeight="1">
      <c r="A218" s="69" t="s">
        <v>298</v>
      </c>
      <c r="B218" s="68" t="s">
        <v>88</v>
      </c>
      <c r="C218" s="68" t="s">
        <v>22</v>
      </c>
      <c r="D218" s="68" t="s">
        <v>282</v>
      </c>
      <c r="E218" s="69" t="s">
        <v>246</v>
      </c>
      <c r="F218" s="69" t="s">
        <v>246</v>
      </c>
      <c r="G218" s="68" t="s">
        <v>339</v>
      </c>
      <c r="H218" s="68" t="s">
        <v>284</v>
      </c>
      <c r="I218" s="68" t="s">
        <v>284</v>
      </c>
      <c r="J218" s="68" t="s">
        <v>284</v>
      </c>
      <c r="K218" s="68" t="s">
        <v>284</v>
      </c>
      <c r="L218" s="69" t="s">
        <v>301</v>
      </c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</row>
    <row r="219" spans="1:26" ht="16.5" customHeight="1">
      <c r="A219" s="69" t="s">
        <v>298</v>
      </c>
      <c r="B219" s="68" t="s">
        <v>88</v>
      </c>
      <c r="C219" s="68" t="s">
        <v>22</v>
      </c>
      <c r="D219" s="68" t="s">
        <v>282</v>
      </c>
      <c r="E219" s="69" t="s">
        <v>250</v>
      </c>
      <c r="F219" s="69" t="s">
        <v>246</v>
      </c>
      <c r="G219" s="68" t="s">
        <v>339</v>
      </c>
      <c r="H219" s="68" t="s">
        <v>284</v>
      </c>
      <c r="I219" s="68" t="s">
        <v>284</v>
      </c>
      <c r="J219" s="68" t="s">
        <v>284</v>
      </c>
      <c r="K219" s="68" t="s">
        <v>284</v>
      </c>
      <c r="L219" s="69" t="s">
        <v>301</v>
      </c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</row>
    <row r="220" spans="1:26" ht="16.5" customHeight="1">
      <c r="A220" s="69" t="s">
        <v>298</v>
      </c>
      <c r="B220" s="68" t="s">
        <v>88</v>
      </c>
      <c r="C220" s="68" t="s">
        <v>22</v>
      </c>
      <c r="D220" s="69" t="s">
        <v>282</v>
      </c>
      <c r="E220" s="69" t="s">
        <v>250</v>
      </c>
      <c r="F220" s="69" t="s">
        <v>246</v>
      </c>
      <c r="G220" s="68" t="s">
        <v>284</v>
      </c>
      <c r="H220" s="68" t="s">
        <v>285</v>
      </c>
      <c r="I220" s="68" t="s">
        <v>285</v>
      </c>
      <c r="J220" s="68" t="s">
        <v>285</v>
      </c>
      <c r="K220" s="68" t="s">
        <v>285</v>
      </c>
      <c r="L220" s="68" t="s">
        <v>285</v>
      </c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</row>
    <row r="221" spans="1:26" ht="16.5" customHeight="1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</row>
    <row r="222" spans="1:26" ht="16.5" customHeight="1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</row>
    <row r="223" spans="1:26" ht="16.5" customHeight="1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</row>
    <row r="224" spans="1:26" ht="16.5" customHeight="1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</row>
    <row r="225" spans="1:26" ht="16.5" customHeight="1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</row>
    <row r="226" spans="1:26" ht="16.5" customHeight="1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</row>
    <row r="227" spans="1:26" ht="16.5" customHeight="1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</row>
    <row r="228" spans="1:26" ht="16.5" customHeight="1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</row>
    <row r="229" spans="1:26" ht="16.5" customHeight="1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</row>
    <row r="230" spans="1:26" ht="16.5" customHeight="1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</row>
    <row r="231" spans="1:26" ht="16.5" customHeight="1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</row>
    <row r="232" spans="1:26" ht="16.5" customHeight="1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</row>
    <row r="233" spans="1:26" ht="16.5" customHeight="1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</row>
    <row r="234" spans="1:26" ht="16.5" customHeight="1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</row>
    <row r="235" spans="1:26" ht="16.5" customHeight="1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</row>
    <row r="236" spans="1:26" ht="16.5" customHeight="1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</row>
    <row r="237" spans="1:26" ht="16.5" customHeight="1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</row>
    <row r="238" spans="1:26" ht="16.5" customHeight="1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</row>
    <row r="239" spans="1:26" ht="16.5" customHeight="1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</row>
    <row r="240" spans="1:26" ht="16.5" customHeight="1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</row>
    <row r="241" spans="1:26" ht="16.5" customHeight="1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</row>
    <row r="242" spans="1:26" ht="16.5" customHeight="1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</row>
    <row r="243" spans="1:26" ht="16.5" customHeight="1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</row>
    <row r="244" spans="1:26" ht="16.5" customHeight="1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</row>
    <row r="245" spans="1:26" ht="16.5" customHeight="1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</row>
    <row r="246" spans="1:26" ht="16.5" customHeight="1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</row>
    <row r="247" spans="1:26" ht="16.5" customHeight="1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</row>
    <row r="248" spans="1:26" ht="16.5" customHeight="1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</row>
    <row r="249" spans="1:26" ht="16.5" customHeight="1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</row>
    <row r="250" spans="1:26" ht="16.5" customHeight="1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</row>
    <row r="251" spans="1:26" ht="16.5" customHeight="1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</row>
    <row r="252" spans="1:26" ht="16.5" customHeight="1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</row>
    <row r="253" spans="1:26" ht="16.5" customHeight="1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</row>
    <row r="254" spans="1:26" ht="16.5" customHeight="1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</row>
    <row r="255" spans="1:26" ht="16.5" customHeight="1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</row>
    <row r="256" spans="1:26" ht="16.5" customHeight="1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</row>
    <row r="257" spans="1:26" ht="16.5" customHeight="1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</row>
    <row r="258" spans="1:26" ht="16.5" customHeight="1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</row>
    <row r="259" spans="1:26" ht="16.5" customHeight="1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</row>
    <row r="260" spans="1:26" ht="16.5" customHeight="1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</row>
    <row r="261" spans="1:26" ht="16.5" customHeight="1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</row>
    <row r="262" spans="1:26" ht="16.5" customHeight="1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</row>
    <row r="263" spans="1:26" ht="16.5" customHeight="1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</row>
    <row r="264" spans="1:26" ht="16.5" customHeight="1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</row>
    <row r="265" spans="1:26" ht="16.5" customHeight="1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</row>
    <row r="266" spans="1:26" ht="16.5" customHeight="1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</row>
    <row r="267" spans="1:26" ht="16.5" customHeight="1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</row>
    <row r="268" spans="1:26" ht="16.5" customHeight="1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</row>
    <row r="269" spans="1:26" ht="16.5" customHeight="1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</row>
    <row r="270" spans="1:26" ht="16.5" customHeight="1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</row>
    <row r="271" spans="1:26" ht="16.5" customHeight="1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</row>
    <row r="272" spans="1:26" ht="16.5" customHeight="1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</row>
    <row r="273" spans="1:26" ht="16.5" customHeight="1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</row>
    <row r="274" spans="1:26" ht="16.5" customHeight="1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</row>
    <row r="275" spans="1:26" ht="16.5" customHeight="1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</row>
    <row r="276" spans="1:26" ht="16.5" customHeight="1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</row>
    <row r="277" spans="1:26" ht="16.5" customHeight="1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</row>
    <row r="278" spans="1:26" ht="16.5" customHeight="1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</row>
    <row r="279" spans="1:26" ht="16.5" customHeight="1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</row>
    <row r="280" spans="1:26" ht="16.5" customHeight="1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</row>
    <row r="281" spans="1:26" ht="16.5" customHeight="1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</row>
    <row r="282" spans="1:26" ht="16.5" customHeight="1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</row>
    <row r="283" spans="1:26" ht="16.5" customHeight="1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</row>
    <row r="284" spans="1:26" ht="16.5" customHeight="1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</row>
    <row r="285" spans="1:26" ht="16.5" customHeight="1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</row>
    <row r="286" spans="1:26" ht="16.5" customHeight="1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</row>
    <row r="287" spans="1:26" ht="16.5" customHeight="1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</row>
    <row r="288" spans="1:26" ht="16.5" customHeight="1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</row>
    <row r="289" spans="1:26" ht="16.5" customHeight="1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</row>
    <row r="290" spans="1:26" ht="16.5" customHeight="1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</row>
    <row r="291" spans="1:26" ht="16.5" customHeight="1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</row>
    <row r="292" spans="1:26" ht="16.5" customHeight="1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</row>
    <row r="293" spans="1:26" ht="16.5" customHeight="1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</row>
    <row r="294" spans="1:26" ht="16.5" customHeight="1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</row>
    <row r="295" spans="1:26" ht="16.5" customHeight="1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</row>
    <row r="296" spans="1:26" ht="16.5" customHeight="1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</row>
    <row r="297" spans="1:26" ht="16.5" customHeight="1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</row>
    <row r="298" spans="1:26" ht="16.5" customHeight="1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</row>
    <row r="299" spans="1:26" ht="16.5" customHeight="1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</row>
    <row r="300" spans="1:26" ht="16.5" customHeight="1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</row>
    <row r="301" spans="1:26" ht="16.5" customHeight="1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</row>
    <row r="302" spans="1:26" ht="16.5" customHeight="1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</row>
    <row r="303" spans="1:26" ht="16.5" customHeight="1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</row>
    <row r="304" spans="1:26" ht="16.5" customHeight="1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</row>
    <row r="305" spans="1:26" ht="16.5" customHeight="1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</row>
    <row r="306" spans="1:26" ht="16.5" customHeight="1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</row>
    <row r="307" spans="1:26" ht="16.5" customHeight="1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</row>
    <row r="308" spans="1:26" ht="16.5" customHeight="1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</row>
    <row r="309" spans="1:26" ht="16.5" customHeight="1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</row>
    <row r="310" spans="1:26" ht="16.5" customHeight="1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</row>
    <row r="311" spans="1:26" ht="16.5" customHeight="1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</row>
    <row r="312" spans="1:26" ht="16.5" customHeight="1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</row>
    <row r="313" spans="1:26" ht="16.5" customHeight="1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</row>
    <row r="314" spans="1:26" ht="16.5" customHeight="1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</row>
    <row r="315" spans="1:26" ht="16.5" customHeight="1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</row>
    <row r="316" spans="1:26" ht="16.5" customHeight="1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</row>
    <row r="317" spans="1:26" ht="16.5" customHeight="1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</row>
    <row r="318" spans="1:26" ht="16.5" customHeight="1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</row>
    <row r="319" spans="1:26" ht="16.5" customHeight="1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</row>
    <row r="320" spans="1:26" ht="16.5" customHeight="1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</row>
    <row r="321" spans="1:26" ht="16.5" customHeight="1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</row>
    <row r="322" spans="1:26" ht="16.5" customHeight="1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</row>
    <row r="323" spans="1:26" ht="16.5" customHeight="1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</row>
    <row r="324" spans="1:26" ht="16.5" customHeight="1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</row>
    <row r="325" spans="1:26" ht="16.5" customHeight="1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</row>
    <row r="326" spans="1:26" ht="16.5" customHeight="1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</row>
    <row r="327" spans="1:26" ht="16.5" customHeight="1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</row>
    <row r="328" spans="1:26" ht="16.5" customHeight="1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</row>
    <row r="329" spans="1:26" ht="16.5" customHeight="1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</row>
    <row r="330" spans="1:26" ht="16.5" customHeight="1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</row>
    <row r="331" spans="1:26" ht="16.5" customHeight="1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</row>
    <row r="332" spans="1:26" ht="16.5" customHeight="1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</row>
    <row r="333" spans="1:26" ht="16.5" customHeight="1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</row>
    <row r="334" spans="1:26" ht="16.5" customHeight="1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</row>
    <row r="335" spans="1:26" ht="16.5" customHeight="1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</row>
    <row r="336" spans="1:26" ht="16.5" customHeight="1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</row>
    <row r="337" spans="1:26" ht="16.5" customHeight="1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</row>
    <row r="338" spans="1:26" ht="16.5" customHeight="1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</row>
    <row r="339" spans="1:26" ht="16.5" customHeight="1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</row>
    <row r="340" spans="1:26" ht="16.5" customHeight="1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</row>
    <row r="341" spans="1:26" ht="16.5" customHeight="1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</row>
    <row r="342" spans="1:26" ht="16.5" customHeight="1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</row>
    <row r="343" spans="1:26" ht="16.5" customHeight="1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</row>
    <row r="344" spans="1:26" ht="16.5" customHeight="1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</row>
    <row r="345" spans="1:26" ht="16.5" customHeight="1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</row>
    <row r="346" spans="1:26" ht="16.5" customHeight="1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</row>
    <row r="347" spans="1:26" ht="16.5" customHeight="1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</row>
    <row r="348" spans="1:26" ht="16.5" customHeight="1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</row>
    <row r="349" spans="1:26" ht="16.5" customHeight="1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</row>
    <row r="350" spans="1:26" ht="16.5" customHeight="1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</row>
    <row r="351" spans="1:26" ht="16.5" customHeight="1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</row>
    <row r="352" spans="1:26" ht="16.5" customHeight="1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</row>
    <row r="353" spans="1:26" ht="16.5" customHeight="1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</row>
    <row r="354" spans="1:26" ht="16.5" customHeight="1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</row>
    <row r="355" spans="1:26" ht="16.5" customHeight="1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</row>
    <row r="356" spans="1:26" ht="16.5" customHeight="1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</row>
    <row r="357" spans="1:26" ht="16.5" customHeight="1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</row>
    <row r="358" spans="1:26" ht="16.5" customHeight="1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</row>
    <row r="359" spans="1:26" ht="16.5" customHeight="1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</row>
    <row r="360" spans="1:26" ht="16.5" customHeight="1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</row>
    <row r="361" spans="1:26" ht="16.5" customHeight="1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</row>
    <row r="362" spans="1:26" ht="16.5" customHeight="1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</row>
    <row r="363" spans="1:26" ht="16.5" customHeight="1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</row>
    <row r="364" spans="1:26" ht="16.5" customHeight="1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</row>
    <row r="365" spans="1:26" ht="16.5" customHeight="1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</row>
    <row r="366" spans="1:26" ht="16.5" customHeight="1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</row>
    <row r="367" spans="1:26" ht="16.5" customHeight="1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</row>
    <row r="368" spans="1:26" ht="16.5" customHeight="1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</row>
    <row r="369" spans="1:26" ht="16.5" customHeight="1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</row>
    <row r="370" spans="1:26" ht="16.5" customHeight="1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</row>
    <row r="371" spans="1:26" ht="16.5" customHeight="1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</row>
    <row r="372" spans="1:26" ht="16.5" customHeight="1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</row>
    <row r="373" spans="1:26" ht="16.5" customHeight="1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</row>
    <row r="374" spans="1:26" ht="16.5" customHeight="1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</row>
    <row r="375" spans="1:26" ht="16.5" customHeight="1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</row>
    <row r="376" spans="1:26" ht="16.5" customHeight="1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</row>
    <row r="377" spans="1:26" ht="16.5" customHeight="1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</row>
    <row r="378" spans="1:26" ht="16.5" customHeight="1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</row>
    <row r="379" spans="1:26" ht="16.5" customHeight="1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</row>
    <row r="380" spans="1:26" ht="16.5" customHeight="1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</row>
    <row r="381" spans="1:26" ht="16.5" customHeight="1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</row>
    <row r="382" spans="1:26" ht="16.5" customHeight="1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</row>
    <row r="383" spans="1:26" ht="16.5" customHeight="1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</row>
    <row r="384" spans="1:26" ht="16.5" customHeight="1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</row>
    <row r="385" spans="1:26" ht="16.5" customHeight="1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</row>
    <row r="386" spans="1:26" ht="16.5" customHeight="1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</row>
    <row r="387" spans="1:26" ht="16.5" customHeight="1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</row>
    <row r="388" spans="1:26" ht="16.5" customHeight="1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</row>
    <row r="389" spans="1:26" ht="16.5" customHeight="1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</row>
    <row r="390" spans="1:26" ht="16.5" customHeight="1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</row>
    <row r="391" spans="1:26" ht="16.5" customHeight="1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</row>
    <row r="392" spans="1:26" ht="16.5" customHeight="1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</row>
    <row r="393" spans="1:26" ht="16.5" customHeight="1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</row>
    <row r="394" spans="1:26" ht="16.5" customHeight="1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</row>
    <row r="395" spans="1:26" ht="16.5" customHeight="1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</row>
    <row r="396" spans="1:26" ht="16.5" customHeight="1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</row>
    <row r="397" spans="1:26" ht="16.5" customHeight="1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</row>
    <row r="398" spans="1:26" ht="16.5" customHeight="1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</row>
    <row r="399" spans="1:26" ht="16.5" customHeight="1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</row>
    <row r="400" spans="1:26" ht="16.5" customHeight="1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</row>
    <row r="401" spans="1:26" ht="16.5" customHeight="1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</row>
    <row r="402" spans="1:26" ht="16.5" customHeight="1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</row>
    <row r="403" spans="1:26" ht="16.5" customHeight="1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</row>
    <row r="404" spans="1:26" ht="16.5" customHeight="1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</row>
    <row r="405" spans="1:26" ht="16.5" customHeight="1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</row>
    <row r="406" spans="1:26" ht="16.5" customHeight="1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</row>
    <row r="407" spans="1:26" ht="16.5" customHeight="1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</row>
    <row r="408" spans="1:26" ht="16.5" customHeight="1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</row>
    <row r="409" spans="1:26" ht="16.5" customHeight="1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</row>
    <row r="410" spans="1:26" ht="16.5" customHeight="1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</row>
    <row r="411" spans="1:26" ht="16.5" customHeight="1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</row>
    <row r="412" spans="1:26" ht="16.5" customHeight="1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</row>
    <row r="413" spans="1:26" ht="16.5" customHeight="1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</row>
    <row r="414" spans="1:26" ht="16.5" customHeight="1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</row>
    <row r="415" spans="1:26" ht="16.5" customHeight="1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</row>
    <row r="416" spans="1:26" ht="16.5" customHeight="1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</row>
    <row r="417" spans="1:26" ht="16.5" customHeight="1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</row>
    <row r="418" spans="1:26" ht="16.5" customHeight="1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</row>
    <row r="419" spans="1:26" ht="16.5" customHeight="1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</row>
    <row r="420" spans="1:26" ht="16.5" customHeight="1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</row>
    <row r="421" spans="1:26" ht="16.5" customHeight="1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</row>
    <row r="422" spans="1:26" ht="16.5" customHeight="1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</row>
    <row r="423" spans="1:26" ht="16.5" customHeight="1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</row>
    <row r="424" spans="1:26" ht="16.5" customHeight="1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</row>
    <row r="425" spans="1:26" ht="16.5" customHeight="1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</row>
    <row r="426" spans="1:26" ht="16.5" customHeight="1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</row>
    <row r="427" spans="1:26" ht="16.5" customHeight="1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</row>
    <row r="428" spans="1:26" ht="16.5" customHeight="1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</row>
    <row r="429" spans="1:26" ht="16.5" customHeight="1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</row>
    <row r="430" spans="1:26" ht="16.5" customHeight="1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</row>
    <row r="431" spans="1:26" ht="16.5" customHeight="1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</row>
    <row r="432" spans="1:26" ht="16.5" customHeight="1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</row>
    <row r="433" spans="1:26" ht="16.5" customHeight="1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</row>
    <row r="434" spans="1:26" ht="16.5" customHeight="1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</row>
    <row r="435" spans="1:26" ht="16.5" customHeight="1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</row>
    <row r="436" spans="1:26" ht="16.5" customHeight="1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</row>
    <row r="437" spans="1:26" ht="16.5" customHeight="1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</row>
    <row r="438" spans="1:26" ht="16.5" customHeight="1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</row>
    <row r="439" spans="1:26" ht="16.5" customHeight="1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</row>
    <row r="440" spans="1:26" ht="16.5" customHeight="1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</row>
    <row r="441" spans="1:26" ht="16.5" customHeight="1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</row>
    <row r="442" spans="1:26" ht="16.5" customHeight="1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</row>
    <row r="443" spans="1:26" ht="16.5" customHeight="1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</row>
    <row r="444" spans="1:26" ht="16.5" customHeight="1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</row>
    <row r="445" spans="1:26" ht="16.5" customHeight="1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</row>
    <row r="446" spans="1:26" ht="16.5" customHeight="1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</row>
    <row r="447" spans="1:26" ht="16.5" customHeight="1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</row>
    <row r="448" spans="1:26" ht="16.5" customHeight="1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</row>
    <row r="449" spans="1:26" ht="16.5" customHeight="1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</row>
    <row r="450" spans="1:26" ht="16.5" customHeight="1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</row>
    <row r="451" spans="1:26" ht="16.5" customHeight="1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</row>
    <row r="452" spans="1:26" ht="16.5" customHeight="1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</row>
    <row r="453" spans="1:26" ht="16.5" customHeight="1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</row>
    <row r="454" spans="1:26" ht="16.5" customHeight="1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</row>
    <row r="455" spans="1:26" ht="16.5" customHeight="1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</row>
    <row r="456" spans="1:26" ht="16.5" customHeight="1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</row>
    <row r="457" spans="1:26" ht="16.5" customHeight="1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</row>
    <row r="458" spans="1:26" ht="16.5" customHeight="1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</row>
    <row r="459" spans="1:26" ht="16.5" customHeight="1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</row>
    <row r="460" spans="1:26" ht="16.5" customHeight="1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</row>
    <row r="461" spans="1:26" ht="16.5" customHeight="1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</row>
    <row r="462" spans="1:26" ht="16.5" customHeight="1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</row>
    <row r="463" spans="1:26" ht="16.5" customHeight="1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</row>
    <row r="464" spans="1:26" ht="16.5" customHeight="1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</row>
    <row r="465" spans="1:26" ht="16.5" customHeight="1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</row>
    <row r="466" spans="1:26" ht="16.5" customHeight="1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</row>
    <row r="467" spans="1:26" ht="16.5" customHeight="1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</row>
    <row r="468" spans="1:26" ht="16.5" customHeight="1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</row>
    <row r="469" spans="1:26" ht="16.5" customHeight="1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</row>
    <row r="470" spans="1:26" ht="16.5" customHeight="1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</row>
    <row r="471" spans="1:26" ht="16.5" customHeight="1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</row>
    <row r="472" spans="1:26" ht="16.5" customHeight="1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</row>
    <row r="473" spans="1:26" ht="16.5" customHeight="1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</row>
    <row r="474" spans="1:26" ht="16.5" customHeight="1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</row>
    <row r="475" spans="1:26" ht="16.5" customHeight="1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</row>
    <row r="476" spans="1:26" ht="16.5" customHeight="1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</row>
    <row r="477" spans="1:26" ht="16.5" customHeight="1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</row>
    <row r="478" spans="1:26" ht="16.5" customHeight="1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</row>
    <row r="479" spans="1:26" ht="16.5" customHeight="1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</row>
    <row r="480" spans="1:26" ht="16.5" customHeight="1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</row>
    <row r="481" spans="1:26" ht="16.5" customHeight="1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</row>
    <row r="482" spans="1:26" ht="16.5" customHeight="1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</row>
    <row r="483" spans="1:26" ht="16.5" customHeight="1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</row>
    <row r="484" spans="1:26" ht="16.5" customHeight="1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</row>
    <row r="485" spans="1:26" ht="16.5" customHeight="1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</row>
    <row r="486" spans="1:26" ht="16.5" customHeight="1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</row>
    <row r="487" spans="1:26" ht="16.5" customHeight="1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</row>
    <row r="488" spans="1:26" ht="16.5" customHeight="1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</row>
    <row r="489" spans="1:26" ht="16.5" customHeight="1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</row>
    <row r="490" spans="1:26" ht="16.5" customHeight="1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</row>
    <row r="491" spans="1:26" ht="16.5" customHeight="1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</row>
    <row r="492" spans="1:26" ht="16.5" customHeight="1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</row>
    <row r="493" spans="1:26" ht="16.5" customHeight="1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</row>
    <row r="494" spans="1:26" ht="16.5" customHeight="1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</row>
    <row r="495" spans="1:26" ht="16.5" customHeight="1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</row>
    <row r="496" spans="1:26" ht="16.5" customHeight="1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</row>
    <row r="497" spans="1:26" ht="16.5" customHeight="1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</row>
    <row r="498" spans="1:26" ht="16.5" customHeight="1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</row>
    <row r="499" spans="1:26" ht="16.5" customHeight="1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</row>
    <row r="500" spans="1:26" ht="16.5" customHeight="1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</row>
    <row r="501" spans="1:26" ht="16.5" customHeight="1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</row>
    <row r="502" spans="1:26" ht="16.5" customHeight="1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</row>
    <row r="503" spans="1:26" ht="16.5" customHeight="1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</row>
    <row r="504" spans="1:26" ht="16.5" customHeight="1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</row>
    <row r="505" spans="1:26" ht="16.5" customHeight="1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</row>
    <row r="506" spans="1:26" ht="16.5" customHeight="1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</row>
    <row r="507" spans="1:26" ht="16.5" customHeight="1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</row>
    <row r="508" spans="1:26" ht="16.5" customHeight="1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</row>
    <row r="509" spans="1:26" ht="16.5" customHeight="1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</row>
    <row r="510" spans="1:26" ht="16.5" customHeight="1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</row>
    <row r="511" spans="1:26" ht="16.5" customHeight="1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</row>
    <row r="512" spans="1:26" ht="16.5" customHeight="1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</row>
    <row r="513" spans="1:26" ht="16.5" customHeight="1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</row>
    <row r="514" spans="1:26" ht="16.5" customHeight="1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</row>
    <row r="515" spans="1:26" ht="16.5" customHeight="1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</row>
    <row r="516" spans="1:26" ht="16.5" customHeight="1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</row>
    <row r="517" spans="1:26" ht="16.5" customHeight="1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</row>
    <row r="518" spans="1:26" ht="16.5" customHeight="1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</row>
    <row r="519" spans="1:26" ht="16.5" customHeight="1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</row>
    <row r="520" spans="1:26" ht="16.5" customHeight="1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</row>
    <row r="521" spans="1:26" ht="16.5" customHeight="1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</row>
    <row r="522" spans="1:26" ht="16.5" customHeight="1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</row>
    <row r="523" spans="1:26" ht="16.5" customHeight="1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</row>
    <row r="524" spans="1:26" ht="16.5" customHeight="1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</row>
    <row r="525" spans="1:26" ht="16.5" customHeight="1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</row>
    <row r="526" spans="1:26" ht="16.5" customHeight="1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</row>
    <row r="527" spans="1:26" ht="16.5" customHeight="1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</row>
    <row r="528" spans="1:26" ht="16.5" customHeight="1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</row>
    <row r="529" spans="1:26" ht="16.5" customHeight="1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</row>
    <row r="530" spans="1:26" ht="16.5" customHeight="1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</row>
    <row r="531" spans="1:26" ht="16.5" customHeight="1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</row>
    <row r="532" spans="1:26" ht="16.5" customHeight="1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</row>
    <row r="533" spans="1:26" ht="16.5" customHeight="1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</row>
    <row r="534" spans="1:26" ht="16.5" customHeight="1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</row>
    <row r="535" spans="1:26" ht="16.5" customHeight="1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</row>
    <row r="536" spans="1:26" ht="16.5" customHeight="1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</row>
    <row r="537" spans="1:26" ht="16.5" customHeight="1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</row>
    <row r="538" spans="1:26" ht="16.5" customHeight="1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</row>
    <row r="539" spans="1:26" ht="16.5" customHeight="1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</row>
    <row r="540" spans="1:26" ht="16.5" customHeight="1">
      <c r="A540" s="73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</row>
    <row r="541" spans="1:26" ht="16.5" customHeight="1">
      <c r="A541" s="73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</row>
    <row r="542" spans="1:26" ht="16.5" customHeight="1">
      <c r="A542" s="73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</row>
    <row r="543" spans="1:26" ht="16.5" customHeight="1">
      <c r="A543" s="73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</row>
    <row r="544" spans="1:26" ht="16.5" customHeight="1">
      <c r="A544" s="73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</row>
    <row r="545" spans="1:26" ht="16.5" customHeight="1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</row>
    <row r="546" spans="1:26" ht="16.5" customHeight="1">
      <c r="A546" s="73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</row>
    <row r="547" spans="1:26" ht="16.5" customHeight="1">
      <c r="A547" s="73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</row>
    <row r="548" spans="1:26" ht="16.5" customHeight="1">
      <c r="A548" s="73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</row>
    <row r="549" spans="1:26" ht="16.5" customHeight="1">
      <c r="A549" s="73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</row>
    <row r="550" spans="1:26" ht="16.5" customHeight="1">
      <c r="A550" s="73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</row>
    <row r="551" spans="1:26" ht="16.5" customHeight="1">
      <c r="A551" s="73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</row>
    <row r="552" spans="1:26" ht="16.5" customHeight="1">
      <c r="A552" s="73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</row>
    <row r="553" spans="1:26" ht="16.5" customHeight="1">
      <c r="A553" s="73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</row>
    <row r="554" spans="1:26" ht="16.5" customHeight="1">
      <c r="A554" s="73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</row>
    <row r="555" spans="1:26" ht="16.5" customHeight="1">
      <c r="A555" s="73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</row>
    <row r="556" spans="1:26" ht="16.5" customHeight="1">
      <c r="A556" s="73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</row>
    <row r="557" spans="1:26" ht="16.5" customHeight="1">
      <c r="A557" s="73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</row>
    <row r="558" spans="1:26" ht="16.5" customHeight="1">
      <c r="A558" s="73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</row>
    <row r="559" spans="1:26" ht="16.5" customHeight="1">
      <c r="A559" s="73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</row>
    <row r="560" spans="1:26" ht="16.5" customHeight="1">
      <c r="A560" s="73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</row>
    <row r="561" spans="1:26" ht="16.5" customHeight="1">
      <c r="A561" s="73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</row>
    <row r="562" spans="1:26" ht="16.5" customHeight="1">
      <c r="A562" s="73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</row>
    <row r="563" spans="1:26" ht="16.5" customHeight="1">
      <c r="A563" s="73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</row>
    <row r="564" spans="1:26" ht="16.5" customHeight="1">
      <c r="A564" s="73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</row>
    <row r="565" spans="1:26" ht="16.5" customHeight="1">
      <c r="A565" s="73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</row>
    <row r="566" spans="1:26" ht="16.5" customHeight="1">
      <c r="A566" s="73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</row>
    <row r="567" spans="1:26" ht="16.5" customHeight="1">
      <c r="A567" s="73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</row>
    <row r="568" spans="1:26" ht="16.5" customHeight="1">
      <c r="A568" s="73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</row>
    <row r="569" spans="1:26" ht="16.5" customHeight="1">
      <c r="A569" s="73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</row>
    <row r="570" spans="1:26" ht="16.5" customHeight="1">
      <c r="A570" s="73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</row>
    <row r="571" spans="1:26" ht="16.5" customHeight="1">
      <c r="A571" s="73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</row>
    <row r="572" spans="1:26" ht="16.5" customHeight="1">
      <c r="A572" s="73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</row>
    <row r="573" spans="1:26" ht="16.5" customHeight="1">
      <c r="A573" s="73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</row>
    <row r="574" spans="1:26" ht="16.5" customHeight="1">
      <c r="A574" s="73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</row>
    <row r="575" spans="1:26" ht="16.5" customHeight="1">
      <c r="A575" s="73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</row>
    <row r="576" spans="1:26" ht="16.5" customHeight="1">
      <c r="A576" s="73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</row>
    <row r="577" spans="1:26" ht="16.5" customHeight="1">
      <c r="A577" s="73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</row>
    <row r="578" spans="1:26" ht="16.5" customHeight="1">
      <c r="A578" s="73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</row>
    <row r="579" spans="1:26" ht="16.5" customHeight="1">
      <c r="A579" s="73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</row>
    <row r="580" spans="1:26" ht="16.5" customHeight="1">
      <c r="A580" s="73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</row>
    <row r="581" spans="1:26" ht="16.5" customHeight="1">
      <c r="A581" s="73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</row>
    <row r="582" spans="1:26" ht="16.5" customHeight="1">
      <c r="A582" s="73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</row>
    <row r="583" spans="1:26" ht="16.5" customHeight="1">
      <c r="A583" s="73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</row>
    <row r="584" spans="1:26" ht="16.5" customHeight="1">
      <c r="A584" s="73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</row>
    <row r="585" spans="1:26" ht="16.5" customHeight="1">
      <c r="A585" s="73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</row>
    <row r="586" spans="1:26" ht="16.5" customHeight="1">
      <c r="A586" s="73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</row>
    <row r="587" spans="1:26" ht="16.5" customHeight="1">
      <c r="A587" s="73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</row>
    <row r="588" spans="1:26" ht="16.5" customHeight="1">
      <c r="A588" s="73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</row>
    <row r="589" spans="1:26" ht="16.5" customHeight="1">
      <c r="A589" s="73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</row>
    <row r="590" spans="1:26" ht="16.5" customHeight="1">
      <c r="A590" s="73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</row>
    <row r="591" spans="1:26" ht="16.5" customHeight="1">
      <c r="A591" s="73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</row>
    <row r="592" spans="1:26" ht="16.5" customHeight="1">
      <c r="A592" s="73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</row>
    <row r="593" spans="1:26" ht="16.5" customHeight="1">
      <c r="A593" s="73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</row>
    <row r="594" spans="1:26" ht="16.5" customHeight="1">
      <c r="A594" s="73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</row>
    <row r="595" spans="1:26" ht="16.5" customHeight="1">
      <c r="A595" s="73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</row>
    <row r="596" spans="1:26" ht="16.5" customHeight="1">
      <c r="A596" s="73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</row>
    <row r="597" spans="1:26" ht="16.5" customHeight="1">
      <c r="A597" s="73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</row>
    <row r="598" spans="1:26" ht="16.5" customHeight="1">
      <c r="A598" s="73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</row>
    <row r="599" spans="1:26" ht="16.5" customHeight="1">
      <c r="A599" s="73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</row>
    <row r="600" spans="1:26" ht="16.5" customHeight="1">
      <c r="A600" s="73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</row>
    <row r="601" spans="1:26" ht="16.5" customHeight="1">
      <c r="A601" s="73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</row>
    <row r="602" spans="1:26" ht="16.5" customHeight="1">
      <c r="A602" s="73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</row>
    <row r="603" spans="1:26" ht="16.5" customHeight="1">
      <c r="A603" s="73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</row>
    <row r="604" spans="1:26" ht="16.5" customHeight="1">
      <c r="A604" s="73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</row>
    <row r="605" spans="1:26" ht="16.5" customHeight="1">
      <c r="A605" s="73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</row>
    <row r="606" spans="1:26" ht="16.5" customHeight="1">
      <c r="A606" s="73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</row>
    <row r="607" spans="1:26" ht="16.5" customHeight="1">
      <c r="A607" s="73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</row>
    <row r="608" spans="1:26" ht="16.5" customHeight="1">
      <c r="A608" s="73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</row>
    <row r="609" spans="1:26" ht="16.5" customHeight="1">
      <c r="A609" s="73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</row>
    <row r="610" spans="1:26" ht="16.5" customHeight="1">
      <c r="A610" s="73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</row>
    <row r="611" spans="1:26" ht="16.5" customHeight="1">
      <c r="A611" s="73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</row>
    <row r="612" spans="1:26" ht="16.5" customHeight="1">
      <c r="A612" s="73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</row>
    <row r="613" spans="1:26" ht="16.5" customHeight="1">
      <c r="A613" s="73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</row>
    <row r="614" spans="1:26" ht="16.5" customHeight="1">
      <c r="A614" s="73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</row>
    <row r="615" spans="1:26" ht="16.5" customHeight="1">
      <c r="A615" s="73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</row>
    <row r="616" spans="1:26" ht="16.5" customHeight="1">
      <c r="A616" s="73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</row>
    <row r="617" spans="1:26" ht="16.5" customHeight="1">
      <c r="A617" s="73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</row>
    <row r="618" spans="1:26" ht="16.5" customHeight="1">
      <c r="A618" s="73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</row>
    <row r="619" spans="1:26" ht="16.5" customHeight="1">
      <c r="A619" s="73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</row>
    <row r="620" spans="1:26" ht="16.5" customHeight="1">
      <c r="A620" s="73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</row>
    <row r="621" spans="1:26" ht="16.5" customHeight="1">
      <c r="A621" s="73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</row>
    <row r="622" spans="1:26" ht="16.5" customHeight="1">
      <c r="A622" s="73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</row>
    <row r="623" spans="1:26" ht="16.5" customHeight="1">
      <c r="A623" s="73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</row>
    <row r="624" spans="1:26" ht="16.5" customHeight="1">
      <c r="A624" s="73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</row>
    <row r="625" spans="1:26" ht="16.5" customHeight="1">
      <c r="A625" s="73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</row>
    <row r="626" spans="1:26" ht="16.5" customHeight="1">
      <c r="A626" s="73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</row>
    <row r="627" spans="1:26" ht="16.5" customHeight="1">
      <c r="A627" s="73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</row>
    <row r="628" spans="1:26" ht="16.5" customHeight="1">
      <c r="A628" s="73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</row>
    <row r="629" spans="1:26" ht="16.5" customHeight="1">
      <c r="A629" s="73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</row>
    <row r="630" spans="1:26" ht="16.5" customHeight="1">
      <c r="A630" s="73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</row>
    <row r="631" spans="1:26" ht="16.5" customHeight="1">
      <c r="A631" s="73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</row>
    <row r="632" spans="1:26" ht="16.5" customHeight="1">
      <c r="A632" s="73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</row>
    <row r="633" spans="1:26" ht="16.5" customHeight="1">
      <c r="A633" s="73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</row>
    <row r="634" spans="1:26" ht="16.5" customHeight="1">
      <c r="A634" s="73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</row>
    <row r="635" spans="1:26" ht="16.5" customHeight="1">
      <c r="A635" s="73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</row>
    <row r="636" spans="1:26" ht="16.5" customHeight="1">
      <c r="A636" s="73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</row>
    <row r="637" spans="1:26" ht="16.5" customHeight="1">
      <c r="A637" s="73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</row>
    <row r="638" spans="1:26" ht="16.5" customHeight="1">
      <c r="A638" s="73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</row>
    <row r="639" spans="1:26" ht="16.5" customHeight="1">
      <c r="A639" s="73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</row>
    <row r="640" spans="1:26" ht="16.5" customHeight="1">
      <c r="A640" s="73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</row>
    <row r="641" spans="1:26" ht="16.5" customHeight="1">
      <c r="A641" s="73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</row>
    <row r="642" spans="1:26" ht="16.5" customHeight="1">
      <c r="A642" s="73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</row>
    <row r="643" spans="1:26" ht="16.5" customHeight="1">
      <c r="A643" s="73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</row>
    <row r="644" spans="1:26" ht="16.5" customHeight="1">
      <c r="A644" s="73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</row>
    <row r="645" spans="1:26" ht="16.5" customHeight="1">
      <c r="A645" s="73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</row>
    <row r="646" spans="1:26" ht="16.5" customHeight="1">
      <c r="A646" s="73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</row>
    <row r="647" spans="1:26" ht="16.5" customHeight="1">
      <c r="A647" s="73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</row>
    <row r="648" spans="1:26" ht="16.5" customHeight="1">
      <c r="A648" s="73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</row>
    <row r="649" spans="1:26" ht="16.5" customHeight="1">
      <c r="A649" s="73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</row>
    <row r="650" spans="1:26" ht="16.5" customHeight="1">
      <c r="A650" s="73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</row>
    <row r="651" spans="1:26" ht="16.5" customHeight="1">
      <c r="A651" s="73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</row>
    <row r="652" spans="1:26" ht="16.5" customHeight="1">
      <c r="A652" s="73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</row>
    <row r="653" spans="1:26" ht="16.5" customHeight="1">
      <c r="A653" s="73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</row>
    <row r="654" spans="1:26" ht="16.5" customHeight="1">
      <c r="A654" s="73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</row>
    <row r="655" spans="1:26" ht="16.5" customHeight="1">
      <c r="A655" s="73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</row>
    <row r="656" spans="1:26" ht="16.5" customHeight="1">
      <c r="A656" s="73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</row>
    <row r="657" spans="1:26" ht="16.5" customHeight="1">
      <c r="A657" s="73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</row>
    <row r="658" spans="1:26" ht="16.5" customHeight="1">
      <c r="A658" s="73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</row>
    <row r="659" spans="1:26" ht="16.5" customHeight="1">
      <c r="A659" s="73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</row>
    <row r="660" spans="1:26" ht="16.5" customHeight="1">
      <c r="A660" s="73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</row>
    <row r="661" spans="1:26" ht="16.5" customHeight="1">
      <c r="A661" s="73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</row>
    <row r="662" spans="1:26" ht="16.5" customHeight="1">
      <c r="A662" s="73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</row>
    <row r="663" spans="1:26" ht="16.5" customHeight="1">
      <c r="A663" s="73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</row>
    <row r="664" spans="1:26" ht="16.5" customHeight="1">
      <c r="A664" s="73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</row>
    <row r="665" spans="1:26" ht="16.5" customHeight="1">
      <c r="A665" s="73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</row>
    <row r="666" spans="1:26" ht="16.5" customHeight="1">
      <c r="A666" s="73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</row>
    <row r="667" spans="1:26" ht="16.5" customHeight="1">
      <c r="A667" s="73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</row>
    <row r="668" spans="1:26" ht="16.5" customHeight="1">
      <c r="A668" s="73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</row>
    <row r="669" spans="1:26" ht="16.5" customHeight="1">
      <c r="A669" s="73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</row>
    <row r="670" spans="1:26" ht="16.5" customHeight="1">
      <c r="A670" s="73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</row>
    <row r="671" spans="1:26" ht="16.5" customHeight="1">
      <c r="A671" s="73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</row>
    <row r="672" spans="1:26" ht="16.5" customHeight="1">
      <c r="A672" s="73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</row>
    <row r="673" spans="1:26" ht="16.5" customHeight="1">
      <c r="A673" s="73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</row>
    <row r="674" spans="1:26" ht="16.5" customHeight="1">
      <c r="A674" s="73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</row>
    <row r="675" spans="1:26" ht="16.5" customHeight="1">
      <c r="A675" s="73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</row>
    <row r="676" spans="1:26" ht="16.5" customHeight="1">
      <c r="A676" s="73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</row>
    <row r="677" spans="1:26" ht="16.5" customHeight="1">
      <c r="A677" s="73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</row>
    <row r="678" spans="1:26" ht="16.5" customHeight="1">
      <c r="A678" s="73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</row>
    <row r="679" spans="1:26" ht="16.5" customHeight="1">
      <c r="A679" s="73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</row>
    <row r="680" spans="1:26" ht="16.5" customHeight="1">
      <c r="A680" s="73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</row>
    <row r="681" spans="1:26" ht="16.5" customHeight="1">
      <c r="A681" s="73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</row>
    <row r="682" spans="1:26" ht="16.5" customHeight="1">
      <c r="A682" s="73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</row>
    <row r="683" spans="1:26" ht="16.5" customHeight="1">
      <c r="A683" s="73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</row>
    <row r="684" spans="1:26" ht="16.5" customHeight="1">
      <c r="A684" s="73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</row>
    <row r="685" spans="1:26" ht="16.5" customHeight="1">
      <c r="A685" s="73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</row>
    <row r="686" spans="1:26" ht="16.5" customHeight="1">
      <c r="A686" s="73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</row>
    <row r="687" spans="1:26" ht="16.5" customHeight="1">
      <c r="A687" s="73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</row>
    <row r="688" spans="1:26" ht="16.5" customHeight="1">
      <c r="A688" s="73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</row>
    <row r="689" spans="1:26" ht="16.5" customHeight="1">
      <c r="A689" s="73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</row>
    <row r="690" spans="1:26" ht="16.5" customHeight="1">
      <c r="A690" s="73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</row>
    <row r="691" spans="1:26" ht="16.5" customHeight="1">
      <c r="A691" s="73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</row>
    <row r="692" spans="1:26" ht="16.5" customHeight="1">
      <c r="A692" s="73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</row>
    <row r="693" spans="1:26" ht="16.5" customHeight="1">
      <c r="A693" s="73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</row>
    <row r="694" spans="1:26" ht="16.5" customHeight="1">
      <c r="A694" s="73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</row>
    <row r="695" spans="1:26" ht="16.5" customHeight="1">
      <c r="A695" s="73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</row>
    <row r="696" spans="1:26" ht="16.5" customHeight="1">
      <c r="A696" s="73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</row>
    <row r="697" spans="1:26" ht="16.5" customHeight="1">
      <c r="A697" s="73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</row>
    <row r="698" spans="1:26" ht="16.5" customHeight="1">
      <c r="A698" s="73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</row>
    <row r="699" spans="1:26" ht="16.5" customHeight="1">
      <c r="A699" s="73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</row>
    <row r="700" spans="1:26" ht="16.5" customHeight="1">
      <c r="A700" s="73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</row>
    <row r="701" spans="1:26" ht="16.5" customHeight="1">
      <c r="A701" s="73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</row>
    <row r="702" spans="1:26" ht="16.5" customHeight="1">
      <c r="A702" s="73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</row>
    <row r="703" spans="1:26" ht="16.5" customHeight="1">
      <c r="A703" s="73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</row>
    <row r="704" spans="1:26" ht="16.5" customHeight="1">
      <c r="A704" s="73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</row>
    <row r="705" spans="1:26" ht="16.5" customHeight="1">
      <c r="A705" s="73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</row>
    <row r="706" spans="1:26" ht="16.5" customHeight="1">
      <c r="A706" s="73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</row>
    <row r="707" spans="1:26" ht="16.5" customHeight="1">
      <c r="A707" s="73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</row>
    <row r="708" spans="1:26" ht="16.5" customHeight="1">
      <c r="A708" s="73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</row>
    <row r="709" spans="1:26" ht="16.5" customHeight="1">
      <c r="A709" s="73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</row>
    <row r="710" spans="1:26" ht="16.5" customHeight="1">
      <c r="A710" s="73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</row>
    <row r="711" spans="1:26" ht="16.5" customHeight="1">
      <c r="A711" s="73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</row>
    <row r="712" spans="1:26" ht="16.5" customHeight="1">
      <c r="A712" s="73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</row>
    <row r="713" spans="1:26" ht="16.5" customHeight="1">
      <c r="A713" s="73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</row>
    <row r="714" spans="1:26" ht="16.5" customHeight="1">
      <c r="A714" s="73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</row>
    <row r="715" spans="1:26" ht="16.5" customHeight="1">
      <c r="A715" s="73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</row>
    <row r="716" spans="1:26" ht="16.5" customHeight="1">
      <c r="A716" s="73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</row>
    <row r="717" spans="1:26" ht="16.5" customHeight="1">
      <c r="A717" s="73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</row>
    <row r="718" spans="1:26" ht="16.5" customHeight="1">
      <c r="A718" s="73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</row>
    <row r="719" spans="1:26" ht="16.5" customHeight="1">
      <c r="A719" s="73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</row>
    <row r="720" spans="1:26" ht="16.5" customHeight="1">
      <c r="A720" s="73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</row>
    <row r="721" spans="1:26" ht="16.5" customHeight="1">
      <c r="A721" s="73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</row>
    <row r="722" spans="1:26" ht="16.5" customHeight="1">
      <c r="A722" s="73"/>
      <c r="B722" s="73"/>
      <c r="C722" s="73"/>
      <c r="D722" s="73"/>
      <c r="E722" s="73"/>
      <c r="F722" s="73"/>
      <c r="G722" s="73"/>
      <c r="H722" s="73"/>
      <c r="I722" s="73"/>
      <c r="J722" s="73"/>
      <c r="K722" s="73"/>
      <c r="L722" s="73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</row>
    <row r="723" spans="1:26" ht="16.5" customHeight="1">
      <c r="A723" s="73"/>
      <c r="B723" s="73"/>
      <c r="C723" s="73"/>
      <c r="D723" s="73"/>
      <c r="E723" s="73"/>
      <c r="F723" s="73"/>
      <c r="G723" s="73"/>
      <c r="H723" s="73"/>
      <c r="I723" s="73"/>
      <c r="J723" s="73"/>
      <c r="K723" s="73"/>
      <c r="L723" s="73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</row>
    <row r="724" spans="1:26" ht="16.5" customHeight="1">
      <c r="A724" s="73"/>
      <c r="B724" s="73"/>
      <c r="C724" s="73"/>
      <c r="D724" s="73"/>
      <c r="E724" s="73"/>
      <c r="F724" s="73"/>
      <c r="G724" s="73"/>
      <c r="H724" s="73"/>
      <c r="I724" s="73"/>
      <c r="J724" s="73"/>
      <c r="K724" s="73"/>
      <c r="L724" s="73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</row>
    <row r="725" spans="1:26" ht="16.5" customHeight="1">
      <c r="A725" s="73"/>
      <c r="B725" s="73"/>
      <c r="C725" s="73"/>
      <c r="D725" s="73"/>
      <c r="E725" s="73"/>
      <c r="F725" s="73"/>
      <c r="G725" s="73"/>
      <c r="H725" s="73"/>
      <c r="I725" s="73"/>
      <c r="J725" s="73"/>
      <c r="K725" s="73"/>
      <c r="L725" s="73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</row>
    <row r="726" spans="1:26" ht="16.5" customHeight="1">
      <c r="A726" s="73"/>
      <c r="B726" s="73"/>
      <c r="C726" s="73"/>
      <c r="D726" s="73"/>
      <c r="E726" s="73"/>
      <c r="F726" s="73"/>
      <c r="G726" s="73"/>
      <c r="H726" s="73"/>
      <c r="I726" s="73"/>
      <c r="J726" s="73"/>
      <c r="K726" s="73"/>
      <c r="L726" s="73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</row>
    <row r="727" spans="1:26" ht="16.5" customHeight="1">
      <c r="A727" s="73"/>
      <c r="B727" s="73"/>
      <c r="C727" s="73"/>
      <c r="D727" s="73"/>
      <c r="E727" s="73"/>
      <c r="F727" s="73"/>
      <c r="G727" s="73"/>
      <c r="H727" s="73"/>
      <c r="I727" s="73"/>
      <c r="J727" s="73"/>
      <c r="K727" s="73"/>
      <c r="L727" s="73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</row>
    <row r="728" spans="1:26" ht="16.5" customHeight="1">
      <c r="A728" s="73"/>
      <c r="B728" s="73"/>
      <c r="C728" s="73"/>
      <c r="D728" s="73"/>
      <c r="E728" s="73"/>
      <c r="F728" s="73"/>
      <c r="G728" s="73"/>
      <c r="H728" s="73"/>
      <c r="I728" s="73"/>
      <c r="J728" s="73"/>
      <c r="K728" s="73"/>
      <c r="L728" s="73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</row>
    <row r="729" spans="1:26" ht="16.5" customHeight="1">
      <c r="A729" s="73"/>
      <c r="B729" s="73"/>
      <c r="C729" s="73"/>
      <c r="D729" s="73"/>
      <c r="E729" s="73"/>
      <c r="F729" s="73"/>
      <c r="G729" s="73"/>
      <c r="H729" s="73"/>
      <c r="I729" s="73"/>
      <c r="J729" s="73"/>
      <c r="K729" s="73"/>
      <c r="L729" s="73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</row>
    <row r="730" spans="1:26" ht="16.5" customHeight="1">
      <c r="A730" s="73"/>
      <c r="B730" s="73"/>
      <c r="C730" s="73"/>
      <c r="D730" s="73"/>
      <c r="E730" s="73"/>
      <c r="F730" s="73"/>
      <c r="G730" s="73"/>
      <c r="H730" s="73"/>
      <c r="I730" s="73"/>
      <c r="J730" s="73"/>
      <c r="K730" s="73"/>
      <c r="L730" s="73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</row>
    <row r="731" spans="1:26" ht="16.5" customHeight="1">
      <c r="A731" s="73"/>
      <c r="B731" s="73"/>
      <c r="C731" s="73"/>
      <c r="D731" s="73"/>
      <c r="E731" s="73"/>
      <c r="F731" s="73"/>
      <c r="G731" s="73"/>
      <c r="H731" s="73"/>
      <c r="I731" s="73"/>
      <c r="J731" s="73"/>
      <c r="K731" s="73"/>
      <c r="L731" s="73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</row>
    <row r="732" spans="1:26" ht="16.5" customHeight="1">
      <c r="A732" s="73"/>
      <c r="B732" s="73"/>
      <c r="C732" s="73"/>
      <c r="D732" s="73"/>
      <c r="E732" s="73"/>
      <c r="F732" s="73"/>
      <c r="G732" s="73"/>
      <c r="H732" s="73"/>
      <c r="I732" s="73"/>
      <c r="J732" s="73"/>
      <c r="K732" s="73"/>
      <c r="L732" s="73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</row>
    <row r="733" spans="1:26" ht="16.5" customHeight="1">
      <c r="A733" s="73"/>
      <c r="B733" s="73"/>
      <c r="C733" s="73"/>
      <c r="D733" s="73"/>
      <c r="E733" s="73"/>
      <c r="F733" s="73"/>
      <c r="G733" s="73"/>
      <c r="H733" s="73"/>
      <c r="I733" s="73"/>
      <c r="J733" s="73"/>
      <c r="K733" s="73"/>
      <c r="L733" s="73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</row>
    <row r="734" spans="1:26" ht="16.5" customHeight="1">
      <c r="A734" s="73"/>
      <c r="B734" s="73"/>
      <c r="C734" s="73"/>
      <c r="D734" s="73"/>
      <c r="E734" s="73"/>
      <c r="F734" s="73"/>
      <c r="G734" s="73"/>
      <c r="H734" s="73"/>
      <c r="I734" s="73"/>
      <c r="J734" s="73"/>
      <c r="K734" s="73"/>
      <c r="L734" s="73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</row>
    <row r="735" spans="1:26" ht="16.5" customHeight="1">
      <c r="A735" s="73"/>
      <c r="B735" s="73"/>
      <c r="C735" s="73"/>
      <c r="D735" s="73"/>
      <c r="E735" s="73"/>
      <c r="F735" s="73"/>
      <c r="G735" s="73"/>
      <c r="H735" s="73"/>
      <c r="I735" s="73"/>
      <c r="J735" s="73"/>
      <c r="K735" s="73"/>
      <c r="L735" s="73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</row>
    <row r="736" spans="1:26" ht="16.5" customHeight="1">
      <c r="A736" s="73"/>
      <c r="B736" s="73"/>
      <c r="C736" s="73"/>
      <c r="D736" s="73"/>
      <c r="E736" s="73"/>
      <c r="F736" s="73"/>
      <c r="G736" s="73"/>
      <c r="H736" s="73"/>
      <c r="I736" s="73"/>
      <c r="J736" s="73"/>
      <c r="K736" s="73"/>
      <c r="L736" s="73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</row>
    <row r="737" spans="1:26" ht="16.5" customHeight="1">
      <c r="A737" s="73"/>
      <c r="B737" s="73"/>
      <c r="C737" s="73"/>
      <c r="D737" s="73"/>
      <c r="E737" s="73"/>
      <c r="F737" s="73"/>
      <c r="G737" s="73"/>
      <c r="H737" s="73"/>
      <c r="I737" s="73"/>
      <c r="J737" s="73"/>
      <c r="K737" s="73"/>
      <c r="L737" s="73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</row>
    <row r="738" spans="1:26" ht="16.5" customHeight="1">
      <c r="A738" s="73"/>
      <c r="B738" s="73"/>
      <c r="C738" s="73"/>
      <c r="D738" s="73"/>
      <c r="E738" s="73"/>
      <c r="F738" s="73"/>
      <c r="G738" s="73"/>
      <c r="H738" s="73"/>
      <c r="I738" s="73"/>
      <c r="J738" s="73"/>
      <c r="K738" s="73"/>
      <c r="L738" s="73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</row>
    <row r="739" spans="1:26" ht="16.5" customHeight="1">
      <c r="A739" s="73"/>
      <c r="B739" s="73"/>
      <c r="C739" s="73"/>
      <c r="D739" s="73"/>
      <c r="E739" s="73"/>
      <c r="F739" s="73"/>
      <c r="G739" s="73"/>
      <c r="H739" s="73"/>
      <c r="I739" s="73"/>
      <c r="J739" s="73"/>
      <c r="K739" s="73"/>
      <c r="L739" s="73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</row>
    <row r="740" spans="1:26" ht="16.5" customHeight="1">
      <c r="A740" s="73"/>
      <c r="B740" s="73"/>
      <c r="C740" s="73"/>
      <c r="D740" s="73"/>
      <c r="E740" s="73"/>
      <c r="F740" s="73"/>
      <c r="G740" s="73"/>
      <c r="H740" s="73"/>
      <c r="I740" s="73"/>
      <c r="J740" s="73"/>
      <c r="K740" s="73"/>
      <c r="L740" s="73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</row>
    <row r="741" spans="1:26" ht="16.5" customHeight="1">
      <c r="A741" s="73"/>
      <c r="B741" s="73"/>
      <c r="C741" s="73"/>
      <c r="D741" s="73"/>
      <c r="E741" s="73"/>
      <c r="F741" s="73"/>
      <c r="G741" s="73"/>
      <c r="H741" s="73"/>
      <c r="I741" s="73"/>
      <c r="J741" s="73"/>
      <c r="K741" s="73"/>
      <c r="L741" s="73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</row>
    <row r="742" spans="1:26" ht="16.5" customHeight="1">
      <c r="A742" s="73"/>
      <c r="B742" s="73"/>
      <c r="C742" s="73"/>
      <c r="D742" s="73"/>
      <c r="E742" s="73"/>
      <c r="F742" s="73"/>
      <c r="G742" s="73"/>
      <c r="H742" s="73"/>
      <c r="I742" s="73"/>
      <c r="J742" s="73"/>
      <c r="K742" s="73"/>
      <c r="L742" s="73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</row>
    <row r="743" spans="1:26" ht="16.5" customHeight="1">
      <c r="A743" s="73"/>
      <c r="B743" s="73"/>
      <c r="C743" s="73"/>
      <c r="D743" s="73"/>
      <c r="E743" s="73"/>
      <c r="F743" s="73"/>
      <c r="G743" s="73"/>
      <c r="H743" s="73"/>
      <c r="I743" s="73"/>
      <c r="J743" s="73"/>
      <c r="K743" s="73"/>
      <c r="L743" s="73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</row>
    <row r="744" spans="1:26" ht="16.5" customHeight="1">
      <c r="A744" s="73"/>
      <c r="B744" s="73"/>
      <c r="C744" s="73"/>
      <c r="D744" s="73"/>
      <c r="E744" s="73"/>
      <c r="F744" s="73"/>
      <c r="G744" s="73"/>
      <c r="H744" s="73"/>
      <c r="I744" s="73"/>
      <c r="J744" s="73"/>
      <c r="K744" s="73"/>
      <c r="L744" s="73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</row>
    <row r="745" spans="1:26" ht="16.5" customHeight="1">
      <c r="A745" s="73"/>
      <c r="B745" s="73"/>
      <c r="C745" s="73"/>
      <c r="D745" s="73"/>
      <c r="E745" s="73"/>
      <c r="F745" s="73"/>
      <c r="G745" s="73"/>
      <c r="H745" s="73"/>
      <c r="I745" s="73"/>
      <c r="J745" s="73"/>
      <c r="K745" s="73"/>
      <c r="L745" s="73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</row>
    <row r="746" spans="1:26" ht="16.5" customHeight="1">
      <c r="A746" s="73"/>
      <c r="B746" s="73"/>
      <c r="C746" s="73"/>
      <c r="D746" s="73"/>
      <c r="E746" s="73"/>
      <c r="F746" s="73"/>
      <c r="G746" s="73"/>
      <c r="H746" s="73"/>
      <c r="I746" s="73"/>
      <c r="J746" s="73"/>
      <c r="K746" s="73"/>
      <c r="L746" s="73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</row>
    <row r="747" spans="1:26" ht="16.5" customHeight="1">
      <c r="A747" s="73"/>
      <c r="B747" s="73"/>
      <c r="C747" s="73"/>
      <c r="D747" s="73"/>
      <c r="E747" s="73"/>
      <c r="F747" s="73"/>
      <c r="G747" s="73"/>
      <c r="H747" s="73"/>
      <c r="I747" s="73"/>
      <c r="J747" s="73"/>
      <c r="K747" s="73"/>
      <c r="L747" s="73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</row>
    <row r="748" spans="1:26" ht="16.5" customHeight="1">
      <c r="A748" s="73"/>
      <c r="B748" s="73"/>
      <c r="C748" s="73"/>
      <c r="D748" s="73"/>
      <c r="E748" s="73"/>
      <c r="F748" s="73"/>
      <c r="G748" s="73"/>
      <c r="H748" s="73"/>
      <c r="I748" s="73"/>
      <c r="J748" s="73"/>
      <c r="K748" s="73"/>
      <c r="L748" s="73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</row>
    <row r="749" spans="1:26" ht="16.5" customHeight="1">
      <c r="A749" s="73"/>
      <c r="B749" s="73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</row>
    <row r="750" spans="1:26" ht="16.5" customHeight="1">
      <c r="A750" s="73"/>
      <c r="B750" s="73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</row>
    <row r="751" spans="1:26" ht="16.5" customHeight="1">
      <c r="A751" s="73"/>
      <c r="B751" s="73"/>
      <c r="C751" s="73"/>
      <c r="D751" s="73"/>
      <c r="E751" s="73"/>
      <c r="F751" s="73"/>
      <c r="G751" s="73"/>
      <c r="H751" s="73"/>
      <c r="I751" s="73"/>
      <c r="J751" s="73"/>
      <c r="K751" s="73"/>
      <c r="L751" s="73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</row>
    <row r="752" spans="1:26" ht="16.5" customHeight="1">
      <c r="A752" s="73"/>
      <c r="B752" s="73"/>
      <c r="C752" s="73"/>
      <c r="D752" s="73"/>
      <c r="E752" s="73"/>
      <c r="F752" s="73"/>
      <c r="G752" s="73"/>
      <c r="H752" s="73"/>
      <c r="I752" s="73"/>
      <c r="J752" s="73"/>
      <c r="K752" s="73"/>
      <c r="L752" s="73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</row>
    <row r="753" spans="1:26" ht="16.5" customHeight="1">
      <c r="A753" s="73"/>
      <c r="B753" s="73"/>
      <c r="C753" s="73"/>
      <c r="D753" s="73"/>
      <c r="E753" s="73"/>
      <c r="F753" s="73"/>
      <c r="G753" s="73"/>
      <c r="H753" s="73"/>
      <c r="I753" s="73"/>
      <c r="J753" s="73"/>
      <c r="K753" s="73"/>
      <c r="L753" s="73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</row>
    <row r="754" spans="1:26" ht="16.5" customHeight="1">
      <c r="A754" s="73"/>
      <c r="B754" s="73"/>
      <c r="C754" s="73"/>
      <c r="D754" s="73"/>
      <c r="E754" s="73"/>
      <c r="F754" s="73"/>
      <c r="G754" s="73"/>
      <c r="H754" s="73"/>
      <c r="I754" s="73"/>
      <c r="J754" s="73"/>
      <c r="K754" s="73"/>
      <c r="L754" s="73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</row>
    <row r="755" spans="1:26" ht="16.5" customHeight="1">
      <c r="A755" s="73"/>
      <c r="B755" s="73"/>
      <c r="C755" s="73"/>
      <c r="D755" s="73"/>
      <c r="E755" s="73"/>
      <c r="F755" s="73"/>
      <c r="G755" s="73"/>
      <c r="H755" s="73"/>
      <c r="I755" s="73"/>
      <c r="J755" s="73"/>
      <c r="K755" s="73"/>
      <c r="L755" s="73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</row>
    <row r="756" spans="1:26" ht="16.5" customHeight="1">
      <c r="A756" s="73"/>
      <c r="B756" s="73"/>
      <c r="C756" s="73"/>
      <c r="D756" s="73"/>
      <c r="E756" s="73"/>
      <c r="F756" s="73"/>
      <c r="G756" s="73"/>
      <c r="H756" s="73"/>
      <c r="I756" s="73"/>
      <c r="J756" s="73"/>
      <c r="K756" s="73"/>
      <c r="L756" s="73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</row>
    <row r="757" spans="1:26" ht="16.5" customHeight="1">
      <c r="A757" s="73"/>
      <c r="B757" s="73"/>
      <c r="C757" s="73"/>
      <c r="D757" s="73"/>
      <c r="E757" s="73"/>
      <c r="F757" s="73"/>
      <c r="G757" s="73"/>
      <c r="H757" s="73"/>
      <c r="I757" s="73"/>
      <c r="J757" s="73"/>
      <c r="K757" s="73"/>
      <c r="L757" s="73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</row>
    <row r="758" spans="1:26" ht="16.5" customHeight="1">
      <c r="A758" s="73"/>
      <c r="B758" s="73"/>
      <c r="C758" s="73"/>
      <c r="D758" s="73"/>
      <c r="E758" s="73"/>
      <c r="F758" s="73"/>
      <c r="G758" s="73"/>
      <c r="H758" s="73"/>
      <c r="I758" s="73"/>
      <c r="J758" s="73"/>
      <c r="K758" s="73"/>
      <c r="L758" s="73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</row>
    <row r="759" spans="1:26" ht="16.5" customHeight="1">
      <c r="A759" s="73"/>
      <c r="B759" s="73"/>
      <c r="C759" s="73"/>
      <c r="D759" s="73"/>
      <c r="E759" s="73"/>
      <c r="F759" s="73"/>
      <c r="G759" s="73"/>
      <c r="H759" s="73"/>
      <c r="I759" s="73"/>
      <c r="J759" s="73"/>
      <c r="K759" s="73"/>
      <c r="L759" s="73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</row>
    <row r="760" spans="1:26" ht="16.5" customHeight="1">
      <c r="A760" s="73"/>
      <c r="B760" s="73"/>
      <c r="C760" s="73"/>
      <c r="D760" s="73"/>
      <c r="E760" s="73"/>
      <c r="F760" s="73"/>
      <c r="G760" s="73"/>
      <c r="H760" s="73"/>
      <c r="I760" s="73"/>
      <c r="J760" s="73"/>
      <c r="K760" s="73"/>
      <c r="L760" s="73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</row>
    <row r="761" spans="1:26" ht="16.5" customHeight="1">
      <c r="A761" s="73"/>
      <c r="B761" s="73"/>
      <c r="C761" s="73"/>
      <c r="D761" s="73"/>
      <c r="E761" s="73"/>
      <c r="F761" s="73"/>
      <c r="G761" s="73"/>
      <c r="H761" s="73"/>
      <c r="I761" s="73"/>
      <c r="J761" s="73"/>
      <c r="K761" s="73"/>
      <c r="L761" s="73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</row>
    <row r="762" spans="1:26" ht="16.5" customHeight="1">
      <c r="A762" s="73"/>
      <c r="B762" s="73"/>
      <c r="C762" s="73"/>
      <c r="D762" s="73"/>
      <c r="E762" s="73"/>
      <c r="F762" s="73"/>
      <c r="G762" s="73"/>
      <c r="H762" s="73"/>
      <c r="I762" s="73"/>
      <c r="J762" s="73"/>
      <c r="K762" s="73"/>
      <c r="L762" s="73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</row>
    <row r="763" spans="1:26" ht="16.5" customHeight="1">
      <c r="A763" s="73"/>
      <c r="B763" s="73"/>
      <c r="C763" s="73"/>
      <c r="D763" s="73"/>
      <c r="E763" s="73"/>
      <c r="F763" s="73"/>
      <c r="G763" s="73"/>
      <c r="H763" s="73"/>
      <c r="I763" s="73"/>
      <c r="J763" s="73"/>
      <c r="K763" s="73"/>
      <c r="L763" s="73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</row>
    <row r="764" spans="1:26" ht="16.5" customHeight="1">
      <c r="A764" s="73"/>
      <c r="B764" s="73"/>
      <c r="C764" s="73"/>
      <c r="D764" s="73"/>
      <c r="E764" s="73"/>
      <c r="F764" s="73"/>
      <c r="G764" s="73"/>
      <c r="H764" s="73"/>
      <c r="I764" s="73"/>
      <c r="J764" s="73"/>
      <c r="K764" s="73"/>
      <c r="L764" s="73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</row>
    <row r="765" spans="1:26" ht="16.5" customHeight="1">
      <c r="A765" s="73"/>
      <c r="B765" s="73"/>
      <c r="C765" s="73"/>
      <c r="D765" s="73"/>
      <c r="E765" s="73"/>
      <c r="F765" s="73"/>
      <c r="G765" s="73"/>
      <c r="H765" s="73"/>
      <c r="I765" s="73"/>
      <c r="J765" s="73"/>
      <c r="K765" s="73"/>
      <c r="L765" s="73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</row>
    <row r="766" spans="1:26" ht="16.5" customHeight="1">
      <c r="A766" s="73"/>
      <c r="B766" s="73"/>
      <c r="C766" s="73"/>
      <c r="D766" s="73"/>
      <c r="E766" s="73"/>
      <c r="F766" s="73"/>
      <c r="G766" s="73"/>
      <c r="H766" s="73"/>
      <c r="I766" s="73"/>
      <c r="J766" s="73"/>
      <c r="K766" s="73"/>
      <c r="L766" s="73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</row>
    <row r="767" spans="1:26" ht="16.5" customHeight="1">
      <c r="A767" s="73"/>
      <c r="B767" s="73"/>
      <c r="C767" s="73"/>
      <c r="D767" s="73"/>
      <c r="E767" s="73"/>
      <c r="F767" s="73"/>
      <c r="G767" s="73"/>
      <c r="H767" s="73"/>
      <c r="I767" s="73"/>
      <c r="J767" s="73"/>
      <c r="K767" s="73"/>
      <c r="L767" s="73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</row>
    <row r="768" spans="1:26" ht="16.5" customHeight="1">
      <c r="A768" s="73"/>
      <c r="B768" s="73"/>
      <c r="C768" s="73"/>
      <c r="D768" s="73"/>
      <c r="E768" s="73"/>
      <c r="F768" s="73"/>
      <c r="G768" s="73"/>
      <c r="H768" s="73"/>
      <c r="I768" s="73"/>
      <c r="J768" s="73"/>
      <c r="K768" s="73"/>
      <c r="L768" s="73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</row>
    <row r="769" spans="1:26" ht="16.5" customHeight="1">
      <c r="A769" s="73"/>
      <c r="B769" s="73"/>
      <c r="C769" s="73"/>
      <c r="D769" s="73"/>
      <c r="E769" s="73"/>
      <c r="F769" s="73"/>
      <c r="G769" s="73"/>
      <c r="H769" s="73"/>
      <c r="I769" s="73"/>
      <c r="J769" s="73"/>
      <c r="K769" s="73"/>
      <c r="L769" s="73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</row>
    <row r="770" spans="1:26" ht="16.5" customHeight="1">
      <c r="A770" s="73"/>
      <c r="B770" s="73"/>
      <c r="C770" s="73"/>
      <c r="D770" s="73"/>
      <c r="E770" s="73"/>
      <c r="F770" s="73"/>
      <c r="G770" s="73"/>
      <c r="H770" s="73"/>
      <c r="I770" s="73"/>
      <c r="J770" s="73"/>
      <c r="K770" s="73"/>
      <c r="L770" s="73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</row>
    <row r="771" spans="1:26" ht="16.5" customHeight="1">
      <c r="A771" s="73"/>
      <c r="B771" s="73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</row>
    <row r="772" spans="1:26" ht="16.5" customHeight="1">
      <c r="A772" s="73"/>
      <c r="B772" s="73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</row>
    <row r="773" spans="1:26" ht="16.5" customHeight="1">
      <c r="A773" s="73"/>
      <c r="B773" s="73"/>
      <c r="C773" s="73"/>
      <c r="D773" s="73"/>
      <c r="E773" s="73"/>
      <c r="F773" s="73"/>
      <c r="G773" s="73"/>
      <c r="H773" s="73"/>
      <c r="I773" s="73"/>
      <c r="J773" s="73"/>
      <c r="K773" s="73"/>
      <c r="L773" s="73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</row>
    <row r="774" spans="1:26" ht="16.5" customHeight="1">
      <c r="A774" s="73"/>
      <c r="B774" s="73"/>
      <c r="C774" s="73"/>
      <c r="D774" s="73"/>
      <c r="E774" s="73"/>
      <c r="F774" s="73"/>
      <c r="G774" s="73"/>
      <c r="H774" s="73"/>
      <c r="I774" s="73"/>
      <c r="J774" s="73"/>
      <c r="K774" s="73"/>
      <c r="L774" s="73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</row>
    <row r="775" spans="1:26" ht="16.5" customHeight="1">
      <c r="A775" s="73"/>
      <c r="B775" s="73"/>
      <c r="C775" s="73"/>
      <c r="D775" s="73"/>
      <c r="E775" s="73"/>
      <c r="F775" s="73"/>
      <c r="G775" s="73"/>
      <c r="H775" s="73"/>
      <c r="I775" s="73"/>
      <c r="J775" s="73"/>
      <c r="K775" s="73"/>
      <c r="L775" s="73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</row>
    <row r="776" spans="1:26" ht="16.5" customHeight="1">
      <c r="A776" s="73"/>
      <c r="B776" s="73"/>
      <c r="C776" s="73"/>
      <c r="D776" s="73"/>
      <c r="E776" s="73"/>
      <c r="F776" s="73"/>
      <c r="G776" s="73"/>
      <c r="H776" s="73"/>
      <c r="I776" s="73"/>
      <c r="J776" s="73"/>
      <c r="K776" s="73"/>
      <c r="L776" s="73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</row>
    <row r="777" spans="1:26" ht="16.5" customHeight="1">
      <c r="A777" s="73"/>
      <c r="B777" s="73"/>
      <c r="C777" s="73"/>
      <c r="D777" s="73"/>
      <c r="E777" s="73"/>
      <c r="F777" s="73"/>
      <c r="G777" s="73"/>
      <c r="H777" s="73"/>
      <c r="I777" s="73"/>
      <c r="J777" s="73"/>
      <c r="K777" s="73"/>
      <c r="L777" s="73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</row>
    <row r="778" spans="1:26" ht="16.5" customHeight="1">
      <c r="A778" s="73"/>
      <c r="B778" s="73"/>
      <c r="C778" s="73"/>
      <c r="D778" s="73"/>
      <c r="E778" s="73"/>
      <c r="F778" s="73"/>
      <c r="G778" s="73"/>
      <c r="H778" s="73"/>
      <c r="I778" s="73"/>
      <c r="J778" s="73"/>
      <c r="K778" s="73"/>
      <c r="L778" s="73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</row>
    <row r="779" spans="1:26" ht="16.5" customHeight="1">
      <c r="A779" s="73"/>
      <c r="B779" s="73"/>
      <c r="C779" s="73"/>
      <c r="D779" s="73"/>
      <c r="E779" s="73"/>
      <c r="F779" s="73"/>
      <c r="G779" s="73"/>
      <c r="H779" s="73"/>
      <c r="I779" s="73"/>
      <c r="J779" s="73"/>
      <c r="K779" s="73"/>
      <c r="L779" s="73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</row>
    <row r="780" spans="1:26" ht="16.5" customHeight="1">
      <c r="A780" s="73"/>
      <c r="B780" s="73"/>
      <c r="C780" s="73"/>
      <c r="D780" s="73"/>
      <c r="E780" s="73"/>
      <c r="F780" s="73"/>
      <c r="G780" s="73"/>
      <c r="H780" s="73"/>
      <c r="I780" s="73"/>
      <c r="J780" s="73"/>
      <c r="K780" s="73"/>
      <c r="L780" s="73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</row>
    <row r="781" spans="1:26" ht="16.5" customHeight="1">
      <c r="A781" s="73"/>
      <c r="B781" s="73"/>
      <c r="C781" s="73"/>
      <c r="D781" s="73"/>
      <c r="E781" s="73"/>
      <c r="F781" s="73"/>
      <c r="G781" s="73"/>
      <c r="H781" s="73"/>
      <c r="I781" s="73"/>
      <c r="J781" s="73"/>
      <c r="K781" s="73"/>
      <c r="L781" s="73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</row>
    <row r="782" spans="1:26" ht="16.5" customHeight="1">
      <c r="A782" s="73"/>
      <c r="B782" s="73"/>
      <c r="C782" s="73"/>
      <c r="D782" s="73"/>
      <c r="E782" s="73"/>
      <c r="F782" s="73"/>
      <c r="G782" s="73"/>
      <c r="H782" s="73"/>
      <c r="I782" s="73"/>
      <c r="J782" s="73"/>
      <c r="K782" s="73"/>
      <c r="L782" s="73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</row>
    <row r="783" spans="1:26" ht="16.5" customHeight="1">
      <c r="A783" s="73"/>
      <c r="B783" s="73"/>
      <c r="C783" s="73"/>
      <c r="D783" s="73"/>
      <c r="E783" s="73"/>
      <c r="F783" s="73"/>
      <c r="G783" s="73"/>
      <c r="H783" s="73"/>
      <c r="I783" s="73"/>
      <c r="J783" s="73"/>
      <c r="K783" s="73"/>
      <c r="L783" s="73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</row>
    <row r="784" spans="1:26" ht="16.5" customHeight="1">
      <c r="A784" s="73"/>
      <c r="B784" s="73"/>
      <c r="C784" s="73"/>
      <c r="D784" s="73"/>
      <c r="E784" s="73"/>
      <c r="F784" s="73"/>
      <c r="G784" s="73"/>
      <c r="H784" s="73"/>
      <c r="I784" s="73"/>
      <c r="J784" s="73"/>
      <c r="K784" s="73"/>
      <c r="L784" s="73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</row>
    <row r="785" spans="1:26" ht="16.5" customHeight="1">
      <c r="A785" s="73"/>
      <c r="B785" s="73"/>
      <c r="C785" s="73"/>
      <c r="D785" s="73"/>
      <c r="E785" s="73"/>
      <c r="F785" s="73"/>
      <c r="G785" s="73"/>
      <c r="H785" s="73"/>
      <c r="I785" s="73"/>
      <c r="J785" s="73"/>
      <c r="K785" s="73"/>
      <c r="L785" s="73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</row>
    <row r="786" spans="1:26" ht="16.5" customHeight="1">
      <c r="A786" s="73"/>
      <c r="B786" s="73"/>
      <c r="C786" s="73"/>
      <c r="D786" s="73"/>
      <c r="E786" s="73"/>
      <c r="F786" s="73"/>
      <c r="G786" s="73"/>
      <c r="H786" s="73"/>
      <c r="I786" s="73"/>
      <c r="J786" s="73"/>
      <c r="K786" s="73"/>
      <c r="L786" s="73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</row>
    <row r="787" spans="1:26" ht="16.5" customHeight="1">
      <c r="A787" s="73"/>
      <c r="B787" s="73"/>
      <c r="C787" s="73"/>
      <c r="D787" s="73"/>
      <c r="E787" s="73"/>
      <c r="F787" s="73"/>
      <c r="G787" s="73"/>
      <c r="H787" s="73"/>
      <c r="I787" s="73"/>
      <c r="J787" s="73"/>
      <c r="K787" s="73"/>
      <c r="L787" s="73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</row>
    <row r="788" spans="1:26" ht="16.5" customHeight="1">
      <c r="A788" s="73"/>
      <c r="B788" s="73"/>
      <c r="C788" s="73"/>
      <c r="D788" s="73"/>
      <c r="E788" s="73"/>
      <c r="F788" s="73"/>
      <c r="G788" s="73"/>
      <c r="H788" s="73"/>
      <c r="I788" s="73"/>
      <c r="J788" s="73"/>
      <c r="K788" s="73"/>
      <c r="L788" s="73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</row>
    <row r="789" spans="1:26" ht="16.5" customHeight="1">
      <c r="A789" s="73"/>
      <c r="B789" s="73"/>
      <c r="C789" s="73"/>
      <c r="D789" s="73"/>
      <c r="E789" s="73"/>
      <c r="F789" s="73"/>
      <c r="G789" s="73"/>
      <c r="H789" s="73"/>
      <c r="I789" s="73"/>
      <c r="J789" s="73"/>
      <c r="K789" s="73"/>
      <c r="L789" s="73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</row>
    <row r="790" spans="1:26" ht="16.5" customHeight="1">
      <c r="A790" s="73"/>
      <c r="B790" s="73"/>
      <c r="C790" s="73"/>
      <c r="D790" s="73"/>
      <c r="E790" s="73"/>
      <c r="F790" s="73"/>
      <c r="G790" s="73"/>
      <c r="H790" s="73"/>
      <c r="I790" s="73"/>
      <c r="J790" s="73"/>
      <c r="K790" s="73"/>
      <c r="L790" s="73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</row>
    <row r="791" spans="1:26" ht="16.5" customHeight="1">
      <c r="A791" s="73"/>
      <c r="B791" s="73"/>
      <c r="C791" s="73"/>
      <c r="D791" s="73"/>
      <c r="E791" s="73"/>
      <c r="F791" s="73"/>
      <c r="G791" s="73"/>
      <c r="H791" s="73"/>
      <c r="I791" s="73"/>
      <c r="J791" s="73"/>
      <c r="K791" s="73"/>
      <c r="L791" s="73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</row>
    <row r="792" spans="1:26" ht="16.5" customHeight="1">
      <c r="A792" s="73"/>
      <c r="B792" s="73"/>
      <c r="C792" s="73"/>
      <c r="D792" s="73"/>
      <c r="E792" s="73"/>
      <c r="F792" s="73"/>
      <c r="G792" s="73"/>
      <c r="H792" s="73"/>
      <c r="I792" s="73"/>
      <c r="J792" s="73"/>
      <c r="K792" s="73"/>
      <c r="L792" s="73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</row>
    <row r="793" spans="1:26" ht="16.5" customHeight="1">
      <c r="A793" s="73"/>
      <c r="B793" s="73"/>
      <c r="C793" s="73"/>
      <c r="D793" s="73"/>
      <c r="E793" s="73"/>
      <c r="F793" s="73"/>
      <c r="G793" s="73"/>
      <c r="H793" s="73"/>
      <c r="I793" s="73"/>
      <c r="J793" s="73"/>
      <c r="K793" s="73"/>
      <c r="L793" s="73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</row>
    <row r="794" spans="1:26" ht="16.5" customHeight="1">
      <c r="A794" s="73"/>
      <c r="B794" s="73"/>
      <c r="C794" s="73"/>
      <c r="D794" s="73"/>
      <c r="E794" s="73"/>
      <c r="F794" s="73"/>
      <c r="G794" s="73"/>
      <c r="H794" s="73"/>
      <c r="I794" s="73"/>
      <c r="J794" s="73"/>
      <c r="K794" s="73"/>
      <c r="L794" s="73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</row>
    <row r="795" spans="1:26" ht="16.5" customHeight="1">
      <c r="A795" s="73"/>
      <c r="B795" s="73"/>
      <c r="C795" s="73"/>
      <c r="D795" s="73"/>
      <c r="E795" s="73"/>
      <c r="F795" s="73"/>
      <c r="G795" s="73"/>
      <c r="H795" s="73"/>
      <c r="I795" s="73"/>
      <c r="J795" s="73"/>
      <c r="K795" s="73"/>
      <c r="L795" s="73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</row>
    <row r="796" spans="1:26" ht="16.5" customHeight="1">
      <c r="A796" s="73"/>
      <c r="B796" s="73"/>
      <c r="C796" s="73"/>
      <c r="D796" s="73"/>
      <c r="E796" s="73"/>
      <c r="F796" s="73"/>
      <c r="G796" s="73"/>
      <c r="H796" s="73"/>
      <c r="I796" s="73"/>
      <c r="J796" s="73"/>
      <c r="K796" s="73"/>
      <c r="L796" s="73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</row>
    <row r="797" spans="1:26" ht="16.5" customHeight="1">
      <c r="A797" s="73"/>
      <c r="B797" s="73"/>
      <c r="C797" s="73"/>
      <c r="D797" s="73"/>
      <c r="E797" s="73"/>
      <c r="F797" s="73"/>
      <c r="G797" s="73"/>
      <c r="H797" s="73"/>
      <c r="I797" s="73"/>
      <c r="J797" s="73"/>
      <c r="K797" s="73"/>
      <c r="L797" s="73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</row>
    <row r="798" spans="1:26" ht="16.5" customHeight="1">
      <c r="A798" s="73"/>
      <c r="B798" s="73"/>
      <c r="C798" s="73"/>
      <c r="D798" s="73"/>
      <c r="E798" s="73"/>
      <c r="F798" s="73"/>
      <c r="G798" s="73"/>
      <c r="H798" s="73"/>
      <c r="I798" s="73"/>
      <c r="J798" s="73"/>
      <c r="K798" s="73"/>
      <c r="L798" s="73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</row>
    <row r="799" spans="1:26" ht="16.5" customHeight="1">
      <c r="A799" s="73"/>
      <c r="B799" s="73"/>
      <c r="C799" s="73"/>
      <c r="D799" s="73"/>
      <c r="E799" s="73"/>
      <c r="F799" s="73"/>
      <c r="G799" s="73"/>
      <c r="H799" s="73"/>
      <c r="I799" s="73"/>
      <c r="J799" s="73"/>
      <c r="K799" s="73"/>
      <c r="L799" s="73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</row>
    <row r="800" spans="1:26" ht="16.5" customHeight="1">
      <c r="A800" s="73"/>
      <c r="B800" s="73"/>
      <c r="C800" s="73"/>
      <c r="D800" s="73"/>
      <c r="E800" s="73"/>
      <c r="F800" s="73"/>
      <c r="G800" s="73"/>
      <c r="H800" s="73"/>
      <c r="I800" s="73"/>
      <c r="J800" s="73"/>
      <c r="K800" s="73"/>
      <c r="L800" s="73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</row>
    <row r="801" spans="1:26" ht="16.5" customHeight="1">
      <c r="A801" s="73"/>
      <c r="B801" s="73"/>
      <c r="C801" s="73"/>
      <c r="D801" s="73"/>
      <c r="E801" s="73"/>
      <c r="F801" s="73"/>
      <c r="G801" s="73"/>
      <c r="H801" s="73"/>
      <c r="I801" s="73"/>
      <c r="J801" s="73"/>
      <c r="K801" s="73"/>
      <c r="L801" s="73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</row>
    <row r="802" spans="1:26" ht="16.5" customHeight="1">
      <c r="A802" s="73"/>
      <c r="B802" s="73"/>
      <c r="C802" s="73"/>
      <c r="D802" s="73"/>
      <c r="E802" s="73"/>
      <c r="F802" s="73"/>
      <c r="G802" s="73"/>
      <c r="H802" s="73"/>
      <c r="I802" s="73"/>
      <c r="J802" s="73"/>
      <c r="K802" s="73"/>
      <c r="L802" s="73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</row>
    <row r="803" spans="1:26" ht="16.5" customHeight="1">
      <c r="A803" s="73"/>
      <c r="B803" s="73"/>
      <c r="C803" s="73"/>
      <c r="D803" s="73"/>
      <c r="E803" s="73"/>
      <c r="F803" s="73"/>
      <c r="G803" s="73"/>
      <c r="H803" s="73"/>
      <c r="I803" s="73"/>
      <c r="J803" s="73"/>
      <c r="K803" s="73"/>
      <c r="L803" s="73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</row>
    <row r="804" spans="1:26" ht="16.5" customHeight="1">
      <c r="A804" s="73"/>
      <c r="B804" s="73"/>
      <c r="C804" s="73"/>
      <c r="D804" s="73"/>
      <c r="E804" s="73"/>
      <c r="F804" s="73"/>
      <c r="G804" s="73"/>
      <c r="H804" s="73"/>
      <c r="I804" s="73"/>
      <c r="J804" s="73"/>
      <c r="K804" s="73"/>
      <c r="L804" s="73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</row>
    <row r="805" spans="1:26" ht="16.5" customHeight="1">
      <c r="A805" s="73"/>
      <c r="B805" s="73"/>
      <c r="C805" s="73"/>
      <c r="D805" s="73"/>
      <c r="E805" s="73"/>
      <c r="F805" s="73"/>
      <c r="G805" s="73"/>
      <c r="H805" s="73"/>
      <c r="I805" s="73"/>
      <c r="J805" s="73"/>
      <c r="K805" s="73"/>
      <c r="L805" s="73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</row>
    <row r="806" spans="1:26" ht="16.5" customHeight="1">
      <c r="A806" s="73"/>
      <c r="B806" s="73"/>
      <c r="C806" s="73"/>
      <c r="D806" s="73"/>
      <c r="E806" s="73"/>
      <c r="F806" s="73"/>
      <c r="G806" s="73"/>
      <c r="H806" s="73"/>
      <c r="I806" s="73"/>
      <c r="J806" s="73"/>
      <c r="K806" s="73"/>
      <c r="L806" s="73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</row>
    <row r="807" spans="1:26" ht="16.5" customHeight="1">
      <c r="A807" s="73"/>
      <c r="B807" s="73"/>
      <c r="C807" s="73"/>
      <c r="D807" s="73"/>
      <c r="E807" s="73"/>
      <c r="F807" s="73"/>
      <c r="G807" s="73"/>
      <c r="H807" s="73"/>
      <c r="I807" s="73"/>
      <c r="J807" s="73"/>
      <c r="K807" s="73"/>
      <c r="L807" s="73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</row>
    <row r="808" spans="1:26" ht="16.5" customHeight="1">
      <c r="A808" s="73"/>
      <c r="B808" s="73"/>
      <c r="C808" s="73"/>
      <c r="D808" s="73"/>
      <c r="E808" s="73"/>
      <c r="F808" s="73"/>
      <c r="G808" s="73"/>
      <c r="H808" s="73"/>
      <c r="I808" s="73"/>
      <c r="J808" s="73"/>
      <c r="K808" s="73"/>
      <c r="L808" s="73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</row>
    <row r="809" spans="1:26" ht="16.5" customHeight="1">
      <c r="A809" s="73"/>
      <c r="B809" s="73"/>
      <c r="C809" s="73"/>
      <c r="D809" s="73"/>
      <c r="E809" s="73"/>
      <c r="F809" s="73"/>
      <c r="G809" s="73"/>
      <c r="H809" s="73"/>
      <c r="I809" s="73"/>
      <c r="J809" s="73"/>
      <c r="K809" s="73"/>
      <c r="L809" s="73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</row>
    <row r="810" spans="1:26" ht="16.5" customHeight="1">
      <c r="A810" s="73"/>
      <c r="B810" s="73"/>
      <c r="C810" s="73"/>
      <c r="D810" s="73"/>
      <c r="E810" s="73"/>
      <c r="F810" s="73"/>
      <c r="G810" s="73"/>
      <c r="H810" s="73"/>
      <c r="I810" s="73"/>
      <c r="J810" s="73"/>
      <c r="K810" s="73"/>
      <c r="L810" s="73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</row>
    <row r="811" spans="1:26" ht="16.5" customHeight="1">
      <c r="A811" s="73"/>
      <c r="B811" s="73"/>
      <c r="C811" s="73"/>
      <c r="D811" s="73"/>
      <c r="E811" s="73"/>
      <c r="F811" s="73"/>
      <c r="G811" s="73"/>
      <c r="H811" s="73"/>
      <c r="I811" s="73"/>
      <c r="J811" s="73"/>
      <c r="K811" s="73"/>
      <c r="L811" s="73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</row>
    <row r="812" spans="1:26" ht="16.5" customHeight="1">
      <c r="A812" s="73"/>
      <c r="B812" s="73"/>
      <c r="C812" s="73"/>
      <c r="D812" s="73"/>
      <c r="E812" s="73"/>
      <c r="F812" s="73"/>
      <c r="G812" s="73"/>
      <c r="H812" s="73"/>
      <c r="I812" s="73"/>
      <c r="J812" s="73"/>
      <c r="K812" s="73"/>
      <c r="L812" s="73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</row>
    <row r="813" spans="1:26" ht="16.5" customHeight="1">
      <c r="A813" s="73"/>
      <c r="B813" s="73"/>
      <c r="C813" s="73"/>
      <c r="D813" s="73"/>
      <c r="E813" s="73"/>
      <c r="F813" s="73"/>
      <c r="G813" s="73"/>
      <c r="H813" s="73"/>
      <c r="I813" s="73"/>
      <c r="J813" s="73"/>
      <c r="K813" s="73"/>
      <c r="L813" s="73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</row>
    <row r="814" spans="1:26" ht="16.5" customHeight="1">
      <c r="A814" s="73"/>
      <c r="B814" s="73"/>
      <c r="C814" s="73"/>
      <c r="D814" s="73"/>
      <c r="E814" s="73"/>
      <c r="F814" s="73"/>
      <c r="G814" s="73"/>
      <c r="H814" s="73"/>
      <c r="I814" s="73"/>
      <c r="J814" s="73"/>
      <c r="K814" s="73"/>
      <c r="L814" s="73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</row>
    <row r="815" spans="1:26" ht="16.5" customHeight="1">
      <c r="A815" s="73"/>
      <c r="B815" s="73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</row>
    <row r="816" spans="1:26" ht="16.5" customHeight="1">
      <c r="A816" s="73"/>
      <c r="B816" s="73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</row>
    <row r="817" spans="1:26" ht="16.5" customHeight="1">
      <c r="A817" s="73"/>
      <c r="B817" s="73"/>
      <c r="C817" s="73"/>
      <c r="D817" s="73"/>
      <c r="E817" s="73"/>
      <c r="F817" s="73"/>
      <c r="G817" s="73"/>
      <c r="H817" s="73"/>
      <c r="I817" s="73"/>
      <c r="J817" s="73"/>
      <c r="K817" s="73"/>
      <c r="L817" s="73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</row>
    <row r="818" spans="1:26" ht="16.5" customHeight="1">
      <c r="A818" s="73"/>
      <c r="B818" s="73"/>
      <c r="C818" s="73"/>
      <c r="D818" s="73"/>
      <c r="E818" s="73"/>
      <c r="F818" s="73"/>
      <c r="G818" s="73"/>
      <c r="H818" s="73"/>
      <c r="I818" s="73"/>
      <c r="J818" s="73"/>
      <c r="K818" s="73"/>
      <c r="L818" s="73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</row>
    <row r="819" spans="1:26" ht="16.5" customHeight="1">
      <c r="A819" s="73"/>
      <c r="B819" s="73"/>
      <c r="C819" s="73"/>
      <c r="D819" s="73"/>
      <c r="E819" s="73"/>
      <c r="F819" s="73"/>
      <c r="G819" s="73"/>
      <c r="H819" s="73"/>
      <c r="I819" s="73"/>
      <c r="J819" s="73"/>
      <c r="K819" s="73"/>
      <c r="L819" s="73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</row>
    <row r="820" spans="1:26" ht="16.5" customHeight="1">
      <c r="A820" s="73"/>
      <c r="B820" s="73"/>
      <c r="C820" s="73"/>
      <c r="D820" s="73"/>
      <c r="E820" s="73"/>
      <c r="F820" s="73"/>
      <c r="G820" s="73"/>
      <c r="H820" s="73"/>
      <c r="I820" s="73"/>
      <c r="J820" s="73"/>
      <c r="K820" s="73"/>
      <c r="L820" s="73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</row>
    <row r="821" spans="1:26" ht="16.5" customHeight="1">
      <c r="A821" s="73"/>
      <c r="B821" s="73"/>
      <c r="C821" s="73"/>
      <c r="D821" s="73"/>
      <c r="E821" s="73"/>
      <c r="F821" s="73"/>
      <c r="G821" s="73"/>
      <c r="H821" s="73"/>
      <c r="I821" s="73"/>
      <c r="J821" s="73"/>
      <c r="K821" s="73"/>
      <c r="L821" s="73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</row>
    <row r="822" spans="1:26" ht="16.5" customHeight="1">
      <c r="A822" s="73"/>
      <c r="B822" s="73"/>
      <c r="C822" s="73"/>
      <c r="D822" s="73"/>
      <c r="E822" s="73"/>
      <c r="F822" s="73"/>
      <c r="G822" s="73"/>
      <c r="H822" s="73"/>
      <c r="I822" s="73"/>
      <c r="J822" s="73"/>
      <c r="K822" s="73"/>
      <c r="L822" s="73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</row>
    <row r="823" spans="1:26" ht="16.5" customHeight="1">
      <c r="A823" s="73"/>
      <c r="B823" s="73"/>
      <c r="C823" s="73"/>
      <c r="D823" s="73"/>
      <c r="E823" s="73"/>
      <c r="F823" s="73"/>
      <c r="G823" s="73"/>
      <c r="H823" s="73"/>
      <c r="I823" s="73"/>
      <c r="J823" s="73"/>
      <c r="K823" s="73"/>
      <c r="L823" s="73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</row>
    <row r="824" spans="1:26" ht="16.5" customHeight="1">
      <c r="A824" s="73"/>
      <c r="B824" s="73"/>
      <c r="C824" s="73"/>
      <c r="D824" s="73"/>
      <c r="E824" s="73"/>
      <c r="F824" s="73"/>
      <c r="G824" s="73"/>
      <c r="H824" s="73"/>
      <c r="I824" s="73"/>
      <c r="J824" s="73"/>
      <c r="K824" s="73"/>
      <c r="L824" s="73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</row>
    <row r="825" spans="1:26" ht="16.5" customHeight="1">
      <c r="A825" s="73"/>
      <c r="B825" s="73"/>
      <c r="C825" s="73"/>
      <c r="D825" s="73"/>
      <c r="E825" s="73"/>
      <c r="F825" s="73"/>
      <c r="G825" s="73"/>
      <c r="H825" s="73"/>
      <c r="I825" s="73"/>
      <c r="J825" s="73"/>
      <c r="K825" s="73"/>
      <c r="L825" s="73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</row>
    <row r="826" spans="1:26" ht="16.5" customHeight="1">
      <c r="A826" s="73"/>
      <c r="B826" s="73"/>
      <c r="C826" s="73"/>
      <c r="D826" s="73"/>
      <c r="E826" s="73"/>
      <c r="F826" s="73"/>
      <c r="G826" s="73"/>
      <c r="H826" s="73"/>
      <c r="I826" s="73"/>
      <c r="J826" s="73"/>
      <c r="K826" s="73"/>
      <c r="L826" s="73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</row>
    <row r="827" spans="1:26" ht="16.5" customHeight="1">
      <c r="A827" s="73"/>
      <c r="B827" s="73"/>
      <c r="C827" s="73"/>
      <c r="D827" s="73"/>
      <c r="E827" s="73"/>
      <c r="F827" s="73"/>
      <c r="G827" s="73"/>
      <c r="H827" s="73"/>
      <c r="I827" s="73"/>
      <c r="J827" s="73"/>
      <c r="K827" s="73"/>
      <c r="L827" s="73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</row>
    <row r="828" spans="1:26" ht="16.5" customHeight="1">
      <c r="A828" s="73"/>
      <c r="B828" s="73"/>
      <c r="C828" s="73"/>
      <c r="D828" s="73"/>
      <c r="E828" s="73"/>
      <c r="F828" s="73"/>
      <c r="G828" s="73"/>
      <c r="H828" s="73"/>
      <c r="I828" s="73"/>
      <c r="J828" s="73"/>
      <c r="K828" s="73"/>
      <c r="L828" s="73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</row>
    <row r="829" spans="1:26" ht="16.5" customHeight="1">
      <c r="A829" s="73"/>
      <c r="B829" s="73"/>
      <c r="C829" s="73"/>
      <c r="D829" s="73"/>
      <c r="E829" s="73"/>
      <c r="F829" s="73"/>
      <c r="G829" s="73"/>
      <c r="H829" s="73"/>
      <c r="I829" s="73"/>
      <c r="J829" s="73"/>
      <c r="K829" s="73"/>
      <c r="L829" s="73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</row>
    <row r="830" spans="1:26" ht="16.5" customHeight="1">
      <c r="A830" s="73"/>
      <c r="B830" s="73"/>
      <c r="C830" s="73"/>
      <c r="D830" s="73"/>
      <c r="E830" s="73"/>
      <c r="F830" s="73"/>
      <c r="G830" s="73"/>
      <c r="H830" s="73"/>
      <c r="I830" s="73"/>
      <c r="J830" s="73"/>
      <c r="K830" s="73"/>
      <c r="L830" s="73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</row>
    <row r="831" spans="1:26" ht="16.5" customHeight="1">
      <c r="A831" s="73"/>
      <c r="B831" s="73"/>
      <c r="C831" s="73"/>
      <c r="D831" s="73"/>
      <c r="E831" s="73"/>
      <c r="F831" s="73"/>
      <c r="G831" s="73"/>
      <c r="H831" s="73"/>
      <c r="I831" s="73"/>
      <c r="J831" s="73"/>
      <c r="K831" s="73"/>
      <c r="L831" s="73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</row>
    <row r="832" spans="1:26" ht="16.5" customHeight="1">
      <c r="A832" s="73"/>
      <c r="B832" s="73"/>
      <c r="C832" s="73"/>
      <c r="D832" s="73"/>
      <c r="E832" s="73"/>
      <c r="F832" s="73"/>
      <c r="G832" s="73"/>
      <c r="H832" s="73"/>
      <c r="I832" s="73"/>
      <c r="J832" s="73"/>
      <c r="K832" s="73"/>
      <c r="L832" s="73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</row>
    <row r="833" spans="1:26" ht="16.5" customHeight="1">
      <c r="A833" s="73"/>
      <c r="B833" s="73"/>
      <c r="C833" s="73"/>
      <c r="D833" s="73"/>
      <c r="E833" s="73"/>
      <c r="F833" s="73"/>
      <c r="G833" s="73"/>
      <c r="H833" s="73"/>
      <c r="I833" s="73"/>
      <c r="J833" s="73"/>
      <c r="K833" s="73"/>
      <c r="L833" s="73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</row>
    <row r="834" spans="1:26" ht="16.5" customHeight="1">
      <c r="A834" s="73"/>
      <c r="B834" s="73"/>
      <c r="C834" s="73"/>
      <c r="D834" s="73"/>
      <c r="E834" s="73"/>
      <c r="F834" s="73"/>
      <c r="G834" s="73"/>
      <c r="H834" s="73"/>
      <c r="I834" s="73"/>
      <c r="J834" s="73"/>
      <c r="K834" s="73"/>
      <c r="L834" s="73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</row>
    <row r="835" spans="1:26" ht="16.5" customHeight="1">
      <c r="A835" s="73"/>
      <c r="B835" s="73"/>
      <c r="C835" s="73"/>
      <c r="D835" s="73"/>
      <c r="E835" s="73"/>
      <c r="F835" s="73"/>
      <c r="G835" s="73"/>
      <c r="H835" s="73"/>
      <c r="I835" s="73"/>
      <c r="J835" s="73"/>
      <c r="K835" s="73"/>
      <c r="L835" s="73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</row>
    <row r="836" spans="1:26" ht="16.5" customHeight="1">
      <c r="A836" s="73"/>
      <c r="B836" s="73"/>
      <c r="C836" s="73"/>
      <c r="D836" s="73"/>
      <c r="E836" s="73"/>
      <c r="F836" s="73"/>
      <c r="G836" s="73"/>
      <c r="H836" s="73"/>
      <c r="I836" s="73"/>
      <c r="J836" s="73"/>
      <c r="K836" s="73"/>
      <c r="L836" s="73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</row>
    <row r="837" spans="1:26" ht="16.5" customHeight="1">
      <c r="A837" s="73"/>
      <c r="B837" s="73"/>
      <c r="C837" s="73"/>
      <c r="D837" s="73"/>
      <c r="E837" s="73"/>
      <c r="F837" s="73"/>
      <c r="G837" s="73"/>
      <c r="H837" s="73"/>
      <c r="I837" s="73"/>
      <c r="J837" s="73"/>
      <c r="K837" s="73"/>
      <c r="L837" s="73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</row>
    <row r="838" spans="1:26" ht="16.5" customHeight="1">
      <c r="A838" s="73"/>
      <c r="B838" s="73"/>
      <c r="C838" s="73"/>
      <c r="D838" s="73"/>
      <c r="E838" s="73"/>
      <c r="F838" s="73"/>
      <c r="G838" s="73"/>
      <c r="H838" s="73"/>
      <c r="I838" s="73"/>
      <c r="J838" s="73"/>
      <c r="K838" s="73"/>
      <c r="L838" s="73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</row>
    <row r="839" spans="1:26" ht="16.5" customHeight="1">
      <c r="A839" s="73"/>
      <c r="B839" s="73"/>
      <c r="C839" s="73"/>
      <c r="D839" s="73"/>
      <c r="E839" s="73"/>
      <c r="F839" s="73"/>
      <c r="G839" s="73"/>
      <c r="H839" s="73"/>
      <c r="I839" s="73"/>
      <c r="J839" s="73"/>
      <c r="K839" s="73"/>
      <c r="L839" s="73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</row>
    <row r="840" spans="1:26" ht="16.5" customHeight="1">
      <c r="A840" s="73"/>
      <c r="B840" s="73"/>
      <c r="C840" s="73"/>
      <c r="D840" s="73"/>
      <c r="E840" s="73"/>
      <c r="F840" s="73"/>
      <c r="G840" s="73"/>
      <c r="H840" s="73"/>
      <c r="I840" s="73"/>
      <c r="J840" s="73"/>
      <c r="K840" s="73"/>
      <c r="L840" s="73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</row>
    <row r="841" spans="1:26" ht="16.5" customHeight="1">
      <c r="A841" s="73"/>
      <c r="B841" s="73"/>
      <c r="C841" s="73"/>
      <c r="D841" s="73"/>
      <c r="E841" s="73"/>
      <c r="F841" s="73"/>
      <c r="G841" s="73"/>
      <c r="H841" s="73"/>
      <c r="I841" s="73"/>
      <c r="J841" s="73"/>
      <c r="K841" s="73"/>
      <c r="L841" s="73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</row>
    <row r="842" spans="1:26" ht="16.5" customHeight="1">
      <c r="A842" s="73"/>
      <c r="B842" s="73"/>
      <c r="C842" s="73"/>
      <c r="D842" s="73"/>
      <c r="E842" s="73"/>
      <c r="F842" s="73"/>
      <c r="G842" s="73"/>
      <c r="H842" s="73"/>
      <c r="I842" s="73"/>
      <c r="J842" s="73"/>
      <c r="K842" s="73"/>
      <c r="L842" s="73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</row>
    <row r="843" spans="1:26" ht="16.5" customHeight="1">
      <c r="A843" s="73"/>
      <c r="B843" s="73"/>
      <c r="C843" s="73"/>
      <c r="D843" s="73"/>
      <c r="E843" s="73"/>
      <c r="F843" s="73"/>
      <c r="G843" s="73"/>
      <c r="H843" s="73"/>
      <c r="I843" s="73"/>
      <c r="J843" s="73"/>
      <c r="K843" s="73"/>
      <c r="L843" s="73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</row>
    <row r="844" spans="1:26" ht="16.5" customHeight="1">
      <c r="A844" s="73"/>
      <c r="B844" s="73"/>
      <c r="C844" s="73"/>
      <c r="D844" s="73"/>
      <c r="E844" s="73"/>
      <c r="F844" s="73"/>
      <c r="G844" s="73"/>
      <c r="H844" s="73"/>
      <c r="I844" s="73"/>
      <c r="J844" s="73"/>
      <c r="K844" s="73"/>
      <c r="L844" s="73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</row>
    <row r="845" spans="1:26" ht="16.5" customHeight="1">
      <c r="A845" s="73"/>
      <c r="B845" s="73"/>
      <c r="C845" s="73"/>
      <c r="D845" s="73"/>
      <c r="E845" s="73"/>
      <c r="F845" s="73"/>
      <c r="G845" s="73"/>
      <c r="H845" s="73"/>
      <c r="I845" s="73"/>
      <c r="J845" s="73"/>
      <c r="K845" s="73"/>
      <c r="L845" s="73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</row>
    <row r="846" spans="1:26" ht="16.5" customHeight="1">
      <c r="A846" s="73"/>
      <c r="B846" s="73"/>
      <c r="C846" s="73"/>
      <c r="D846" s="73"/>
      <c r="E846" s="73"/>
      <c r="F846" s="73"/>
      <c r="G846" s="73"/>
      <c r="H846" s="73"/>
      <c r="I846" s="73"/>
      <c r="J846" s="73"/>
      <c r="K846" s="73"/>
      <c r="L846" s="73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</row>
    <row r="847" spans="1:26" ht="16.5" customHeight="1">
      <c r="A847" s="73"/>
      <c r="B847" s="73"/>
      <c r="C847" s="73"/>
      <c r="D847" s="73"/>
      <c r="E847" s="73"/>
      <c r="F847" s="73"/>
      <c r="G847" s="73"/>
      <c r="H847" s="73"/>
      <c r="I847" s="73"/>
      <c r="J847" s="73"/>
      <c r="K847" s="73"/>
      <c r="L847" s="73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</row>
    <row r="848" spans="1:26" ht="16.5" customHeight="1">
      <c r="A848" s="73"/>
      <c r="B848" s="73"/>
      <c r="C848" s="73"/>
      <c r="D848" s="73"/>
      <c r="E848" s="73"/>
      <c r="F848" s="73"/>
      <c r="G848" s="73"/>
      <c r="H848" s="73"/>
      <c r="I848" s="73"/>
      <c r="J848" s="73"/>
      <c r="K848" s="73"/>
      <c r="L848" s="73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</row>
    <row r="849" spans="1:26" ht="16.5" customHeight="1">
      <c r="A849" s="73"/>
      <c r="B849" s="73"/>
      <c r="C849" s="73"/>
      <c r="D849" s="73"/>
      <c r="E849" s="73"/>
      <c r="F849" s="73"/>
      <c r="G849" s="73"/>
      <c r="H849" s="73"/>
      <c r="I849" s="73"/>
      <c r="J849" s="73"/>
      <c r="K849" s="73"/>
      <c r="L849" s="73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</row>
    <row r="850" spans="1:26" ht="16.5" customHeight="1">
      <c r="A850" s="73"/>
      <c r="B850" s="73"/>
      <c r="C850" s="73"/>
      <c r="D850" s="73"/>
      <c r="E850" s="73"/>
      <c r="F850" s="73"/>
      <c r="G850" s="73"/>
      <c r="H850" s="73"/>
      <c r="I850" s="73"/>
      <c r="J850" s="73"/>
      <c r="K850" s="73"/>
      <c r="L850" s="73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</row>
    <row r="851" spans="1:26" ht="16.5" customHeight="1">
      <c r="A851" s="73"/>
      <c r="B851" s="73"/>
      <c r="C851" s="73"/>
      <c r="D851" s="73"/>
      <c r="E851" s="73"/>
      <c r="F851" s="73"/>
      <c r="G851" s="73"/>
      <c r="H851" s="73"/>
      <c r="I851" s="73"/>
      <c r="J851" s="73"/>
      <c r="K851" s="73"/>
      <c r="L851" s="73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</row>
    <row r="852" spans="1:26" ht="16.5" customHeight="1">
      <c r="A852" s="73"/>
      <c r="B852" s="73"/>
      <c r="C852" s="73"/>
      <c r="D852" s="73"/>
      <c r="E852" s="73"/>
      <c r="F852" s="73"/>
      <c r="G852" s="73"/>
      <c r="H852" s="73"/>
      <c r="I852" s="73"/>
      <c r="J852" s="73"/>
      <c r="K852" s="73"/>
      <c r="L852" s="73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</row>
    <row r="853" spans="1:26" ht="16.5" customHeight="1">
      <c r="A853" s="73"/>
      <c r="B853" s="73"/>
      <c r="C853" s="73"/>
      <c r="D853" s="73"/>
      <c r="E853" s="73"/>
      <c r="F853" s="73"/>
      <c r="G853" s="73"/>
      <c r="H853" s="73"/>
      <c r="I853" s="73"/>
      <c r="J853" s="73"/>
      <c r="K853" s="73"/>
      <c r="L853" s="73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</row>
    <row r="854" spans="1:26" ht="16.5" customHeight="1">
      <c r="A854" s="73"/>
      <c r="B854" s="73"/>
      <c r="C854" s="73"/>
      <c r="D854" s="73"/>
      <c r="E854" s="73"/>
      <c r="F854" s="73"/>
      <c r="G854" s="73"/>
      <c r="H854" s="73"/>
      <c r="I854" s="73"/>
      <c r="J854" s="73"/>
      <c r="K854" s="73"/>
      <c r="L854" s="73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</row>
    <row r="855" spans="1:26" ht="16.5" customHeight="1">
      <c r="A855" s="73"/>
      <c r="B855" s="73"/>
      <c r="C855" s="73"/>
      <c r="D855" s="73"/>
      <c r="E855" s="73"/>
      <c r="F855" s="73"/>
      <c r="G855" s="73"/>
      <c r="H855" s="73"/>
      <c r="I855" s="73"/>
      <c r="J855" s="73"/>
      <c r="K855" s="73"/>
      <c r="L855" s="73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</row>
    <row r="856" spans="1:26" ht="16.5" customHeight="1">
      <c r="A856" s="73"/>
      <c r="B856" s="73"/>
      <c r="C856" s="73"/>
      <c r="D856" s="73"/>
      <c r="E856" s="73"/>
      <c r="F856" s="73"/>
      <c r="G856" s="73"/>
      <c r="H856" s="73"/>
      <c r="I856" s="73"/>
      <c r="J856" s="73"/>
      <c r="K856" s="73"/>
      <c r="L856" s="73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</row>
    <row r="857" spans="1:26" ht="16.5" customHeight="1">
      <c r="A857" s="73"/>
      <c r="B857" s="73"/>
      <c r="C857" s="73"/>
      <c r="D857" s="73"/>
      <c r="E857" s="73"/>
      <c r="F857" s="73"/>
      <c r="G857" s="73"/>
      <c r="H857" s="73"/>
      <c r="I857" s="73"/>
      <c r="J857" s="73"/>
      <c r="K857" s="73"/>
      <c r="L857" s="73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</row>
    <row r="858" spans="1:26" ht="16.5" customHeight="1">
      <c r="A858" s="73"/>
      <c r="B858" s="73"/>
      <c r="C858" s="73"/>
      <c r="D858" s="73"/>
      <c r="E858" s="73"/>
      <c r="F858" s="73"/>
      <c r="G858" s="73"/>
      <c r="H858" s="73"/>
      <c r="I858" s="73"/>
      <c r="J858" s="73"/>
      <c r="K858" s="73"/>
      <c r="L858" s="73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</row>
    <row r="859" spans="1:26" ht="16.5" customHeight="1">
      <c r="A859" s="73"/>
      <c r="B859" s="73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</row>
    <row r="860" spans="1:26" ht="16.5" customHeight="1">
      <c r="A860" s="73"/>
      <c r="B860" s="73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</row>
    <row r="861" spans="1:26" ht="16.5" customHeight="1">
      <c r="A861" s="73"/>
      <c r="B861" s="73"/>
      <c r="C861" s="73"/>
      <c r="D861" s="73"/>
      <c r="E861" s="73"/>
      <c r="F861" s="73"/>
      <c r="G861" s="73"/>
      <c r="H861" s="73"/>
      <c r="I861" s="73"/>
      <c r="J861" s="73"/>
      <c r="K861" s="73"/>
      <c r="L861" s="73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</row>
    <row r="862" spans="1:26" ht="16.5" customHeight="1">
      <c r="A862" s="73"/>
      <c r="B862" s="73"/>
      <c r="C862" s="73"/>
      <c r="D862" s="73"/>
      <c r="E862" s="73"/>
      <c r="F862" s="73"/>
      <c r="G862" s="73"/>
      <c r="H862" s="73"/>
      <c r="I862" s="73"/>
      <c r="J862" s="73"/>
      <c r="K862" s="73"/>
      <c r="L862" s="73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</row>
    <row r="863" spans="1:26" ht="16.5" customHeight="1">
      <c r="A863" s="73"/>
      <c r="B863" s="73"/>
      <c r="C863" s="73"/>
      <c r="D863" s="73"/>
      <c r="E863" s="73"/>
      <c r="F863" s="73"/>
      <c r="G863" s="73"/>
      <c r="H863" s="73"/>
      <c r="I863" s="73"/>
      <c r="J863" s="73"/>
      <c r="K863" s="73"/>
      <c r="L863" s="73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</row>
    <row r="864" spans="1:26" ht="16.5" customHeight="1">
      <c r="A864" s="73"/>
      <c r="B864" s="73"/>
      <c r="C864" s="73"/>
      <c r="D864" s="73"/>
      <c r="E864" s="73"/>
      <c r="F864" s="73"/>
      <c r="G864" s="73"/>
      <c r="H864" s="73"/>
      <c r="I864" s="73"/>
      <c r="J864" s="73"/>
      <c r="K864" s="73"/>
      <c r="L864" s="73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</row>
    <row r="865" spans="1:26" ht="16.5" customHeight="1">
      <c r="A865" s="73"/>
      <c r="B865" s="73"/>
      <c r="C865" s="73"/>
      <c r="D865" s="73"/>
      <c r="E865" s="73"/>
      <c r="F865" s="73"/>
      <c r="G865" s="73"/>
      <c r="H865" s="73"/>
      <c r="I865" s="73"/>
      <c r="J865" s="73"/>
      <c r="K865" s="73"/>
      <c r="L865" s="73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</row>
    <row r="866" spans="1:26" ht="16.5" customHeight="1">
      <c r="A866" s="73"/>
      <c r="B866" s="73"/>
      <c r="C866" s="73"/>
      <c r="D866" s="73"/>
      <c r="E866" s="73"/>
      <c r="F866" s="73"/>
      <c r="G866" s="73"/>
      <c r="H866" s="73"/>
      <c r="I866" s="73"/>
      <c r="J866" s="73"/>
      <c r="K866" s="73"/>
      <c r="L866" s="73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</row>
    <row r="867" spans="1:26" ht="16.5" customHeight="1">
      <c r="A867" s="73"/>
      <c r="B867" s="73"/>
      <c r="C867" s="73"/>
      <c r="D867" s="73"/>
      <c r="E867" s="73"/>
      <c r="F867" s="73"/>
      <c r="G867" s="73"/>
      <c r="H867" s="73"/>
      <c r="I867" s="73"/>
      <c r="J867" s="73"/>
      <c r="K867" s="73"/>
      <c r="L867" s="73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</row>
    <row r="868" spans="1:26" ht="16.5" customHeight="1">
      <c r="A868" s="73"/>
      <c r="B868" s="73"/>
      <c r="C868" s="73"/>
      <c r="D868" s="73"/>
      <c r="E868" s="73"/>
      <c r="F868" s="73"/>
      <c r="G868" s="73"/>
      <c r="H868" s="73"/>
      <c r="I868" s="73"/>
      <c r="J868" s="73"/>
      <c r="K868" s="73"/>
      <c r="L868" s="73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</row>
    <row r="869" spans="1:26" ht="16.5" customHeight="1">
      <c r="A869" s="73"/>
      <c r="B869" s="73"/>
      <c r="C869" s="73"/>
      <c r="D869" s="73"/>
      <c r="E869" s="73"/>
      <c r="F869" s="73"/>
      <c r="G869" s="73"/>
      <c r="H869" s="73"/>
      <c r="I869" s="73"/>
      <c r="J869" s="73"/>
      <c r="K869" s="73"/>
      <c r="L869" s="73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</row>
    <row r="870" spans="1:26" ht="16.5" customHeight="1">
      <c r="A870" s="73"/>
      <c r="B870" s="73"/>
      <c r="C870" s="73"/>
      <c r="D870" s="73"/>
      <c r="E870" s="73"/>
      <c r="F870" s="73"/>
      <c r="G870" s="73"/>
      <c r="H870" s="73"/>
      <c r="I870" s="73"/>
      <c r="J870" s="73"/>
      <c r="K870" s="73"/>
      <c r="L870" s="73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</row>
    <row r="871" spans="1:26" ht="16.5" customHeight="1">
      <c r="A871" s="73"/>
      <c r="B871" s="73"/>
      <c r="C871" s="73"/>
      <c r="D871" s="73"/>
      <c r="E871" s="73"/>
      <c r="F871" s="73"/>
      <c r="G871" s="73"/>
      <c r="H871" s="73"/>
      <c r="I871" s="73"/>
      <c r="J871" s="73"/>
      <c r="K871" s="73"/>
      <c r="L871" s="73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</row>
    <row r="872" spans="1:26" ht="16.5" customHeight="1">
      <c r="A872" s="73"/>
      <c r="B872" s="73"/>
      <c r="C872" s="73"/>
      <c r="D872" s="73"/>
      <c r="E872" s="73"/>
      <c r="F872" s="73"/>
      <c r="G872" s="73"/>
      <c r="H872" s="73"/>
      <c r="I872" s="73"/>
      <c r="J872" s="73"/>
      <c r="K872" s="73"/>
      <c r="L872" s="73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</row>
    <row r="873" spans="1:26" ht="16.5" customHeight="1">
      <c r="A873" s="73"/>
      <c r="B873" s="73"/>
      <c r="C873" s="73"/>
      <c r="D873" s="73"/>
      <c r="E873" s="73"/>
      <c r="F873" s="73"/>
      <c r="G873" s="73"/>
      <c r="H873" s="73"/>
      <c r="I873" s="73"/>
      <c r="J873" s="73"/>
      <c r="K873" s="73"/>
      <c r="L873" s="73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</row>
    <row r="874" spans="1:26" ht="16.5" customHeight="1">
      <c r="A874" s="73"/>
      <c r="B874" s="73"/>
      <c r="C874" s="73"/>
      <c r="D874" s="73"/>
      <c r="E874" s="73"/>
      <c r="F874" s="73"/>
      <c r="G874" s="73"/>
      <c r="H874" s="73"/>
      <c r="I874" s="73"/>
      <c r="J874" s="73"/>
      <c r="K874" s="73"/>
      <c r="L874" s="73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</row>
    <row r="875" spans="1:26" ht="16.5" customHeight="1">
      <c r="A875" s="73"/>
      <c r="B875" s="73"/>
      <c r="C875" s="73"/>
      <c r="D875" s="73"/>
      <c r="E875" s="73"/>
      <c r="F875" s="73"/>
      <c r="G875" s="73"/>
      <c r="H875" s="73"/>
      <c r="I875" s="73"/>
      <c r="J875" s="73"/>
      <c r="K875" s="73"/>
      <c r="L875" s="73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</row>
    <row r="876" spans="1:26" ht="16.5" customHeight="1">
      <c r="A876" s="73"/>
      <c r="B876" s="73"/>
      <c r="C876" s="73"/>
      <c r="D876" s="73"/>
      <c r="E876" s="73"/>
      <c r="F876" s="73"/>
      <c r="G876" s="73"/>
      <c r="H876" s="73"/>
      <c r="I876" s="73"/>
      <c r="J876" s="73"/>
      <c r="K876" s="73"/>
      <c r="L876" s="73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</row>
    <row r="877" spans="1:26" ht="16.5" customHeight="1">
      <c r="A877" s="73"/>
      <c r="B877" s="73"/>
      <c r="C877" s="73"/>
      <c r="D877" s="73"/>
      <c r="E877" s="73"/>
      <c r="F877" s="73"/>
      <c r="G877" s="73"/>
      <c r="H877" s="73"/>
      <c r="I877" s="73"/>
      <c r="J877" s="73"/>
      <c r="K877" s="73"/>
      <c r="L877" s="73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</row>
    <row r="878" spans="1:26" ht="16.5" customHeight="1">
      <c r="A878" s="73"/>
      <c r="B878" s="73"/>
      <c r="C878" s="73"/>
      <c r="D878" s="73"/>
      <c r="E878" s="73"/>
      <c r="F878" s="73"/>
      <c r="G878" s="73"/>
      <c r="H878" s="73"/>
      <c r="I878" s="73"/>
      <c r="J878" s="73"/>
      <c r="K878" s="73"/>
      <c r="L878" s="73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</row>
    <row r="879" spans="1:26" ht="16.5" customHeight="1">
      <c r="A879" s="73"/>
      <c r="B879" s="73"/>
      <c r="C879" s="73"/>
      <c r="D879" s="73"/>
      <c r="E879" s="73"/>
      <c r="F879" s="73"/>
      <c r="G879" s="73"/>
      <c r="H879" s="73"/>
      <c r="I879" s="73"/>
      <c r="J879" s="73"/>
      <c r="K879" s="73"/>
      <c r="L879" s="73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</row>
    <row r="880" spans="1:26" ht="16.5" customHeight="1">
      <c r="A880" s="73"/>
      <c r="B880" s="73"/>
      <c r="C880" s="73"/>
      <c r="D880" s="73"/>
      <c r="E880" s="73"/>
      <c r="F880" s="73"/>
      <c r="G880" s="73"/>
      <c r="H880" s="73"/>
      <c r="I880" s="73"/>
      <c r="J880" s="73"/>
      <c r="K880" s="73"/>
      <c r="L880" s="73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</row>
    <row r="881" spans="1:26" ht="16.5" customHeight="1">
      <c r="A881" s="73"/>
      <c r="B881" s="73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</row>
    <row r="882" spans="1:26" ht="16.5" customHeight="1">
      <c r="A882" s="73"/>
      <c r="B882" s="73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</row>
    <row r="883" spans="1:26" ht="16.5" customHeight="1">
      <c r="A883" s="73"/>
      <c r="B883" s="73"/>
      <c r="C883" s="73"/>
      <c r="D883" s="73"/>
      <c r="E883" s="73"/>
      <c r="F883" s="73"/>
      <c r="G883" s="73"/>
      <c r="H883" s="73"/>
      <c r="I883" s="73"/>
      <c r="J883" s="73"/>
      <c r="K883" s="73"/>
      <c r="L883" s="73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</row>
    <row r="884" spans="1:26" ht="16.5" customHeight="1">
      <c r="A884" s="73"/>
      <c r="B884" s="73"/>
      <c r="C884" s="73"/>
      <c r="D884" s="73"/>
      <c r="E884" s="73"/>
      <c r="F884" s="73"/>
      <c r="G884" s="73"/>
      <c r="H884" s="73"/>
      <c r="I884" s="73"/>
      <c r="J884" s="73"/>
      <c r="K884" s="73"/>
      <c r="L884" s="73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</row>
    <row r="885" spans="1:26" ht="16.5" customHeight="1">
      <c r="A885" s="73"/>
      <c r="B885" s="73"/>
      <c r="C885" s="73"/>
      <c r="D885" s="73"/>
      <c r="E885" s="73"/>
      <c r="F885" s="73"/>
      <c r="G885" s="73"/>
      <c r="H885" s="73"/>
      <c r="I885" s="73"/>
      <c r="J885" s="73"/>
      <c r="K885" s="73"/>
      <c r="L885" s="73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</row>
    <row r="886" spans="1:26" ht="16.5" customHeight="1">
      <c r="A886" s="73"/>
      <c r="B886" s="73"/>
      <c r="C886" s="73"/>
      <c r="D886" s="73"/>
      <c r="E886" s="73"/>
      <c r="F886" s="73"/>
      <c r="G886" s="73"/>
      <c r="H886" s="73"/>
      <c r="I886" s="73"/>
      <c r="J886" s="73"/>
      <c r="K886" s="73"/>
      <c r="L886" s="73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</row>
    <row r="887" spans="1:26" ht="16.5" customHeight="1">
      <c r="A887" s="73"/>
      <c r="B887" s="73"/>
      <c r="C887" s="73"/>
      <c r="D887" s="73"/>
      <c r="E887" s="73"/>
      <c r="F887" s="73"/>
      <c r="G887" s="73"/>
      <c r="H887" s="73"/>
      <c r="I887" s="73"/>
      <c r="J887" s="73"/>
      <c r="K887" s="73"/>
      <c r="L887" s="73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</row>
    <row r="888" spans="1:26" ht="16.5" customHeight="1">
      <c r="A888" s="73"/>
      <c r="B888" s="73"/>
      <c r="C888" s="73"/>
      <c r="D888" s="73"/>
      <c r="E888" s="73"/>
      <c r="F888" s="73"/>
      <c r="G888" s="73"/>
      <c r="H888" s="73"/>
      <c r="I888" s="73"/>
      <c r="J888" s="73"/>
      <c r="K888" s="73"/>
      <c r="L888" s="73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</row>
    <row r="889" spans="1:26" ht="16.5" customHeight="1">
      <c r="A889" s="73"/>
      <c r="B889" s="73"/>
      <c r="C889" s="73"/>
      <c r="D889" s="73"/>
      <c r="E889" s="73"/>
      <c r="F889" s="73"/>
      <c r="G889" s="73"/>
      <c r="H889" s="73"/>
      <c r="I889" s="73"/>
      <c r="J889" s="73"/>
      <c r="K889" s="73"/>
      <c r="L889" s="73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</row>
    <row r="890" spans="1:26" ht="16.5" customHeight="1">
      <c r="A890" s="73"/>
      <c r="B890" s="73"/>
      <c r="C890" s="73"/>
      <c r="D890" s="73"/>
      <c r="E890" s="73"/>
      <c r="F890" s="73"/>
      <c r="G890" s="73"/>
      <c r="H890" s="73"/>
      <c r="I890" s="73"/>
      <c r="J890" s="73"/>
      <c r="K890" s="73"/>
      <c r="L890" s="73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</row>
    <row r="891" spans="1:26" ht="16.5" customHeight="1">
      <c r="A891" s="73"/>
      <c r="B891" s="73"/>
      <c r="C891" s="73"/>
      <c r="D891" s="73"/>
      <c r="E891" s="73"/>
      <c r="F891" s="73"/>
      <c r="G891" s="73"/>
      <c r="H891" s="73"/>
      <c r="I891" s="73"/>
      <c r="J891" s="73"/>
      <c r="K891" s="73"/>
      <c r="L891" s="73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</row>
    <row r="892" spans="1:26" ht="16.5" customHeight="1">
      <c r="A892" s="73"/>
      <c r="B892" s="73"/>
      <c r="C892" s="73"/>
      <c r="D892" s="73"/>
      <c r="E892" s="73"/>
      <c r="F892" s="73"/>
      <c r="G892" s="73"/>
      <c r="H892" s="73"/>
      <c r="I892" s="73"/>
      <c r="J892" s="73"/>
      <c r="K892" s="73"/>
      <c r="L892" s="73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</row>
    <row r="893" spans="1:26" ht="16.5" customHeight="1">
      <c r="A893" s="73"/>
      <c r="B893" s="73"/>
      <c r="C893" s="73"/>
      <c r="D893" s="73"/>
      <c r="E893" s="73"/>
      <c r="F893" s="73"/>
      <c r="G893" s="73"/>
      <c r="H893" s="73"/>
      <c r="I893" s="73"/>
      <c r="J893" s="73"/>
      <c r="K893" s="73"/>
      <c r="L893" s="73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</row>
    <row r="894" spans="1:26" ht="16.5" customHeight="1">
      <c r="A894" s="73"/>
      <c r="B894" s="73"/>
      <c r="C894" s="73"/>
      <c r="D894" s="73"/>
      <c r="E894" s="73"/>
      <c r="F894" s="73"/>
      <c r="G894" s="73"/>
      <c r="H894" s="73"/>
      <c r="I894" s="73"/>
      <c r="J894" s="73"/>
      <c r="K894" s="73"/>
      <c r="L894" s="73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</row>
    <row r="895" spans="1:26" ht="16.5" customHeight="1">
      <c r="A895" s="73"/>
      <c r="B895" s="73"/>
      <c r="C895" s="73"/>
      <c r="D895" s="73"/>
      <c r="E895" s="73"/>
      <c r="F895" s="73"/>
      <c r="G895" s="73"/>
      <c r="H895" s="73"/>
      <c r="I895" s="73"/>
      <c r="J895" s="73"/>
      <c r="K895" s="73"/>
      <c r="L895" s="73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</row>
    <row r="896" spans="1:26" ht="16.5" customHeight="1">
      <c r="A896" s="73"/>
      <c r="B896" s="73"/>
      <c r="C896" s="73"/>
      <c r="D896" s="73"/>
      <c r="E896" s="73"/>
      <c r="F896" s="73"/>
      <c r="G896" s="73"/>
      <c r="H896" s="73"/>
      <c r="I896" s="73"/>
      <c r="J896" s="73"/>
      <c r="K896" s="73"/>
      <c r="L896" s="73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</row>
    <row r="897" spans="1:26" ht="16.5" customHeight="1">
      <c r="A897" s="73"/>
      <c r="B897" s="73"/>
      <c r="C897" s="73"/>
      <c r="D897" s="73"/>
      <c r="E897" s="73"/>
      <c r="F897" s="73"/>
      <c r="G897" s="73"/>
      <c r="H897" s="73"/>
      <c r="I897" s="73"/>
      <c r="J897" s="73"/>
      <c r="K897" s="73"/>
      <c r="L897" s="73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</row>
    <row r="898" spans="1:26" ht="16.5" customHeight="1">
      <c r="A898" s="73"/>
      <c r="B898" s="73"/>
      <c r="C898" s="73"/>
      <c r="D898" s="73"/>
      <c r="E898" s="73"/>
      <c r="F898" s="73"/>
      <c r="G898" s="73"/>
      <c r="H898" s="73"/>
      <c r="I898" s="73"/>
      <c r="J898" s="73"/>
      <c r="K898" s="73"/>
      <c r="L898" s="73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</row>
    <row r="899" spans="1:26" ht="16.5" customHeight="1">
      <c r="A899" s="73"/>
      <c r="B899" s="73"/>
      <c r="C899" s="73"/>
      <c r="D899" s="73"/>
      <c r="E899" s="73"/>
      <c r="F899" s="73"/>
      <c r="G899" s="73"/>
      <c r="H899" s="73"/>
      <c r="I899" s="73"/>
      <c r="J899" s="73"/>
      <c r="K899" s="73"/>
      <c r="L899" s="73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</row>
    <row r="900" spans="1:26" ht="16.5" customHeight="1">
      <c r="A900" s="73"/>
      <c r="B900" s="73"/>
      <c r="C900" s="73"/>
      <c r="D900" s="73"/>
      <c r="E900" s="73"/>
      <c r="F900" s="73"/>
      <c r="G900" s="73"/>
      <c r="H900" s="73"/>
      <c r="I900" s="73"/>
      <c r="J900" s="73"/>
      <c r="K900" s="73"/>
      <c r="L900" s="73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</row>
    <row r="901" spans="1:26" ht="16.5" customHeight="1">
      <c r="A901" s="73"/>
      <c r="B901" s="73"/>
      <c r="C901" s="73"/>
      <c r="D901" s="73"/>
      <c r="E901" s="73"/>
      <c r="F901" s="73"/>
      <c r="G901" s="73"/>
      <c r="H901" s="73"/>
      <c r="I901" s="73"/>
      <c r="J901" s="73"/>
      <c r="K901" s="73"/>
      <c r="L901" s="73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</row>
    <row r="902" spans="1:26" ht="16.5" customHeight="1">
      <c r="A902" s="73"/>
      <c r="B902" s="73"/>
      <c r="C902" s="73"/>
      <c r="D902" s="73"/>
      <c r="E902" s="73"/>
      <c r="F902" s="73"/>
      <c r="G902" s="73"/>
      <c r="H902" s="73"/>
      <c r="I902" s="73"/>
      <c r="J902" s="73"/>
      <c r="K902" s="73"/>
      <c r="L902" s="73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</row>
    <row r="903" spans="1:26" ht="16.5" customHeight="1">
      <c r="A903" s="73"/>
      <c r="B903" s="73"/>
      <c r="C903" s="73"/>
      <c r="D903" s="73"/>
      <c r="E903" s="73"/>
      <c r="F903" s="73"/>
      <c r="G903" s="73"/>
      <c r="H903" s="73"/>
      <c r="I903" s="73"/>
      <c r="J903" s="73"/>
      <c r="K903" s="73"/>
      <c r="L903" s="73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</row>
    <row r="904" spans="1:26" ht="16.5" customHeight="1">
      <c r="A904" s="73"/>
      <c r="B904" s="73"/>
      <c r="C904" s="73"/>
      <c r="D904" s="73"/>
      <c r="E904" s="73"/>
      <c r="F904" s="73"/>
      <c r="G904" s="73"/>
      <c r="H904" s="73"/>
      <c r="I904" s="73"/>
      <c r="J904" s="73"/>
      <c r="K904" s="73"/>
      <c r="L904" s="73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</row>
    <row r="905" spans="1:26" ht="16.5" customHeight="1">
      <c r="A905" s="73"/>
      <c r="B905" s="73"/>
      <c r="C905" s="73"/>
      <c r="D905" s="73"/>
      <c r="E905" s="73"/>
      <c r="F905" s="73"/>
      <c r="G905" s="73"/>
      <c r="H905" s="73"/>
      <c r="I905" s="73"/>
      <c r="J905" s="73"/>
      <c r="K905" s="73"/>
      <c r="L905" s="73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</row>
    <row r="906" spans="1:26" ht="16.5" customHeight="1">
      <c r="A906" s="73"/>
      <c r="B906" s="73"/>
      <c r="C906" s="73"/>
      <c r="D906" s="73"/>
      <c r="E906" s="73"/>
      <c r="F906" s="73"/>
      <c r="G906" s="73"/>
      <c r="H906" s="73"/>
      <c r="I906" s="73"/>
      <c r="J906" s="73"/>
      <c r="K906" s="73"/>
      <c r="L906" s="73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</row>
    <row r="907" spans="1:26" ht="16.5" customHeight="1">
      <c r="A907" s="73"/>
      <c r="B907" s="73"/>
      <c r="C907" s="73"/>
      <c r="D907" s="73"/>
      <c r="E907" s="73"/>
      <c r="F907" s="73"/>
      <c r="G907" s="73"/>
      <c r="H907" s="73"/>
      <c r="I907" s="73"/>
      <c r="J907" s="73"/>
      <c r="K907" s="73"/>
      <c r="L907" s="73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</row>
    <row r="908" spans="1:26" ht="16.5" customHeight="1">
      <c r="A908" s="73"/>
      <c r="B908" s="73"/>
      <c r="C908" s="73"/>
      <c r="D908" s="73"/>
      <c r="E908" s="73"/>
      <c r="F908" s="73"/>
      <c r="G908" s="73"/>
      <c r="H908" s="73"/>
      <c r="I908" s="73"/>
      <c r="J908" s="73"/>
      <c r="K908" s="73"/>
      <c r="L908" s="73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</row>
    <row r="909" spans="1:26" ht="16.5" customHeight="1">
      <c r="A909" s="73"/>
      <c r="B909" s="73"/>
      <c r="C909" s="73"/>
      <c r="D909" s="73"/>
      <c r="E909" s="73"/>
      <c r="F909" s="73"/>
      <c r="G909" s="73"/>
      <c r="H909" s="73"/>
      <c r="I909" s="73"/>
      <c r="J909" s="73"/>
      <c r="K909" s="73"/>
      <c r="L909" s="73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</row>
    <row r="910" spans="1:26" ht="16.5" customHeight="1">
      <c r="A910" s="73"/>
      <c r="B910" s="73"/>
      <c r="C910" s="73"/>
      <c r="D910" s="73"/>
      <c r="E910" s="73"/>
      <c r="F910" s="73"/>
      <c r="G910" s="73"/>
      <c r="H910" s="73"/>
      <c r="I910" s="73"/>
      <c r="J910" s="73"/>
      <c r="K910" s="73"/>
      <c r="L910" s="73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</row>
    <row r="911" spans="1:26" ht="16.5" customHeight="1">
      <c r="A911" s="73"/>
      <c r="B911" s="73"/>
      <c r="C911" s="73"/>
      <c r="D911" s="73"/>
      <c r="E911" s="73"/>
      <c r="F911" s="73"/>
      <c r="G911" s="73"/>
      <c r="H911" s="73"/>
      <c r="I911" s="73"/>
      <c r="J911" s="73"/>
      <c r="K911" s="73"/>
      <c r="L911" s="73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</row>
    <row r="912" spans="1:26" ht="16.5" customHeight="1">
      <c r="A912" s="73"/>
      <c r="B912" s="73"/>
      <c r="C912" s="73"/>
      <c r="D912" s="73"/>
      <c r="E912" s="73"/>
      <c r="F912" s="73"/>
      <c r="G912" s="73"/>
      <c r="H912" s="73"/>
      <c r="I912" s="73"/>
      <c r="J912" s="73"/>
      <c r="K912" s="73"/>
      <c r="L912" s="73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</row>
    <row r="913" spans="1:26" ht="16.5" customHeight="1">
      <c r="A913" s="73"/>
      <c r="B913" s="73"/>
      <c r="C913" s="73"/>
      <c r="D913" s="73"/>
      <c r="E913" s="73"/>
      <c r="F913" s="73"/>
      <c r="G913" s="73"/>
      <c r="H913" s="73"/>
      <c r="I913" s="73"/>
      <c r="J913" s="73"/>
      <c r="K913" s="73"/>
      <c r="L913" s="73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</row>
    <row r="914" spans="1:26" ht="16.5" customHeight="1">
      <c r="A914" s="73"/>
      <c r="B914" s="73"/>
      <c r="C914" s="73"/>
      <c r="D914" s="73"/>
      <c r="E914" s="73"/>
      <c r="F914" s="73"/>
      <c r="G914" s="73"/>
      <c r="H914" s="73"/>
      <c r="I914" s="73"/>
      <c r="J914" s="73"/>
      <c r="K914" s="73"/>
      <c r="L914" s="73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</row>
    <row r="915" spans="1:26" ht="16.5" customHeight="1">
      <c r="A915" s="73"/>
      <c r="B915" s="73"/>
      <c r="C915" s="73"/>
      <c r="D915" s="73"/>
      <c r="E915" s="73"/>
      <c r="F915" s="73"/>
      <c r="G915" s="73"/>
      <c r="H915" s="73"/>
      <c r="I915" s="73"/>
      <c r="J915" s="73"/>
      <c r="K915" s="73"/>
      <c r="L915" s="73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</row>
    <row r="916" spans="1:26" ht="16.5" customHeight="1">
      <c r="A916" s="73"/>
      <c r="B916" s="73"/>
      <c r="C916" s="73"/>
      <c r="D916" s="73"/>
      <c r="E916" s="73"/>
      <c r="F916" s="73"/>
      <c r="G916" s="73"/>
      <c r="H916" s="73"/>
      <c r="I916" s="73"/>
      <c r="J916" s="73"/>
      <c r="K916" s="73"/>
      <c r="L916" s="73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</row>
    <row r="917" spans="1:26" ht="16.5" customHeight="1">
      <c r="A917" s="73"/>
      <c r="B917" s="73"/>
      <c r="C917" s="73"/>
      <c r="D917" s="73"/>
      <c r="E917" s="73"/>
      <c r="F917" s="73"/>
      <c r="G917" s="73"/>
      <c r="H917" s="73"/>
      <c r="I917" s="73"/>
      <c r="J917" s="73"/>
      <c r="K917" s="73"/>
      <c r="L917" s="73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</row>
    <row r="918" spans="1:26" ht="16.5" customHeight="1">
      <c r="A918" s="73"/>
      <c r="B918" s="73"/>
      <c r="C918" s="73"/>
      <c r="D918" s="73"/>
      <c r="E918" s="73"/>
      <c r="F918" s="73"/>
      <c r="G918" s="73"/>
      <c r="H918" s="73"/>
      <c r="I918" s="73"/>
      <c r="J918" s="73"/>
      <c r="K918" s="73"/>
      <c r="L918" s="73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</row>
    <row r="919" spans="1:26" ht="16.5" customHeight="1">
      <c r="A919" s="73"/>
      <c r="B919" s="73"/>
      <c r="C919" s="73"/>
      <c r="D919" s="73"/>
      <c r="E919" s="73"/>
      <c r="F919" s="73"/>
      <c r="G919" s="73"/>
      <c r="H919" s="73"/>
      <c r="I919" s="73"/>
      <c r="J919" s="73"/>
      <c r="K919" s="73"/>
      <c r="L919" s="73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</row>
    <row r="920" spans="1:26" ht="16.5" customHeight="1">
      <c r="A920" s="73"/>
      <c r="B920" s="73"/>
      <c r="C920" s="73"/>
      <c r="D920" s="73"/>
      <c r="E920" s="73"/>
      <c r="F920" s="73"/>
      <c r="G920" s="73"/>
      <c r="H920" s="73"/>
      <c r="I920" s="73"/>
      <c r="J920" s="73"/>
      <c r="K920" s="73"/>
      <c r="L920" s="73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</row>
    <row r="921" spans="1:26" ht="16.5" customHeight="1">
      <c r="A921" s="73"/>
      <c r="B921" s="73"/>
      <c r="C921" s="73"/>
      <c r="D921" s="73"/>
      <c r="E921" s="73"/>
      <c r="F921" s="73"/>
      <c r="G921" s="73"/>
      <c r="H921" s="73"/>
      <c r="I921" s="73"/>
      <c r="J921" s="73"/>
      <c r="K921" s="73"/>
      <c r="L921" s="73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</row>
    <row r="922" spans="1:26" ht="16.5" customHeight="1">
      <c r="A922" s="73"/>
      <c r="B922" s="73"/>
      <c r="C922" s="73"/>
      <c r="D922" s="73"/>
      <c r="E922" s="73"/>
      <c r="F922" s="73"/>
      <c r="G922" s="73"/>
      <c r="H922" s="73"/>
      <c r="I922" s="73"/>
      <c r="J922" s="73"/>
      <c r="K922" s="73"/>
      <c r="L922" s="73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</row>
    <row r="923" spans="1:26" ht="16.5" customHeight="1">
      <c r="A923" s="73"/>
      <c r="B923" s="73"/>
      <c r="C923" s="73"/>
      <c r="D923" s="73"/>
      <c r="E923" s="73"/>
      <c r="F923" s="73"/>
      <c r="G923" s="73"/>
      <c r="H923" s="73"/>
      <c r="I923" s="73"/>
      <c r="J923" s="73"/>
      <c r="K923" s="73"/>
      <c r="L923" s="73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</row>
    <row r="924" spans="1:26" ht="16.5" customHeight="1">
      <c r="A924" s="73"/>
      <c r="B924" s="73"/>
      <c r="C924" s="73"/>
      <c r="D924" s="73"/>
      <c r="E924" s="73"/>
      <c r="F924" s="73"/>
      <c r="G924" s="73"/>
      <c r="H924" s="73"/>
      <c r="I924" s="73"/>
      <c r="J924" s="73"/>
      <c r="K924" s="73"/>
      <c r="L924" s="73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</row>
    <row r="925" spans="1:26" ht="16.5" customHeight="1">
      <c r="A925" s="73"/>
      <c r="B925" s="73"/>
      <c r="C925" s="73"/>
      <c r="D925" s="73"/>
      <c r="E925" s="73"/>
      <c r="F925" s="73"/>
      <c r="G925" s="73"/>
      <c r="H925" s="73"/>
      <c r="I925" s="73"/>
      <c r="J925" s="73"/>
      <c r="K925" s="73"/>
      <c r="L925" s="73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</row>
    <row r="926" spans="1:26" ht="16.5" customHeight="1">
      <c r="A926" s="73"/>
      <c r="B926" s="73"/>
      <c r="C926" s="73"/>
      <c r="D926" s="73"/>
      <c r="E926" s="73"/>
      <c r="F926" s="73"/>
      <c r="G926" s="73"/>
      <c r="H926" s="73"/>
      <c r="I926" s="73"/>
      <c r="J926" s="73"/>
      <c r="K926" s="73"/>
      <c r="L926" s="73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</row>
    <row r="927" spans="1:26" ht="16.5" customHeight="1">
      <c r="A927" s="73"/>
      <c r="B927" s="73"/>
      <c r="C927" s="73"/>
      <c r="D927" s="73"/>
      <c r="E927" s="73"/>
      <c r="F927" s="73"/>
      <c r="G927" s="73"/>
      <c r="H927" s="73"/>
      <c r="I927" s="73"/>
      <c r="J927" s="73"/>
      <c r="K927" s="73"/>
      <c r="L927" s="73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</row>
    <row r="928" spans="1:26" ht="16.5" customHeight="1">
      <c r="A928" s="73"/>
      <c r="B928" s="73"/>
      <c r="C928" s="73"/>
      <c r="D928" s="73"/>
      <c r="E928" s="73"/>
      <c r="F928" s="73"/>
      <c r="G928" s="73"/>
      <c r="H928" s="73"/>
      <c r="I928" s="73"/>
      <c r="J928" s="73"/>
      <c r="K928" s="73"/>
      <c r="L928" s="73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</row>
    <row r="929" spans="1:26" ht="16.5" customHeight="1">
      <c r="A929" s="73"/>
      <c r="B929" s="73"/>
      <c r="C929" s="73"/>
      <c r="D929" s="73"/>
      <c r="E929" s="73"/>
      <c r="F929" s="73"/>
      <c r="G929" s="73"/>
      <c r="H929" s="73"/>
      <c r="I929" s="73"/>
      <c r="J929" s="73"/>
      <c r="K929" s="73"/>
      <c r="L929" s="73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</row>
    <row r="930" spans="1:26" ht="16.5" customHeight="1">
      <c r="A930" s="73"/>
      <c r="B930" s="73"/>
      <c r="C930" s="73"/>
      <c r="D930" s="73"/>
      <c r="E930" s="73"/>
      <c r="F930" s="73"/>
      <c r="G930" s="73"/>
      <c r="H930" s="73"/>
      <c r="I930" s="73"/>
      <c r="J930" s="73"/>
      <c r="K930" s="73"/>
      <c r="L930" s="73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</row>
    <row r="931" spans="1:26" ht="16.5" customHeight="1">
      <c r="A931" s="73"/>
      <c r="B931" s="73"/>
      <c r="C931" s="73"/>
      <c r="D931" s="73"/>
      <c r="E931" s="73"/>
      <c r="F931" s="73"/>
      <c r="G931" s="73"/>
      <c r="H931" s="73"/>
      <c r="I931" s="73"/>
      <c r="J931" s="73"/>
      <c r="K931" s="73"/>
      <c r="L931" s="73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</row>
    <row r="932" spans="1:26" ht="16.5" customHeight="1">
      <c r="A932" s="73"/>
      <c r="B932" s="73"/>
      <c r="C932" s="73"/>
      <c r="D932" s="73"/>
      <c r="E932" s="73"/>
      <c r="F932" s="73"/>
      <c r="G932" s="73"/>
      <c r="H932" s="73"/>
      <c r="I932" s="73"/>
      <c r="J932" s="73"/>
      <c r="K932" s="73"/>
      <c r="L932" s="73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</row>
    <row r="933" spans="1:26" ht="16.5" customHeight="1">
      <c r="A933" s="73"/>
      <c r="B933" s="73"/>
      <c r="C933" s="73"/>
      <c r="D933" s="73"/>
      <c r="E933" s="73"/>
      <c r="F933" s="73"/>
      <c r="G933" s="73"/>
      <c r="H933" s="73"/>
      <c r="I933" s="73"/>
      <c r="J933" s="73"/>
      <c r="K933" s="73"/>
      <c r="L933" s="73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</row>
    <row r="934" spans="1:26" ht="16.5" customHeight="1">
      <c r="A934" s="73"/>
      <c r="B934" s="73"/>
      <c r="C934" s="73"/>
      <c r="D934" s="73"/>
      <c r="E934" s="73"/>
      <c r="F934" s="73"/>
      <c r="G934" s="73"/>
      <c r="H934" s="73"/>
      <c r="I934" s="73"/>
      <c r="J934" s="73"/>
      <c r="K934" s="73"/>
      <c r="L934" s="73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</row>
    <row r="935" spans="1:26" ht="16.5" customHeight="1">
      <c r="A935" s="73"/>
      <c r="B935" s="73"/>
      <c r="C935" s="73"/>
      <c r="D935" s="73"/>
      <c r="E935" s="73"/>
      <c r="F935" s="73"/>
      <c r="G935" s="73"/>
      <c r="H935" s="73"/>
      <c r="I935" s="73"/>
      <c r="J935" s="73"/>
      <c r="K935" s="73"/>
      <c r="L935" s="73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</row>
    <row r="936" spans="1:26" ht="16.5" customHeight="1">
      <c r="A936" s="73"/>
      <c r="B936" s="73"/>
      <c r="C936" s="73"/>
      <c r="D936" s="73"/>
      <c r="E936" s="73"/>
      <c r="F936" s="73"/>
      <c r="G936" s="73"/>
      <c r="H936" s="73"/>
      <c r="I936" s="73"/>
      <c r="J936" s="73"/>
      <c r="K936" s="73"/>
      <c r="L936" s="73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</row>
    <row r="937" spans="1:26" ht="16.5" customHeight="1">
      <c r="A937" s="73"/>
      <c r="B937" s="73"/>
      <c r="C937" s="73"/>
      <c r="D937" s="73"/>
      <c r="E937" s="73"/>
      <c r="F937" s="73"/>
      <c r="G937" s="73"/>
      <c r="H937" s="73"/>
      <c r="I937" s="73"/>
      <c r="J937" s="73"/>
      <c r="K937" s="73"/>
      <c r="L937" s="73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</row>
    <row r="938" spans="1:26" ht="16.5" customHeight="1">
      <c r="A938" s="73"/>
      <c r="B938" s="73"/>
      <c r="C938" s="73"/>
      <c r="D938" s="73"/>
      <c r="E938" s="73"/>
      <c r="F938" s="73"/>
      <c r="G938" s="73"/>
      <c r="H938" s="73"/>
      <c r="I938" s="73"/>
      <c r="J938" s="73"/>
      <c r="K938" s="73"/>
      <c r="L938" s="73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</row>
    <row r="939" spans="1:26" ht="16.5" customHeight="1">
      <c r="A939" s="73"/>
      <c r="B939" s="73"/>
      <c r="C939" s="73"/>
      <c r="D939" s="73"/>
      <c r="E939" s="73"/>
      <c r="F939" s="73"/>
      <c r="G939" s="73"/>
      <c r="H939" s="73"/>
      <c r="I939" s="73"/>
      <c r="J939" s="73"/>
      <c r="K939" s="73"/>
      <c r="L939" s="73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</row>
    <row r="940" spans="1:26" ht="16.5" customHeight="1">
      <c r="A940" s="73"/>
      <c r="B940" s="73"/>
      <c r="C940" s="73"/>
      <c r="D940" s="73"/>
      <c r="E940" s="73"/>
      <c r="F940" s="73"/>
      <c r="G940" s="73"/>
      <c r="H940" s="73"/>
      <c r="I940" s="73"/>
      <c r="J940" s="73"/>
      <c r="K940" s="73"/>
      <c r="L940" s="73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</row>
    <row r="941" spans="1:26" ht="16.5" customHeight="1">
      <c r="A941" s="73"/>
      <c r="B941" s="73"/>
      <c r="C941" s="73"/>
      <c r="D941" s="73"/>
      <c r="E941" s="73"/>
      <c r="F941" s="73"/>
      <c r="G941" s="73"/>
      <c r="H941" s="73"/>
      <c r="I941" s="73"/>
      <c r="J941" s="73"/>
      <c r="K941" s="73"/>
      <c r="L941" s="73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</row>
    <row r="942" spans="1:26" ht="16.5" customHeight="1">
      <c r="A942" s="73"/>
      <c r="B942" s="73"/>
      <c r="C942" s="73"/>
      <c r="D942" s="73"/>
      <c r="E942" s="73"/>
      <c r="F942" s="73"/>
      <c r="G942" s="73"/>
      <c r="H942" s="73"/>
      <c r="I942" s="73"/>
      <c r="J942" s="73"/>
      <c r="K942" s="73"/>
      <c r="L942" s="73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</row>
    <row r="943" spans="1:26" ht="16.5" customHeight="1">
      <c r="A943" s="73"/>
      <c r="B943" s="73"/>
      <c r="C943" s="73"/>
      <c r="D943" s="73"/>
      <c r="E943" s="73"/>
      <c r="F943" s="73"/>
      <c r="G943" s="73"/>
      <c r="H943" s="73"/>
      <c r="I943" s="73"/>
      <c r="J943" s="73"/>
      <c r="K943" s="73"/>
      <c r="L943" s="73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</row>
    <row r="944" spans="1:26" ht="16.5" customHeight="1">
      <c r="A944" s="73"/>
      <c r="B944" s="73"/>
      <c r="C944" s="73"/>
      <c r="D944" s="73"/>
      <c r="E944" s="73"/>
      <c r="F944" s="73"/>
      <c r="G944" s="73"/>
      <c r="H944" s="73"/>
      <c r="I944" s="73"/>
      <c r="J944" s="73"/>
      <c r="K944" s="73"/>
      <c r="L944" s="73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</row>
    <row r="945" spans="1:26" ht="16.5" customHeight="1">
      <c r="A945" s="73"/>
      <c r="B945" s="73"/>
      <c r="C945" s="73"/>
      <c r="D945" s="73"/>
      <c r="E945" s="73"/>
      <c r="F945" s="73"/>
      <c r="G945" s="73"/>
      <c r="H945" s="73"/>
      <c r="I945" s="73"/>
      <c r="J945" s="73"/>
      <c r="K945" s="73"/>
      <c r="L945" s="73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</row>
    <row r="946" spans="1:26" ht="16.5" customHeight="1">
      <c r="A946" s="73"/>
      <c r="B946" s="73"/>
      <c r="C946" s="73"/>
      <c r="D946" s="73"/>
      <c r="E946" s="73"/>
      <c r="F946" s="73"/>
      <c r="G946" s="73"/>
      <c r="H946" s="73"/>
      <c r="I946" s="73"/>
      <c r="J946" s="73"/>
      <c r="K946" s="73"/>
      <c r="L946" s="73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</row>
    <row r="947" spans="1:26" ht="16.5" customHeight="1">
      <c r="A947" s="73"/>
      <c r="B947" s="73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</row>
    <row r="948" spans="1:26" ht="16.5" customHeight="1">
      <c r="A948" s="73"/>
      <c r="B948" s="73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</row>
    <row r="949" spans="1:26" ht="16.5" customHeight="1">
      <c r="A949" s="73"/>
      <c r="B949" s="73"/>
      <c r="C949" s="73"/>
      <c r="D949" s="73"/>
      <c r="E949" s="73"/>
      <c r="F949" s="73"/>
      <c r="G949" s="73"/>
      <c r="H949" s="73"/>
      <c r="I949" s="73"/>
      <c r="J949" s="73"/>
      <c r="K949" s="73"/>
      <c r="L949" s="73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</row>
    <row r="950" spans="1:26" ht="16.5" customHeight="1">
      <c r="A950" s="73"/>
      <c r="B950" s="73"/>
      <c r="C950" s="73"/>
      <c r="D950" s="73"/>
      <c r="E950" s="73"/>
      <c r="F950" s="73"/>
      <c r="G950" s="73"/>
      <c r="H950" s="73"/>
      <c r="I950" s="73"/>
      <c r="J950" s="73"/>
      <c r="K950" s="73"/>
      <c r="L950" s="73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</row>
    <row r="951" spans="1:26" ht="16.5" customHeight="1">
      <c r="A951" s="73"/>
      <c r="B951" s="73"/>
      <c r="C951" s="73"/>
      <c r="D951" s="73"/>
      <c r="E951" s="73"/>
      <c r="F951" s="73"/>
      <c r="G951" s="73"/>
      <c r="H951" s="73"/>
      <c r="I951" s="73"/>
      <c r="J951" s="73"/>
      <c r="K951" s="73"/>
      <c r="L951" s="73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</row>
    <row r="952" spans="1:26" ht="16.5" customHeight="1">
      <c r="A952" s="73"/>
      <c r="B952" s="73"/>
      <c r="C952" s="73"/>
      <c r="D952" s="73"/>
      <c r="E952" s="73"/>
      <c r="F952" s="73"/>
      <c r="G952" s="73"/>
      <c r="H952" s="73"/>
      <c r="I952" s="73"/>
      <c r="J952" s="73"/>
      <c r="K952" s="73"/>
      <c r="L952" s="73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</row>
    <row r="953" spans="1:26" ht="16.5" customHeight="1">
      <c r="A953" s="73"/>
      <c r="B953" s="73"/>
      <c r="C953" s="73"/>
      <c r="D953" s="73"/>
      <c r="E953" s="73"/>
      <c r="F953" s="73"/>
      <c r="G953" s="73"/>
      <c r="H953" s="73"/>
      <c r="I953" s="73"/>
      <c r="J953" s="73"/>
      <c r="K953" s="73"/>
      <c r="L953" s="73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</row>
    <row r="954" spans="1:26" ht="16.5" customHeight="1">
      <c r="A954" s="73"/>
      <c r="B954" s="73"/>
      <c r="C954" s="73"/>
      <c r="D954" s="73"/>
      <c r="E954" s="73"/>
      <c r="F954" s="73"/>
      <c r="G954" s="73"/>
      <c r="H954" s="73"/>
      <c r="I954" s="73"/>
      <c r="J954" s="73"/>
      <c r="K954" s="73"/>
      <c r="L954" s="73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</row>
    <row r="955" spans="1:26" ht="16.5" customHeight="1">
      <c r="A955" s="73"/>
      <c r="B955" s="73"/>
      <c r="C955" s="73"/>
      <c r="D955" s="73"/>
      <c r="E955" s="73"/>
      <c r="F955" s="73"/>
      <c r="G955" s="73"/>
      <c r="H955" s="73"/>
      <c r="I955" s="73"/>
      <c r="J955" s="73"/>
      <c r="K955" s="73"/>
      <c r="L955" s="73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</row>
    <row r="956" spans="1:26" ht="16.5" customHeight="1">
      <c r="A956" s="73"/>
      <c r="B956" s="73"/>
      <c r="C956" s="73"/>
      <c r="D956" s="73"/>
      <c r="E956" s="73"/>
      <c r="F956" s="73"/>
      <c r="G956" s="73"/>
      <c r="H956" s="73"/>
      <c r="I956" s="73"/>
      <c r="J956" s="73"/>
      <c r="K956" s="73"/>
      <c r="L956" s="73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</row>
    <row r="957" spans="1:26" ht="16.5" customHeight="1">
      <c r="A957" s="73"/>
      <c r="B957" s="73"/>
      <c r="C957" s="73"/>
      <c r="D957" s="73"/>
      <c r="E957" s="73"/>
      <c r="F957" s="73"/>
      <c r="G957" s="73"/>
      <c r="H957" s="73"/>
      <c r="I957" s="73"/>
      <c r="J957" s="73"/>
      <c r="K957" s="73"/>
      <c r="L957" s="73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</row>
    <row r="958" spans="1:26" ht="16.5" customHeight="1">
      <c r="A958" s="73"/>
      <c r="B958" s="73"/>
      <c r="C958" s="73"/>
      <c r="D958" s="73"/>
      <c r="E958" s="73"/>
      <c r="F958" s="73"/>
      <c r="G958" s="73"/>
      <c r="H958" s="73"/>
      <c r="I958" s="73"/>
      <c r="J958" s="73"/>
      <c r="K958" s="73"/>
      <c r="L958" s="73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</row>
    <row r="959" spans="1:26" ht="16.5" customHeight="1">
      <c r="A959" s="73"/>
      <c r="B959" s="73"/>
      <c r="C959" s="73"/>
      <c r="D959" s="73"/>
      <c r="E959" s="73"/>
      <c r="F959" s="73"/>
      <c r="G959" s="73"/>
      <c r="H959" s="73"/>
      <c r="I959" s="73"/>
      <c r="J959" s="73"/>
      <c r="K959" s="73"/>
      <c r="L959" s="73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</row>
    <row r="960" spans="1:26" ht="16.5" customHeight="1">
      <c r="A960" s="73"/>
      <c r="B960" s="73"/>
      <c r="C960" s="73"/>
      <c r="D960" s="73"/>
      <c r="E960" s="73"/>
      <c r="F960" s="73"/>
      <c r="G960" s="73"/>
      <c r="H960" s="73"/>
      <c r="I960" s="73"/>
      <c r="J960" s="73"/>
      <c r="K960" s="73"/>
      <c r="L960" s="73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</row>
    <row r="961" spans="1:26" ht="16.5" customHeight="1">
      <c r="A961" s="73"/>
      <c r="B961" s="73"/>
      <c r="C961" s="73"/>
      <c r="D961" s="73"/>
      <c r="E961" s="73"/>
      <c r="F961" s="73"/>
      <c r="G961" s="73"/>
      <c r="H961" s="73"/>
      <c r="I961" s="73"/>
      <c r="J961" s="73"/>
      <c r="K961" s="73"/>
      <c r="L961" s="73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</row>
    <row r="962" spans="1:26" ht="16.5" customHeight="1">
      <c r="A962" s="73"/>
      <c r="B962" s="73"/>
      <c r="C962" s="73"/>
      <c r="D962" s="73"/>
      <c r="E962" s="73"/>
      <c r="F962" s="73"/>
      <c r="G962" s="73"/>
      <c r="H962" s="73"/>
      <c r="I962" s="73"/>
      <c r="J962" s="73"/>
      <c r="K962" s="73"/>
      <c r="L962" s="73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</row>
    <row r="963" spans="1:26" ht="16.5" customHeight="1">
      <c r="A963" s="73"/>
      <c r="B963" s="73"/>
      <c r="C963" s="73"/>
      <c r="D963" s="73"/>
      <c r="E963" s="73"/>
      <c r="F963" s="73"/>
      <c r="G963" s="73"/>
      <c r="H963" s="73"/>
      <c r="I963" s="73"/>
      <c r="J963" s="73"/>
      <c r="K963" s="73"/>
      <c r="L963" s="73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</row>
    <row r="964" spans="1:26" ht="16.5" customHeight="1">
      <c r="A964" s="73"/>
      <c r="B964" s="73"/>
      <c r="C964" s="73"/>
      <c r="D964" s="73"/>
      <c r="E964" s="73"/>
      <c r="F964" s="73"/>
      <c r="G964" s="73"/>
      <c r="H964" s="73"/>
      <c r="I964" s="73"/>
      <c r="J964" s="73"/>
      <c r="K964" s="73"/>
      <c r="L964" s="73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</row>
    <row r="965" spans="1:26" ht="16.5" customHeight="1">
      <c r="A965" s="73"/>
      <c r="B965" s="73"/>
      <c r="C965" s="73"/>
      <c r="D965" s="73"/>
      <c r="E965" s="73"/>
      <c r="F965" s="73"/>
      <c r="G965" s="73"/>
      <c r="H965" s="73"/>
      <c r="I965" s="73"/>
      <c r="J965" s="73"/>
      <c r="K965" s="73"/>
      <c r="L965" s="73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</row>
    <row r="966" spans="1:26" ht="16.5" customHeight="1">
      <c r="A966" s="73"/>
      <c r="B966" s="73"/>
      <c r="C966" s="73"/>
      <c r="D966" s="73"/>
      <c r="E966" s="73"/>
      <c r="F966" s="73"/>
      <c r="G966" s="73"/>
      <c r="H966" s="73"/>
      <c r="I966" s="73"/>
      <c r="J966" s="73"/>
      <c r="K966" s="73"/>
      <c r="L966" s="73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</row>
    <row r="967" spans="1:26" ht="16.5" customHeight="1">
      <c r="A967" s="73"/>
      <c r="B967" s="73"/>
      <c r="C967" s="73"/>
      <c r="D967" s="73"/>
      <c r="E967" s="73"/>
      <c r="F967" s="73"/>
      <c r="G967" s="73"/>
      <c r="H967" s="73"/>
      <c r="I967" s="73"/>
      <c r="J967" s="73"/>
      <c r="K967" s="73"/>
      <c r="L967" s="73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</row>
    <row r="968" spans="1:26" ht="16.5" customHeight="1">
      <c r="A968" s="73"/>
      <c r="B968" s="73"/>
      <c r="C968" s="73"/>
      <c r="D968" s="73"/>
      <c r="E968" s="73"/>
      <c r="F968" s="73"/>
      <c r="G968" s="73"/>
      <c r="H968" s="73"/>
      <c r="I968" s="73"/>
      <c r="J968" s="73"/>
      <c r="K968" s="73"/>
      <c r="L968" s="73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</row>
    <row r="969" spans="1:26" ht="16.5" customHeight="1">
      <c r="A969" s="73"/>
      <c r="B969" s="73"/>
      <c r="C969" s="73"/>
      <c r="D969" s="73"/>
      <c r="E969" s="73"/>
      <c r="F969" s="73"/>
      <c r="G969" s="73"/>
      <c r="H969" s="73"/>
      <c r="I969" s="73"/>
      <c r="J969" s="73"/>
      <c r="K969" s="73"/>
      <c r="L969" s="73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</row>
    <row r="970" spans="1:26" ht="16.5" customHeight="1">
      <c r="A970" s="73"/>
      <c r="B970" s="73"/>
      <c r="C970" s="73"/>
      <c r="D970" s="73"/>
      <c r="E970" s="73"/>
      <c r="F970" s="73"/>
      <c r="G970" s="73"/>
      <c r="H970" s="73"/>
      <c r="I970" s="73"/>
      <c r="J970" s="73"/>
      <c r="K970" s="73"/>
      <c r="L970" s="73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</row>
    <row r="971" spans="1:26" ht="16.5" customHeight="1">
      <c r="A971" s="73"/>
      <c r="B971" s="73"/>
      <c r="C971" s="73"/>
      <c r="D971" s="73"/>
      <c r="E971" s="73"/>
      <c r="F971" s="73"/>
      <c r="G971" s="73"/>
      <c r="H971" s="73"/>
      <c r="I971" s="73"/>
      <c r="J971" s="73"/>
      <c r="K971" s="73"/>
      <c r="L971" s="73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</row>
    <row r="972" spans="1:26" ht="16.5" customHeight="1">
      <c r="A972" s="73"/>
      <c r="B972" s="73"/>
      <c r="C972" s="73"/>
      <c r="D972" s="73"/>
      <c r="E972" s="73"/>
      <c r="F972" s="73"/>
      <c r="G972" s="73"/>
      <c r="H972" s="73"/>
      <c r="I972" s="73"/>
      <c r="J972" s="73"/>
      <c r="K972" s="73"/>
      <c r="L972" s="73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</row>
    <row r="973" spans="1:26" ht="16.5" customHeight="1">
      <c r="A973" s="73"/>
      <c r="B973" s="73"/>
      <c r="C973" s="73"/>
      <c r="D973" s="73"/>
      <c r="E973" s="73"/>
      <c r="F973" s="73"/>
      <c r="G973" s="73"/>
      <c r="H973" s="73"/>
      <c r="I973" s="73"/>
      <c r="J973" s="73"/>
      <c r="K973" s="73"/>
      <c r="L973" s="73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</row>
    <row r="974" spans="1:26" ht="16.5" customHeight="1">
      <c r="A974" s="73"/>
      <c r="B974" s="73"/>
      <c r="C974" s="73"/>
      <c r="D974" s="73"/>
      <c r="E974" s="73"/>
      <c r="F974" s="73"/>
      <c r="G974" s="73"/>
      <c r="H974" s="73"/>
      <c r="I974" s="73"/>
      <c r="J974" s="73"/>
      <c r="K974" s="73"/>
      <c r="L974" s="73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</row>
    <row r="975" spans="1:26" ht="16.5" customHeight="1">
      <c r="A975" s="73"/>
      <c r="B975" s="73"/>
      <c r="C975" s="73"/>
      <c r="D975" s="73"/>
      <c r="E975" s="73"/>
      <c r="F975" s="73"/>
      <c r="G975" s="73"/>
      <c r="H975" s="73"/>
      <c r="I975" s="73"/>
      <c r="J975" s="73"/>
      <c r="K975" s="73"/>
      <c r="L975" s="73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</row>
    <row r="976" spans="1:26" ht="16.5" customHeight="1">
      <c r="A976" s="73"/>
      <c r="B976" s="73"/>
      <c r="C976" s="73"/>
      <c r="D976" s="73"/>
      <c r="E976" s="73"/>
      <c r="F976" s="73"/>
      <c r="G976" s="73"/>
      <c r="H976" s="73"/>
      <c r="I976" s="73"/>
      <c r="J976" s="73"/>
      <c r="K976" s="73"/>
      <c r="L976" s="73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</row>
    <row r="977" spans="1:26" ht="16.5" customHeight="1">
      <c r="A977" s="73"/>
      <c r="B977" s="73"/>
      <c r="C977" s="73"/>
      <c r="D977" s="73"/>
      <c r="E977" s="73"/>
      <c r="F977" s="73"/>
      <c r="G977" s="73"/>
      <c r="H977" s="73"/>
      <c r="I977" s="73"/>
      <c r="J977" s="73"/>
      <c r="K977" s="73"/>
      <c r="L977" s="73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</row>
    <row r="978" spans="1:26" ht="16.5" customHeight="1">
      <c r="A978" s="73"/>
      <c r="B978" s="73"/>
      <c r="C978" s="73"/>
      <c r="D978" s="73"/>
      <c r="E978" s="73"/>
      <c r="F978" s="73"/>
      <c r="G978" s="73"/>
      <c r="H978" s="73"/>
      <c r="I978" s="73"/>
      <c r="J978" s="73"/>
      <c r="K978" s="73"/>
      <c r="L978" s="73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</row>
    <row r="979" spans="1:26" ht="16.5" customHeight="1">
      <c r="A979" s="73"/>
      <c r="B979" s="73"/>
      <c r="C979" s="73"/>
      <c r="D979" s="73"/>
      <c r="E979" s="73"/>
      <c r="F979" s="73"/>
      <c r="G979" s="73"/>
      <c r="H979" s="73"/>
      <c r="I979" s="73"/>
      <c r="J979" s="73"/>
      <c r="K979" s="73"/>
      <c r="L979" s="73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</row>
    <row r="980" spans="1:26" ht="16.5" customHeight="1">
      <c r="A980" s="73"/>
      <c r="B980" s="73"/>
      <c r="C980" s="73"/>
      <c r="D980" s="73"/>
      <c r="E980" s="73"/>
      <c r="F980" s="73"/>
      <c r="G980" s="73"/>
      <c r="H980" s="73"/>
      <c r="I980" s="73"/>
      <c r="J980" s="73"/>
      <c r="K980" s="73"/>
      <c r="L980" s="73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</row>
    <row r="981" spans="1:26" ht="16.5" customHeight="1">
      <c r="A981" s="73"/>
      <c r="B981" s="73"/>
      <c r="C981" s="73"/>
      <c r="D981" s="73"/>
      <c r="E981" s="73"/>
      <c r="F981" s="73"/>
      <c r="G981" s="73"/>
      <c r="H981" s="73"/>
      <c r="I981" s="73"/>
      <c r="J981" s="73"/>
      <c r="K981" s="73"/>
      <c r="L981" s="73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</row>
    <row r="982" spans="1:26" ht="16.5" customHeight="1">
      <c r="A982" s="73"/>
      <c r="B982" s="73"/>
      <c r="C982" s="73"/>
      <c r="D982" s="73"/>
      <c r="E982" s="73"/>
      <c r="F982" s="73"/>
      <c r="G982" s="73"/>
      <c r="H982" s="73"/>
      <c r="I982" s="73"/>
      <c r="J982" s="73"/>
      <c r="K982" s="73"/>
      <c r="L982" s="73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</row>
    <row r="983" spans="1:26" ht="16.5" customHeight="1">
      <c r="A983" s="73"/>
      <c r="B983" s="73"/>
      <c r="C983" s="73"/>
      <c r="D983" s="73"/>
      <c r="E983" s="73"/>
      <c r="F983" s="73"/>
      <c r="G983" s="73"/>
      <c r="H983" s="73"/>
      <c r="I983" s="73"/>
      <c r="J983" s="73"/>
      <c r="K983" s="73"/>
      <c r="L983" s="73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</row>
    <row r="984" spans="1:26" ht="16.5" customHeight="1">
      <c r="A984" s="73"/>
      <c r="B984" s="73"/>
      <c r="C984" s="73"/>
      <c r="D984" s="73"/>
      <c r="E984" s="73"/>
      <c r="F984" s="73"/>
      <c r="G984" s="73"/>
      <c r="H984" s="73"/>
      <c r="I984" s="73"/>
      <c r="J984" s="73"/>
      <c r="K984" s="73"/>
      <c r="L984" s="73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</row>
    <row r="985" spans="1:26" ht="16.5" customHeight="1">
      <c r="A985" s="73"/>
      <c r="B985" s="73"/>
      <c r="C985" s="73"/>
      <c r="D985" s="73"/>
      <c r="E985" s="73"/>
      <c r="F985" s="73"/>
      <c r="G985" s="73"/>
      <c r="H985" s="73"/>
      <c r="I985" s="73"/>
      <c r="J985" s="73"/>
      <c r="K985" s="73"/>
      <c r="L985" s="73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</row>
    <row r="986" spans="1:26" ht="16.5" customHeight="1">
      <c r="A986" s="73"/>
      <c r="B986" s="73"/>
      <c r="C986" s="73"/>
      <c r="D986" s="73"/>
      <c r="E986" s="73"/>
      <c r="F986" s="73"/>
      <c r="G986" s="73"/>
      <c r="H986" s="73"/>
      <c r="I986" s="73"/>
      <c r="J986" s="73"/>
      <c r="K986" s="73"/>
      <c r="L986" s="73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</row>
    <row r="987" spans="1:26" ht="16.5" customHeight="1">
      <c r="A987" s="73"/>
      <c r="B987" s="73"/>
      <c r="C987" s="73"/>
      <c r="D987" s="73"/>
      <c r="E987" s="73"/>
      <c r="F987" s="73"/>
      <c r="G987" s="73"/>
      <c r="H987" s="73"/>
      <c r="I987" s="73"/>
      <c r="J987" s="73"/>
      <c r="K987" s="73"/>
      <c r="L987" s="73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</row>
    <row r="988" spans="1:26" ht="16.5" customHeight="1">
      <c r="A988" s="73"/>
      <c r="B988" s="73"/>
      <c r="C988" s="73"/>
      <c r="D988" s="73"/>
      <c r="E988" s="73"/>
      <c r="F988" s="73"/>
      <c r="G988" s="73"/>
      <c r="H988" s="73"/>
      <c r="I988" s="73"/>
      <c r="J988" s="73"/>
      <c r="K988" s="73"/>
      <c r="L988" s="73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</row>
    <row r="989" spans="1:26" ht="16.5" customHeight="1">
      <c r="A989" s="73"/>
      <c r="B989" s="73"/>
      <c r="C989" s="73"/>
      <c r="D989" s="73"/>
      <c r="E989" s="73"/>
      <c r="F989" s="73"/>
      <c r="G989" s="73"/>
      <c r="H989" s="73"/>
      <c r="I989" s="73"/>
      <c r="J989" s="73"/>
      <c r="K989" s="73"/>
      <c r="L989" s="73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</row>
    <row r="990" spans="1:26" ht="16.5" customHeight="1">
      <c r="A990" s="73"/>
      <c r="B990" s="73"/>
      <c r="C990" s="73"/>
      <c r="D990" s="73"/>
      <c r="E990" s="73"/>
      <c r="F990" s="73"/>
      <c r="G990" s="73"/>
      <c r="H990" s="73"/>
      <c r="I990" s="73"/>
      <c r="J990" s="73"/>
      <c r="K990" s="73"/>
      <c r="L990" s="73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</row>
    <row r="991" spans="1:26" ht="16.5" customHeight="1">
      <c r="A991" s="73"/>
      <c r="B991" s="73"/>
      <c r="C991" s="73"/>
      <c r="D991" s="73"/>
      <c r="E991" s="73"/>
      <c r="F991" s="73"/>
      <c r="G991" s="73"/>
      <c r="H991" s="73"/>
      <c r="I991" s="73"/>
      <c r="J991" s="73"/>
      <c r="K991" s="73"/>
      <c r="L991" s="73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</row>
    <row r="992" spans="1:26" ht="16.5" customHeight="1">
      <c r="A992" s="73"/>
      <c r="B992" s="73"/>
      <c r="C992" s="73"/>
      <c r="D992" s="73"/>
      <c r="E992" s="73"/>
      <c r="F992" s="73"/>
      <c r="G992" s="73"/>
      <c r="H992" s="73"/>
      <c r="I992" s="73"/>
      <c r="J992" s="73"/>
      <c r="K992" s="73"/>
      <c r="L992" s="73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</row>
    <row r="993" spans="1:26" ht="16.5" customHeight="1">
      <c r="A993" s="73"/>
      <c r="B993" s="73"/>
      <c r="C993" s="73"/>
      <c r="D993" s="73"/>
      <c r="E993" s="73"/>
      <c r="F993" s="73"/>
      <c r="G993" s="73"/>
      <c r="H993" s="73"/>
      <c r="I993" s="73"/>
      <c r="J993" s="73"/>
      <c r="K993" s="73"/>
      <c r="L993" s="73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</row>
    <row r="994" spans="1:26" ht="16.5" customHeight="1">
      <c r="A994" s="73"/>
      <c r="B994" s="73"/>
      <c r="C994" s="73"/>
      <c r="D994" s="73"/>
      <c r="E994" s="73"/>
      <c r="F994" s="73"/>
      <c r="G994" s="73"/>
      <c r="H994" s="73"/>
      <c r="I994" s="73"/>
      <c r="J994" s="73"/>
      <c r="K994" s="73"/>
      <c r="L994" s="73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</row>
    <row r="995" spans="1:26" ht="16.5" customHeight="1">
      <c r="A995" s="73"/>
      <c r="B995" s="73"/>
      <c r="C995" s="73"/>
      <c r="D995" s="73"/>
      <c r="E995" s="73"/>
      <c r="F995" s="73"/>
      <c r="G995" s="73"/>
      <c r="H995" s="73"/>
      <c r="I995" s="73"/>
      <c r="J995" s="73"/>
      <c r="K995" s="73"/>
      <c r="L995" s="73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</row>
    <row r="996" spans="1:26" ht="16.5" customHeight="1">
      <c r="A996" s="73"/>
      <c r="B996" s="73"/>
      <c r="C996" s="73"/>
      <c r="D996" s="73"/>
      <c r="E996" s="73"/>
      <c r="F996" s="73"/>
      <c r="G996" s="73"/>
      <c r="H996" s="73"/>
      <c r="I996" s="73"/>
      <c r="J996" s="73"/>
      <c r="K996" s="73"/>
      <c r="L996" s="73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</row>
    <row r="997" spans="1:26" ht="16.5" customHeight="1">
      <c r="A997" s="73"/>
      <c r="B997" s="73"/>
      <c r="C997" s="73"/>
      <c r="D997" s="73"/>
      <c r="E997" s="73"/>
      <c r="F997" s="73"/>
      <c r="G997" s="73"/>
      <c r="H997" s="73"/>
      <c r="I997" s="73"/>
      <c r="J997" s="73"/>
      <c r="K997" s="73"/>
      <c r="L997" s="73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</row>
    <row r="998" spans="1:26" ht="16.5" customHeight="1">
      <c r="A998" s="73"/>
      <c r="B998" s="73"/>
      <c r="C998" s="73"/>
      <c r="D998" s="73"/>
      <c r="E998" s="73"/>
      <c r="F998" s="73"/>
      <c r="G998" s="73"/>
      <c r="H998" s="73"/>
      <c r="I998" s="73"/>
      <c r="J998" s="73"/>
      <c r="K998" s="73"/>
      <c r="L998" s="73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</row>
    <row r="999" spans="1:26" ht="16.5" customHeight="1">
      <c r="A999" s="73"/>
      <c r="B999" s="73"/>
      <c r="C999" s="73"/>
      <c r="D999" s="73"/>
      <c r="E999" s="73"/>
      <c r="F999" s="73"/>
      <c r="G999" s="73"/>
      <c r="H999" s="73"/>
      <c r="I999" s="73"/>
      <c r="J999" s="73"/>
      <c r="K999" s="73"/>
      <c r="L999" s="73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</row>
    <row r="1000" spans="1:26" ht="16.5" customHeight="1">
      <c r="A1000" s="73"/>
      <c r="B1000" s="73"/>
      <c r="C1000" s="73"/>
      <c r="D1000" s="73"/>
      <c r="E1000" s="73"/>
      <c r="F1000" s="73"/>
      <c r="G1000" s="73"/>
      <c r="H1000" s="73"/>
      <c r="I1000" s="73"/>
      <c r="J1000" s="73"/>
      <c r="K1000" s="73"/>
      <c r="L1000" s="73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</row>
  </sheetData>
  <mergeCells count="7">
    <mergeCell ref="F1:F2"/>
    <mergeCell ref="G1:L1"/>
    <mergeCell ref="A1:A2"/>
    <mergeCell ref="B1:B2"/>
    <mergeCell ref="C1:C2"/>
    <mergeCell ref="D1:D2"/>
    <mergeCell ref="E1:E2"/>
  </mergeCells>
  <phoneticPr fontId="12" type="noConversion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"/>
  <dimension ref="A1:Z1000"/>
  <sheetViews>
    <sheetView workbookViewId="0">
      <pane ySplit="2" topLeftCell="A3" activePane="bottomLeft" state="frozen"/>
      <selection pane="bottomLeft" activeCell="B4" sqref="B4"/>
    </sheetView>
  </sheetViews>
  <sheetFormatPr defaultColWidth="11.25" defaultRowHeight="15" customHeight="1"/>
  <cols>
    <col min="1" max="9" width="10.5" customWidth="1"/>
    <col min="10" max="26" width="8" customWidth="1"/>
  </cols>
  <sheetData>
    <row r="1" spans="1:26" ht="16.5" customHeight="1">
      <c r="A1" s="115" t="s">
        <v>231</v>
      </c>
      <c r="B1" s="115" t="s">
        <v>232</v>
      </c>
      <c r="C1" s="115" t="s">
        <v>233</v>
      </c>
      <c r="D1" s="115" t="s">
        <v>234</v>
      </c>
      <c r="E1" s="115" t="s">
        <v>235</v>
      </c>
      <c r="F1" s="115" t="s">
        <v>236</v>
      </c>
      <c r="G1" s="116" t="s">
        <v>237</v>
      </c>
      <c r="H1" s="117"/>
      <c r="I1" s="112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</row>
    <row r="2" spans="1:26" ht="46.5" customHeight="1">
      <c r="A2" s="114"/>
      <c r="B2" s="114"/>
      <c r="C2" s="114"/>
      <c r="D2" s="114"/>
      <c r="E2" s="114"/>
      <c r="F2" s="114"/>
      <c r="G2" s="67" t="s">
        <v>340</v>
      </c>
      <c r="H2" s="67" t="s">
        <v>240</v>
      </c>
      <c r="I2" s="67" t="s">
        <v>341</v>
      </c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</row>
    <row r="3" spans="1:26" ht="16.5" customHeight="1">
      <c r="A3" s="68" t="s">
        <v>25</v>
      </c>
      <c r="B3" s="68" t="s">
        <v>207</v>
      </c>
      <c r="C3" s="68" t="s">
        <v>244</v>
      </c>
      <c r="D3" s="68" t="s">
        <v>245</v>
      </c>
      <c r="E3" s="68" t="s">
        <v>246</v>
      </c>
      <c r="F3" s="68" t="s">
        <v>246</v>
      </c>
      <c r="G3" s="69"/>
      <c r="H3" s="68" t="s">
        <v>247</v>
      </c>
      <c r="I3" s="68" t="s">
        <v>342</v>
      </c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1:26" ht="16.5" customHeight="1">
      <c r="A4" s="68" t="s">
        <v>25</v>
      </c>
      <c r="B4" s="68" t="s">
        <v>207</v>
      </c>
      <c r="C4" s="68" t="s">
        <v>244</v>
      </c>
      <c r="D4" s="68" t="s">
        <v>245</v>
      </c>
      <c r="E4" s="68" t="s">
        <v>250</v>
      </c>
      <c r="F4" s="68" t="s">
        <v>246</v>
      </c>
      <c r="G4" s="69"/>
      <c r="H4" s="68" t="s">
        <v>251</v>
      </c>
      <c r="I4" s="68" t="s">
        <v>254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6" ht="16.5" customHeight="1">
      <c r="A5" s="68" t="s">
        <v>25</v>
      </c>
      <c r="B5" s="68" t="s">
        <v>207</v>
      </c>
      <c r="C5" s="68" t="s">
        <v>244</v>
      </c>
      <c r="D5" s="68" t="s">
        <v>245</v>
      </c>
      <c r="E5" s="68" t="s">
        <v>254</v>
      </c>
      <c r="F5" s="68" t="s">
        <v>246</v>
      </c>
      <c r="G5" s="69"/>
      <c r="H5" s="68" t="s">
        <v>255</v>
      </c>
      <c r="I5" s="68" t="s">
        <v>343</v>
      </c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</row>
    <row r="6" spans="1:26" ht="16.5" customHeight="1">
      <c r="A6" s="68" t="s">
        <v>25</v>
      </c>
      <c r="B6" s="68" t="s">
        <v>207</v>
      </c>
      <c r="C6" s="68" t="s">
        <v>244</v>
      </c>
      <c r="D6" s="68" t="s">
        <v>245</v>
      </c>
      <c r="E6" s="68" t="s">
        <v>258</v>
      </c>
      <c r="F6" s="68" t="s">
        <v>250</v>
      </c>
      <c r="G6" s="69"/>
      <c r="H6" s="68" t="s">
        <v>259</v>
      </c>
      <c r="I6" s="68" t="s">
        <v>344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</row>
    <row r="7" spans="1:26" ht="16.5" customHeight="1">
      <c r="A7" s="68" t="s">
        <v>25</v>
      </c>
      <c r="B7" s="68" t="s">
        <v>207</v>
      </c>
      <c r="C7" s="68" t="s">
        <v>244</v>
      </c>
      <c r="D7" s="68" t="s">
        <v>245</v>
      </c>
      <c r="E7" s="68" t="s">
        <v>261</v>
      </c>
      <c r="F7" s="68" t="s">
        <v>250</v>
      </c>
      <c r="G7" s="69"/>
      <c r="H7" s="68" t="s">
        <v>262</v>
      </c>
      <c r="I7" s="68" t="s">
        <v>345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</row>
    <row r="8" spans="1:26" ht="16.5" customHeight="1">
      <c r="A8" s="68" t="s">
        <v>25</v>
      </c>
      <c r="B8" s="68" t="s">
        <v>207</v>
      </c>
      <c r="C8" s="68" t="s">
        <v>244</v>
      </c>
      <c r="D8" s="68" t="s">
        <v>245</v>
      </c>
      <c r="E8" s="68" t="s">
        <v>265</v>
      </c>
      <c r="F8" s="68" t="s">
        <v>250</v>
      </c>
      <c r="G8" s="69"/>
      <c r="H8" s="68" t="s">
        <v>346</v>
      </c>
      <c r="I8" s="68" t="s">
        <v>347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</row>
    <row r="9" spans="1:26" ht="16.5" customHeight="1">
      <c r="A9" s="26" t="s">
        <v>25</v>
      </c>
      <c r="B9" s="26" t="s">
        <v>209</v>
      </c>
      <c r="C9" s="71">
        <v>1</v>
      </c>
      <c r="D9" s="71">
        <v>2</v>
      </c>
      <c r="E9" s="26" t="s">
        <v>246</v>
      </c>
      <c r="F9" s="26" t="s">
        <v>246</v>
      </c>
      <c r="G9" s="71"/>
      <c r="H9" s="26" t="s">
        <v>247</v>
      </c>
      <c r="I9" s="26" t="s">
        <v>342</v>
      </c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ht="16.5" customHeight="1">
      <c r="A10" s="26" t="s">
        <v>25</v>
      </c>
      <c r="B10" s="26" t="s">
        <v>209</v>
      </c>
      <c r="C10" s="71">
        <v>1</v>
      </c>
      <c r="D10" s="71">
        <v>2</v>
      </c>
      <c r="E10" s="26" t="s">
        <v>250</v>
      </c>
      <c r="F10" s="26" t="s">
        <v>246</v>
      </c>
      <c r="G10" s="71"/>
      <c r="H10" s="26" t="s">
        <v>251</v>
      </c>
      <c r="I10" s="26" t="s">
        <v>254</v>
      </c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customHeight="1">
      <c r="A11" s="26" t="s">
        <v>25</v>
      </c>
      <c r="B11" s="26" t="s">
        <v>209</v>
      </c>
      <c r="C11" s="71">
        <v>1</v>
      </c>
      <c r="D11" s="71">
        <v>2</v>
      </c>
      <c r="E11" s="26" t="s">
        <v>254</v>
      </c>
      <c r="F11" s="26" t="s">
        <v>246</v>
      </c>
      <c r="G11" s="71"/>
      <c r="H11" s="26" t="s">
        <v>255</v>
      </c>
      <c r="I11" s="26" t="s">
        <v>343</v>
      </c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ht="16.5" customHeight="1">
      <c r="A12" s="26" t="s">
        <v>25</v>
      </c>
      <c r="B12" s="26" t="s">
        <v>209</v>
      </c>
      <c r="C12" s="26" t="s">
        <v>245</v>
      </c>
      <c r="D12" s="71">
        <v>2</v>
      </c>
      <c r="E12" s="26" t="s">
        <v>258</v>
      </c>
      <c r="F12" s="26" t="s">
        <v>250</v>
      </c>
      <c r="G12" s="71"/>
      <c r="H12" s="26" t="s">
        <v>259</v>
      </c>
      <c r="I12" s="26" t="s">
        <v>344</v>
      </c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customHeight="1">
      <c r="A13" s="26" t="s">
        <v>25</v>
      </c>
      <c r="B13" s="26" t="s">
        <v>209</v>
      </c>
      <c r="C13" s="26" t="s">
        <v>245</v>
      </c>
      <c r="D13" s="71">
        <v>2</v>
      </c>
      <c r="E13" s="26" t="s">
        <v>261</v>
      </c>
      <c r="F13" s="26" t="s">
        <v>250</v>
      </c>
      <c r="G13" s="71"/>
      <c r="H13" s="26" t="s">
        <v>262</v>
      </c>
      <c r="I13" s="26" t="s">
        <v>345</v>
      </c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ht="16.5" customHeight="1">
      <c r="A14" s="26" t="s">
        <v>25</v>
      </c>
      <c r="B14" s="26" t="s">
        <v>209</v>
      </c>
      <c r="C14" s="26" t="s">
        <v>245</v>
      </c>
      <c r="D14" s="71">
        <v>2</v>
      </c>
      <c r="E14" s="26" t="s">
        <v>265</v>
      </c>
      <c r="F14" s="26" t="s">
        <v>250</v>
      </c>
      <c r="G14" s="71"/>
      <c r="H14" s="26" t="s">
        <v>346</v>
      </c>
      <c r="I14" s="26" t="s">
        <v>347</v>
      </c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customHeight="1">
      <c r="A15" s="26" t="s">
        <v>25</v>
      </c>
      <c r="B15" s="26" t="s">
        <v>209</v>
      </c>
      <c r="C15" s="26" t="s">
        <v>269</v>
      </c>
      <c r="D15" s="71">
        <v>2</v>
      </c>
      <c r="E15" s="26" t="s">
        <v>246</v>
      </c>
      <c r="F15" s="26" t="s">
        <v>246</v>
      </c>
      <c r="G15" s="71"/>
      <c r="H15" s="26" t="s">
        <v>247</v>
      </c>
      <c r="I15" s="26" t="s">
        <v>342</v>
      </c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ht="16.5" customHeight="1">
      <c r="A16" s="26" t="s">
        <v>25</v>
      </c>
      <c r="B16" s="26" t="s">
        <v>209</v>
      </c>
      <c r="C16" s="26" t="s">
        <v>269</v>
      </c>
      <c r="D16" s="71">
        <v>2</v>
      </c>
      <c r="E16" s="26" t="s">
        <v>250</v>
      </c>
      <c r="F16" s="26" t="s">
        <v>246</v>
      </c>
      <c r="G16" s="71"/>
      <c r="H16" s="26" t="s">
        <v>251</v>
      </c>
      <c r="I16" s="26" t="s">
        <v>254</v>
      </c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customHeight="1">
      <c r="A17" s="26" t="s">
        <v>25</v>
      </c>
      <c r="B17" s="26" t="s">
        <v>209</v>
      </c>
      <c r="C17" s="26" t="s">
        <v>269</v>
      </c>
      <c r="D17" s="71">
        <v>2</v>
      </c>
      <c r="E17" s="26" t="s">
        <v>254</v>
      </c>
      <c r="F17" s="26" t="s">
        <v>246</v>
      </c>
      <c r="G17" s="71"/>
      <c r="H17" s="26" t="s">
        <v>255</v>
      </c>
      <c r="I17" s="26" t="s">
        <v>343</v>
      </c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ht="16.5" customHeight="1">
      <c r="A18" s="26" t="s">
        <v>25</v>
      </c>
      <c r="B18" s="26" t="s">
        <v>209</v>
      </c>
      <c r="C18" s="26" t="s">
        <v>269</v>
      </c>
      <c r="D18" s="71">
        <v>2</v>
      </c>
      <c r="E18" s="26" t="s">
        <v>258</v>
      </c>
      <c r="F18" s="26" t="s">
        <v>250</v>
      </c>
      <c r="G18" s="71"/>
      <c r="H18" s="26" t="s">
        <v>259</v>
      </c>
      <c r="I18" s="26" t="s">
        <v>344</v>
      </c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customHeight="1">
      <c r="A19" s="26" t="s">
        <v>25</v>
      </c>
      <c r="B19" s="26" t="s">
        <v>209</v>
      </c>
      <c r="C19" s="26" t="s">
        <v>269</v>
      </c>
      <c r="D19" s="71">
        <v>2</v>
      </c>
      <c r="E19" s="26" t="s">
        <v>261</v>
      </c>
      <c r="F19" s="26" t="s">
        <v>250</v>
      </c>
      <c r="G19" s="71"/>
      <c r="H19" s="26" t="s">
        <v>262</v>
      </c>
      <c r="I19" s="26" t="s">
        <v>345</v>
      </c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ht="16.5" customHeight="1">
      <c r="A20" s="26" t="s">
        <v>25</v>
      </c>
      <c r="B20" s="26" t="s">
        <v>209</v>
      </c>
      <c r="C20" s="26" t="s">
        <v>269</v>
      </c>
      <c r="D20" s="71">
        <v>2</v>
      </c>
      <c r="E20" s="26" t="s">
        <v>265</v>
      </c>
      <c r="F20" s="26" t="s">
        <v>250</v>
      </c>
      <c r="G20" s="71"/>
      <c r="H20" s="26" t="s">
        <v>346</v>
      </c>
      <c r="I20" s="26" t="s">
        <v>347</v>
      </c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customHeight="1">
      <c r="A21" s="69" t="s">
        <v>25</v>
      </c>
      <c r="B21" s="68" t="s">
        <v>211</v>
      </c>
      <c r="C21" s="69">
        <v>1</v>
      </c>
      <c r="D21" s="69">
        <v>2</v>
      </c>
      <c r="E21" s="69" t="s">
        <v>246</v>
      </c>
      <c r="F21" s="69" t="s">
        <v>246</v>
      </c>
      <c r="G21" s="69"/>
      <c r="H21" s="69" t="s">
        <v>247</v>
      </c>
      <c r="I21" s="69" t="s">
        <v>342</v>
      </c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</row>
    <row r="22" spans="1:26" ht="16.5" customHeight="1">
      <c r="A22" s="69" t="s">
        <v>25</v>
      </c>
      <c r="B22" s="68" t="s">
        <v>211</v>
      </c>
      <c r="C22" s="69">
        <v>1</v>
      </c>
      <c r="D22" s="69">
        <v>2</v>
      </c>
      <c r="E22" s="69" t="s">
        <v>250</v>
      </c>
      <c r="F22" s="69" t="s">
        <v>246</v>
      </c>
      <c r="G22" s="69"/>
      <c r="H22" s="69" t="s">
        <v>251</v>
      </c>
      <c r="I22" s="69" t="s">
        <v>254</v>
      </c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</row>
    <row r="23" spans="1:26" ht="16.5" customHeight="1">
      <c r="A23" s="69" t="s">
        <v>25</v>
      </c>
      <c r="B23" s="68" t="s">
        <v>211</v>
      </c>
      <c r="C23" s="69">
        <v>1</v>
      </c>
      <c r="D23" s="69">
        <v>2</v>
      </c>
      <c r="E23" s="69" t="s">
        <v>254</v>
      </c>
      <c r="F23" s="69" t="s">
        <v>246</v>
      </c>
      <c r="G23" s="69"/>
      <c r="H23" s="69" t="s">
        <v>255</v>
      </c>
      <c r="I23" s="69" t="s">
        <v>343</v>
      </c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</row>
    <row r="24" spans="1:26" ht="16.5" customHeight="1">
      <c r="A24" s="69" t="s">
        <v>25</v>
      </c>
      <c r="B24" s="68" t="s">
        <v>211</v>
      </c>
      <c r="C24" s="69" t="s">
        <v>245</v>
      </c>
      <c r="D24" s="69">
        <v>2</v>
      </c>
      <c r="E24" s="69" t="s">
        <v>258</v>
      </c>
      <c r="F24" s="69" t="s">
        <v>250</v>
      </c>
      <c r="G24" s="69"/>
      <c r="H24" s="69" t="s">
        <v>259</v>
      </c>
      <c r="I24" s="69" t="s">
        <v>344</v>
      </c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</row>
    <row r="25" spans="1:26" ht="16.5" customHeight="1">
      <c r="A25" s="69" t="s">
        <v>25</v>
      </c>
      <c r="B25" s="68" t="s">
        <v>211</v>
      </c>
      <c r="C25" s="69" t="s">
        <v>245</v>
      </c>
      <c r="D25" s="69">
        <v>2</v>
      </c>
      <c r="E25" s="69" t="s">
        <v>261</v>
      </c>
      <c r="F25" s="69" t="s">
        <v>250</v>
      </c>
      <c r="G25" s="69"/>
      <c r="H25" s="69" t="s">
        <v>262</v>
      </c>
      <c r="I25" s="69" t="s">
        <v>345</v>
      </c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</row>
    <row r="26" spans="1:26" ht="16.5" customHeight="1">
      <c r="A26" s="69" t="s">
        <v>25</v>
      </c>
      <c r="B26" s="68" t="s">
        <v>211</v>
      </c>
      <c r="C26" s="69" t="s">
        <v>245</v>
      </c>
      <c r="D26" s="69">
        <v>2</v>
      </c>
      <c r="E26" s="69" t="s">
        <v>265</v>
      </c>
      <c r="F26" s="69" t="s">
        <v>250</v>
      </c>
      <c r="G26" s="69"/>
      <c r="H26" s="69" t="s">
        <v>346</v>
      </c>
      <c r="I26" s="69" t="s">
        <v>347</v>
      </c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</row>
    <row r="27" spans="1:26" ht="16.5" customHeight="1">
      <c r="A27" s="69" t="s">
        <v>25</v>
      </c>
      <c r="B27" s="68" t="s">
        <v>211</v>
      </c>
      <c r="C27" s="69" t="s">
        <v>269</v>
      </c>
      <c r="D27" s="69">
        <v>2</v>
      </c>
      <c r="E27" s="69" t="s">
        <v>246</v>
      </c>
      <c r="F27" s="69" t="s">
        <v>246</v>
      </c>
      <c r="G27" s="69"/>
      <c r="H27" s="69" t="s">
        <v>247</v>
      </c>
      <c r="I27" s="69" t="s">
        <v>342</v>
      </c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</row>
    <row r="28" spans="1:26" ht="16.5" customHeight="1">
      <c r="A28" s="69" t="s">
        <v>25</v>
      </c>
      <c r="B28" s="68" t="s">
        <v>211</v>
      </c>
      <c r="C28" s="69" t="s">
        <v>269</v>
      </c>
      <c r="D28" s="69">
        <v>2</v>
      </c>
      <c r="E28" s="69" t="s">
        <v>250</v>
      </c>
      <c r="F28" s="69" t="s">
        <v>246</v>
      </c>
      <c r="G28" s="69"/>
      <c r="H28" s="69" t="s">
        <v>251</v>
      </c>
      <c r="I28" s="69" t="s">
        <v>254</v>
      </c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</row>
    <row r="29" spans="1:26" ht="16.5" customHeight="1">
      <c r="A29" s="69" t="s">
        <v>25</v>
      </c>
      <c r="B29" s="68" t="s">
        <v>211</v>
      </c>
      <c r="C29" s="69" t="s">
        <v>269</v>
      </c>
      <c r="D29" s="69">
        <v>2</v>
      </c>
      <c r="E29" s="69" t="s">
        <v>254</v>
      </c>
      <c r="F29" s="69" t="s">
        <v>246</v>
      </c>
      <c r="G29" s="69"/>
      <c r="H29" s="69" t="s">
        <v>255</v>
      </c>
      <c r="I29" s="69" t="s">
        <v>343</v>
      </c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</row>
    <row r="30" spans="1:26" ht="16.5" customHeight="1">
      <c r="A30" s="69" t="s">
        <v>25</v>
      </c>
      <c r="B30" s="68" t="s">
        <v>211</v>
      </c>
      <c r="C30" s="69" t="s">
        <v>269</v>
      </c>
      <c r="D30" s="69">
        <v>2</v>
      </c>
      <c r="E30" s="69" t="s">
        <v>258</v>
      </c>
      <c r="F30" s="69" t="s">
        <v>250</v>
      </c>
      <c r="G30" s="69"/>
      <c r="H30" s="69" t="s">
        <v>259</v>
      </c>
      <c r="I30" s="69" t="s">
        <v>344</v>
      </c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</row>
    <row r="31" spans="1:26" ht="16.5" customHeight="1">
      <c r="A31" s="69" t="s">
        <v>25</v>
      </c>
      <c r="B31" s="68" t="s">
        <v>211</v>
      </c>
      <c r="C31" s="69" t="s">
        <v>269</v>
      </c>
      <c r="D31" s="69">
        <v>2</v>
      </c>
      <c r="E31" s="69" t="s">
        <v>261</v>
      </c>
      <c r="F31" s="69" t="s">
        <v>250</v>
      </c>
      <c r="G31" s="69"/>
      <c r="H31" s="69" t="s">
        <v>262</v>
      </c>
      <c r="I31" s="69" t="s">
        <v>345</v>
      </c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16.5" customHeight="1">
      <c r="A32" s="69" t="s">
        <v>25</v>
      </c>
      <c r="B32" s="68" t="s">
        <v>211</v>
      </c>
      <c r="C32" s="69" t="s">
        <v>269</v>
      </c>
      <c r="D32" s="69">
        <v>2</v>
      </c>
      <c r="E32" s="69" t="s">
        <v>265</v>
      </c>
      <c r="F32" s="69" t="s">
        <v>250</v>
      </c>
      <c r="G32" s="69"/>
      <c r="H32" s="69" t="s">
        <v>346</v>
      </c>
      <c r="I32" s="69" t="s">
        <v>347</v>
      </c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</row>
    <row r="33" spans="1:26" ht="16.5" customHeight="1">
      <c r="A33" s="71" t="s">
        <v>25</v>
      </c>
      <c r="B33" s="26" t="s">
        <v>212</v>
      </c>
      <c r="C33" s="71">
        <v>1</v>
      </c>
      <c r="D33" s="71">
        <v>2</v>
      </c>
      <c r="E33" s="71" t="s">
        <v>246</v>
      </c>
      <c r="F33" s="71" t="s">
        <v>246</v>
      </c>
      <c r="G33" s="71"/>
      <c r="H33" s="71" t="s">
        <v>247</v>
      </c>
      <c r="I33" s="71" t="s">
        <v>342</v>
      </c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ht="16.5" customHeight="1">
      <c r="A34" s="71" t="s">
        <v>25</v>
      </c>
      <c r="B34" s="26" t="s">
        <v>212</v>
      </c>
      <c r="C34" s="71">
        <v>1</v>
      </c>
      <c r="D34" s="71">
        <v>2</v>
      </c>
      <c r="E34" s="71" t="s">
        <v>250</v>
      </c>
      <c r="F34" s="71" t="s">
        <v>246</v>
      </c>
      <c r="G34" s="71"/>
      <c r="H34" s="71" t="s">
        <v>251</v>
      </c>
      <c r="I34" s="71" t="s">
        <v>254</v>
      </c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customHeight="1">
      <c r="A35" s="71" t="s">
        <v>25</v>
      </c>
      <c r="B35" s="26" t="s">
        <v>212</v>
      </c>
      <c r="C35" s="71">
        <v>1</v>
      </c>
      <c r="D35" s="71">
        <v>2</v>
      </c>
      <c r="E35" s="71" t="s">
        <v>254</v>
      </c>
      <c r="F35" s="71" t="s">
        <v>246</v>
      </c>
      <c r="G35" s="71"/>
      <c r="H35" s="71" t="s">
        <v>255</v>
      </c>
      <c r="I35" s="71" t="s">
        <v>343</v>
      </c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ht="16.5" customHeight="1">
      <c r="A36" s="71" t="s">
        <v>25</v>
      </c>
      <c r="B36" s="26" t="s">
        <v>212</v>
      </c>
      <c r="C36" s="71" t="s">
        <v>245</v>
      </c>
      <c r="D36" s="71">
        <v>2</v>
      </c>
      <c r="E36" s="71" t="s">
        <v>258</v>
      </c>
      <c r="F36" s="71" t="s">
        <v>250</v>
      </c>
      <c r="G36" s="71"/>
      <c r="H36" s="71" t="s">
        <v>259</v>
      </c>
      <c r="I36" s="71" t="s">
        <v>344</v>
      </c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customHeight="1">
      <c r="A37" s="71" t="s">
        <v>25</v>
      </c>
      <c r="B37" s="26" t="s">
        <v>212</v>
      </c>
      <c r="C37" s="71" t="s">
        <v>245</v>
      </c>
      <c r="D37" s="71">
        <v>2</v>
      </c>
      <c r="E37" s="71" t="s">
        <v>261</v>
      </c>
      <c r="F37" s="71" t="s">
        <v>250</v>
      </c>
      <c r="G37" s="71"/>
      <c r="H37" s="71" t="s">
        <v>262</v>
      </c>
      <c r="I37" s="71" t="s">
        <v>345</v>
      </c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ht="16.5" customHeight="1">
      <c r="A38" s="71" t="s">
        <v>25</v>
      </c>
      <c r="B38" s="26" t="s">
        <v>212</v>
      </c>
      <c r="C38" s="71" t="s">
        <v>245</v>
      </c>
      <c r="D38" s="71">
        <v>2</v>
      </c>
      <c r="E38" s="71" t="s">
        <v>265</v>
      </c>
      <c r="F38" s="71" t="s">
        <v>250</v>
      </c>
      <c r="G38" s="71"/>
      <c r="H38" s="71" t="s">
        <v>346</v>
      </c>
      <c r="I38" s="71" t="s">
        <v>347</v>
      </c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customHeight="1">
      <c r="A39" s="71" t="s">
        <v>25</v>
      </c>
      <c r="B39" s="26" t="s">
        <v>212</v>
      </c>
      <c r="C39" s="71" t="s">
        <v>269</v>
      </c>
      <c r="D39" s="71">
        <v>2</v>
      </c>
      <c r="E39" s="71" t="s">
        <v>246</v>
      </c>
      <c r="F39" s="71" t="s">
        <v>246</v>
      </c>
      <c r="G39" s="71"/>
      <c r="H39" s="71" t="s">
        <v>247</v>
      </c>
      <c r="I39" s="71" t="s">
        <v>342</v>
      </c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ht="16.5" customHeight="1">
      <c r="A40" s="71" t="s">
        <v>25</v>
      </c>
      <c r="B40" s="26" t="s">
        <v>212</v>
      </c>
      <c r="C40" s="71" t="s">
        <v>269</v>
      </c>
      <c r="D40" s="71">
        <v>2</v>
      </c>
      <c r="E40" s="71" t="s">
        <v>250</v>
      </c>
      <c r="F40" s="71" t="s">
        <v>246</v>
      </c>
      <c r="G40" s="71"/>
      <c r="H40" s="71" t="s">
        <v>251</v>
      </c>
      <c r="I40" s="71" t="s">
        <v>254</v>
      </c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customHeight="1">
      <c r="A41" s="71" t="s">
        <v>25</v>
      </c>
      <c r="B41" s="26" t="s">
        <v>212</v>
      </c>
      <c r="C41" s="71" t="s">
        <v>269</v>
      </c>
      <c r="D41" s="71">
        <v>2</v>
      </c>
      <c r="E41" s="71" t="s">
        <v>254</v>
      </c>
      <c r="F41" s="71" t="s">
        <v>246</v>
      </c>
      <c r="G41" s="71"/>
      <c r="H41" s="71" t="s">
        <v>255</v>
      </c>
      <c r="I41" s="71" t="s">
        <v>343</v>
      </c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ht="16.5" customHeight="1">
      <c r="A42" s="71" t="s">
        <v>25</v>
      </c>
      <c r="B42" s="26" t="s">
        <v>212</v>
      </c>
      <c r="C42" s="71" t="s">
        <v>269</v>
      </c>
      <c r="D42" s="71">
        <v>2</v>
      </c>
      <c r="E42" s="71" t="s">
        <v>258</v>
      </c>
      <c r="F42" s="71" t="s">
        <v>250</v>
      </c>
      <c r="G42" s="71"/>
      <c r="H42" s="71" t="s">
        <v>259</v>
      </c>
      <c r="I42" s="71" t="s">
        <v>344</v>
      </c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customHeight="1">
      <c r="A43" s="71" t="s">
        <v>25</v>
      </c>
      <c r="B43" s="26" t="s">
        <v>212</v>
      </c>
      <c r="C43" s="71" t="s">
        <v>269</v>
      </c>
      <c r="D43" s="71">
        <v>2</v>
      </c>
      <c r="E43" s="71" t="s">
        <v>261</v>
      </c>
      <c r="F43" s="71" t="s">
        <v>250</v>
      </c>
      <c r="G43" s="71"/>
      <c r="H43" s="71" t="s">
        <v>262</v>
      </c>
      <c r="I43" s="71" t="s">
        <v>345</v>
      </c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ht="16.5" customHeight="1">
      <c r="A44" s="71" t="s">
        <v>25</v>
      </c>
      <c r="B44" s="26" t="s">
        <v>212</v>
      </c>
      <c r="C44" s="71" t="s">
        <v>269</v>
      </c>
      <c r="D44" s="71">
        <v>2</v>
      </c>
      <c r="E44" s="71" t="s">
        <v>265</v>
      </c>
      <c r="F44" s="71" t="s">
        <v>250</v>
      </c>
      <c r="G44" s="71"/>
      <c r="H44" s="71" t="s">
        <v>346</v>
      </c>
      <c r="I44" s="71" t="s">
        <v>347</v>
      </c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customHeight="1">
      <c r="A45" s="69" t="s">
        <v>25</v>
      </c>
      <c r="B45" s="68" t="s">
        <v>214</v>
      </c>
      <c r="C45" s="68" t="s">
        <v>269</v>
      </c>
      <c r="D45" s="68" t="s">
        <v>271</v>
      </c>
      <c r="E45" s="69" t="s">
        <v>246</v>
      </c>
      <c r="F45" s="69" t="s">
        <v>246</v>
      </c>
      <c r="G45" s="69"/>
      <c r="H45" s="69" t="s">
        <v>247</v>
      </c>
      <c r="I45" s="69" t="s">
        <v>342</v>
      </c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</row>
    <row r="46" spans="1:26" ht="16.5" customHeight="1">
      <c r="A46" s="69" t="s">
        <v>25</v>
      </c>
      <c r="B46" s="68" t="s">
        <v>214</v>
      </c>
      <c r="C46" s="68" t="s">
        <v>269</v>
      </c>
      <c r="D46" s="68" t="s">
        <v>271</v>
      </c>
      <c r="E46" s="69" t="s">
        <v>250</v>
      </c>
      <c r="F46" s="69" t="s">
        <v>246</v>
      </c>
      <c r="G46" s="69"/>
      <c r="H46" s="69" t="s">
        <v>251</v>
      </c>
      <c r="I46" s="69" t="s">
        <v>254</v>
      </c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</row>
    <row r="47" spans="1:26" ht="16.5" customHeight="1">
      <c r="A47" s="69" t="s">
        <v>25</v>
      </c>
      <c r="B47" s="68" t="s">
        <v>214</v>
      </c>
      <c r="C47" s="68" t="s">
        <v>269</v>
      </c>
      <c r="D47" s="68" t="s">
        <v>271</v>
      </c>
      <c r="E47" s="69" t="s">
        <v>254</v>
      </c>
      <c r="F47" s="69" t="s">
        <v>246</v>
      </c>
      <c r="G47" s="69"/>
      <c r="H47" s="69" t="s">
        <v>255</v>
      </c>
      <c r="I47" s="69" t="s">
        <v>343</v>
      </c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</row>
    <row r="48" spans="1:26" ht="16.5" customHeight="1">
      <c r="A48" s="69" t="s">
        <v>25</v>
      </c>
      <c r="B48" s="68" t="s">
        <v>214</v>
      </c>
      <c r="C48" s="68" t="s">
        <v>269</v>
      </c>
      <c r="D48" s="68" t="s">
        <v>271</v>
      </c>
      <c r="E48" s="69" t="s">
        <v>258</v>
      </c>
      <c r="F48" s="69" t="s">
        <v>250</v>
      </c>
      <c r="G48" s="69"/>
      <c r="H48" s="69" t="s">
        <v>259</v>
      </c>
      <c r="I48" s="69" t="s">
        <v>344</v>
      </c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</row>
    <row r="49" spans="1:26" ht="16.5" customHeight="1">
      <c r="A49" s="69" t="s">
        <v>25</v>
      </c>
      <c r="B49" s="68" t="s">
        <v>214</v>
      </c>
      <c r="C49" s="68" t="s">
        <v>269</v>
      </c>
      <c r="D49" s="68" t="s">
        <v>271</v>
      </c>
      <c r="E49" s="69" t="s">
        <v>261</v>
      </c>
      <c r="F49" s="69" t="s">
        <v>250</v>
      </c>
      <c r="G49" s="69"/>
      <c r="H49" s="69" t="s">
        <v>262</v>
      </c>
      <c r="I49" s="69" t="s">
        <v>345</v>
      </c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</row>
    <row r="50" spans="1:26" ht="16.5" customHeight="1">
      <c r="A50" s="69" t="s">
        <v>25</v>
      </c>
      <c r="B50" s="68" t="s">
        <v>214</v>
      </c>
      <c r="C50" s="68" t="s">
        <v>269</v>
      </c>
      <c r="D50" s="68" t="s">
        <v>271</v>
      </c>
      <c r="E50" s="69" t="s">
        <v>265</v>
      </c>
      <c r="F50" s="69" t="s">
        <v>250</v>
      </c>
      <c r="G50" s="69"/>
      <c r="H50" s="69" t="s">
        <v>346</v>
      </c>
      <c r="I50" s="69" t="s">
        <v>347</v>
      </c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</row>
    <row r="51" spans="1:26" ht="16.5" customHeight="1">
      <c r="A51" s="69" t="s">
        <v>25</v>
      </c>
      <c r="B51" s="68" t="s">
        <v>214</v>
      </c>
      <c r="C51" s="68" t="s">
        <v>270</v>
      </c>
      <c r="D51" s="68" t="s">
        <v>271</v>
      </c>
      <c r="E51" s="69" t="s">
        <v>246</v>
      </c>
      <c r="F51" s="69" t="s">
        <v>246</v>
      </c>
      <c r="G51" s="69"/>
      <c r="H51" s="69" t="s">
        <v>247</v>
      </c>
      <c r="I51" s="69" t="s">
        <v>342</v>
      </c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</row>
    <row r="52" spans="1:26" ht="16.5" customHeight="1">
      <c r="A52" s="69" t="s">
        <v>25</v>
      </c>
      <c r="B52" s="68" t="s">
        <v>214</v>
      </c>
      <c r="C52" s="68" t="s">
        <v>270</v>
      </c>
      <c r="D52" s="68" t="s">
        <v>271</v>
      </c>
      <c r="E52" s="69" t="s">
        <v>250</v>
      </c>
      <c r="F52" s="69" t="s">
        <v>246</v>
      </c>
      <c r="G52" s="69"/>
      <c r="H52" s="69" t="s">
        <v>251</v>
      </c>
      <c r="I52" s="69" t="s">
        <v>254</v>
      </c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</row>
    <row r="53" spans="1:26" ht="16.5" customHeight="1">
      <c r="A53" s="69" t="s">
        <v>25</v>
      </c>
      <c r="B53" s="68" t="s">
        <v>214</v>
      </c>
      <c r="C53" s="68" t="s">
        <v>270</v>
      </c>
      <c r="D53" s="68" t="s">
        <v>271</v>
      </c>
      <c r="E53" s="69" t="s">
        <v>254</v>
      </c>
      <c r="F53" s="69" t="s">
        <v>246</v>
      </c>
      <c r="G53" s="69"/>
      <c r="H53" s="69" t="s">
        <v>255</v>
      </c>
      <c r="I53" s="69" t="s">
        <v>343</v>
      </c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</row>
    <row r="54" spans="1:26" ht="16.5" customHeight="1">
      <c r="A54" s="69" t="s">
        <v>25</v>
      </c>
      <c r="B54" s="68" t="s">
        <v>214</v>
      </c>
      <c r="C54" s="68" t="s">
        <v>270</v>
      </c>
      <c r="D54" s="68" t="s">
        <v>271</v>
      </c>
      <c r="E54" s="69" t="s">
        <v>258</v>
      </c>
      <c r="F54" s="69" t="s">
        <v>250</v>
      </c>
      <c r="G54" s="69"/>
      <c r="H54" s="69" t="s">
        <v>259</v>
      </c>
      <c r="I54" s="69" t="s">
        <v>344</v>
      </c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</row>
    <row r="55" spans="1:26" ht="16.5" customHeight="1">
      <c r="A55" s="69" t="s">
        <v>25</v>
      </c>
      <c r="B55" s="68" t="s">
        <v>214</v>
      </c>
      <c r="C55" s="68" t="s">
        <v>270</v>
      </c>
      <c r="D55" s="68" t="s">
        <v>271</v>
      </c>
      <c r="E55" s="69" t="s">
        <v>261</v>
      </c>
      <c r="F55" s="69" t="s">
        <v>250</v>
      </c>
      <c r="G55" s="69"/>
      <c r="H55" s="69" t="s">
        <v>262</v>
      </c>
      <c r="I55" s="69" t="s">
        <v>345</v>
      </c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</row>
    <row r="56" spans="1:26" ht="16.5" customHeight="1">
      <c r="A56" s="69" t="s">
        <v>25</v>
      </c>
      <c r="B56" s="68" t="s">
        <v>214</v>
      </c>
      <c r="C56" s="68" t="s">
        <v>270</v>
      </c>
      <c r="D56" s="68" t="s">
        <v>271</v>
      </c>
      <c r="E56" s="69" t="s">
        <v>265</v>
      </c>
      <c r="F56" s="69" t="s">
        <v>250</v>
      </c>
      <c r="G56" s="69"/>
      <c r="H56" s="69" t="s">
        <v>346</v>
      </c>
      <c r="I56" s="69" t="s">
        <v>347</v>
      </c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  <row r="57" spans="1:26" ht="16.5" customHeight="1">
      <c r="A57" s="71" t="s">
        <v>25</v>
      </c>
      <c r="B57" s="26" t="s">
        <v>216</v>
      </c>
      <c r="C57" s="71" t="s">
        <v>269</v>
      </c>
      <c r="D57" s="71" t="s">
        <v>271</v>
      </c>
      <c r="E57" s="71" t="s">
        <v>246</v>
      </c>
      <c r="F57" s="71" t="s">
        <v>246</v>
      </c>
      <c r="G57" s="71"/>
      <c r="H57" s="71" t="s">
        <v>247</v>
      </c>
      <c r="I57" s="71" t="s">
        <v>342</v>
      </c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ht="16.5" customHeight="1">
      <c r="A58" s="71" t="s">
        <v>25</v>
      </c>
      <c r="B58" s="26" t="s">
        <v>216</v>
      </c>
      <c r="C58" s="71" t="s">
        <v>269</v>
      </c>
      <c r="D58" s="71" t="s">
        <v>271</v>
      </c>
      <c r="E58" s="71" t="s">
        <v>250</v>
      </c>
      <c r="F58" s="71" t="s">
        <v>246</v>
      </c>
      <c r="G58" s="71"/>
      <c r="H58" s="71" t="s">
        <v>251</v>
      </c>
      <c r="I58" s="71" t="s">
        <v>254</v>
      </c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ht="16.5" customHeight="1">
      <c r="A59" s="71" t="s">
        <v>25</v>
      </c>
      <c r="B59" s="26" t="s">
        <v>216</v>
      </c>
      <c r="C59" s="71" t="s">
        <v>269</v>
      </c>
      <c r="D59" s="71" t="s">
        <v>271</v>
      </c>
      <c r="E59" s="71" t="s">
        <v>254</v>
      </c>
      <c r="F59" s="71" t="s">
        <v>246</v>
      </c>
      <c r="G59" s="71"/>
      <c r="H59" s="71" t="s">
        <v>255</v>
      </c>
      <c r="I59" s="71" t="s">
        <v>343</v>
      </c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ht="16.5" customHeight="1">
      <c r="A60" s="71" t="s">
        <v>25</v>
      </c>
      <c r="B60" s="26" t="s">
        <v>216</v>
      </c>
      <c r="C60" s="71" t="s">
        <v>269</v>
      </c>
      <c r="D60" s="71" t="s">
        <v>271</v>
      </c>
      <c r="E60" s="71" t="s">
        <v>258</v>
      </c>
      <c r="F60" s="71" t="s">
        <v>250</v>
      </c>
      <c r="G60" s="71"/>
      <c r="H60" s="71" t="s">
        <v>259</v>
      </c>
      <c r="I60" s="71" t="s">
        <v>344</v>
      </c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ht="16.5" customHeight="1">
      <c r="A61" s="71" t="s">
        <v>25</v>
      </c>
      <c r="B61" s="26" t="s">
        <v>216</v>
      </c>
      <c r="C61" s="71" t="s">
        <v>269</v>
      </c>
      <c r="D61" s="71" t="s">
        <v>271</v>
      </c>
      <c r="E61" s="71" t="s">
        <v>261</v>
      </c>
      <c r="F61" s="71" t="s">
        <v>250</v>
      </c>
      <c r="G61" s="71"/>
      <c r="H61" s="71" t="s">
        <v>262</v>
      </c>
      <c r="I61" s="71" t="s">
        <v>345</v>
      </c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ht="16.5" customHeight="1">
      <c r="A62" s="71" t="s">
        <v>25</v>
      </c>
      <c r="B62" s="26" t="s">
        <v>216</v>
      </c>
      <c r="C62" s="71" t="s">
        <v>269</v>
      </c>
      <c r="D62" s="71" t="s">
        <v>271</v>
      </c>
      <c r="E62" s="71" t="s">
        <v>265</v>
      </c>
      <c r="F62" s="71" t="s">
        <v>250</v>
      </c>
      <c r="G62" s="71"/>
      <c r="H62" s="71" t="s">
        <v>346</v>
      </c>
      <c r="I62" s="71" t="s">
        <v>347</v>
      </c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ht="16.5" customHeight="1">
      <c r="A63" s="71" t="s">
        <v>25</v>
      </c>
      <c r="B63" s="26" t="s">
        <v>216</v>
      </c>
      <c r="C63" s="71" t="s">
        <v>270</v>
      </c>
      <c r="D63" s="71" t="s">
        <v>271</v>
      </c>
      <c r="E63" s="71" t="s">
        <v>246</v>
      </c>
      <c r="F63" s="71" t="s">
        <v>246</v>
      </c>
      <c r="G63" s="71"/>
      <c r="H63" s="71" t="s">
        <v>247</v>
      </c>
      <c r="I63" s="71" t="s">
        <v>342</v>
      </c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ht="16.5" customHeight="1">
      <c r="A64" s="71" t="s">
        <v>25</v>
      </c>
      <c r="B64" s="26" t="s">
        <v>216</v>
      </c>
      <c r="C64" s="71" t="s">
        <v>270</v>
      </c>
      <c r="D64" s="71" t="s">
        <v>271</v>
      </c>
      <c r="E64" s="71" t="s">
        <v>250</v>
      </c>
      <c r="F64" s="71" t="s">
        <v>246</v>
      </c>
      <c r="G64" s="71"/>
      <c r="H64" s="71" t="s">
        <v>251</v>
      </c>
      <c r="I64" s="71" t="s">
        <v>254</v>
      </c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ht="16.5" customHeight="1">
      <c r="A65" s="71" t="s">
        <v>25</v>
      </c>
      <c r="B65" s="26" t="s">
        <v>216</v>
      </c>
      <c r="C65" s="71" t="s">
        <v>270</v>
      </c>
      <c r="D65" s="71" t="s">
        <v>271</v>
      </c>
      <c r="E65" s="71" t="s">
        <v>254</v>
      </c>
      <c r="F65" s="71" t="s">
        <v>246</v>
      </c>
      <c r="G65" s="71"/>
      <c r="H65" s="71" t="s">
        <v>255</v>
      </c>
      <c r="I65" s="71" t="s">
        <v>343</v>
      </c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ht="16.5" customHeight="1">
      <c r="A66" s="71" t="s">
        <v>25</v>
      </c>
      <c r="B66" s="26" t="s">
        <v>216</v>
      </c>
      <c r="C66" s="71" t="s">
        <v>270</v>
      </c>
      <c r="D66" s="71" t="s">
        <v>271</v>
      </c>
      <c r="E66" s="71" t="s">
        <v>258</v>
      </c>
      <c r="F66" s="71" t="s">
        <v>250</v>
      </c>
      <c r="G66" s="71"/>
      <c r="H66" s="71" t="s">
        <v>259</v>
      </c>
      <c r="I66" s="71" t="s">
        <v>344</v>
      </c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ht="16.5" customHeight="1">
      <c r="A67" s="71" t="s">
        <v>25</v>
      </c>
      <c r="B67" s="26" t="s">
        <v>216</v>
      </c>
      <c r="C67" s="71" t="s">
        <v>270</v>
      </c>
      <c r="D67" s="71" t="s">
        <v>271</v>
      </c>
      <c r="E67" s="71" t="s">
        <v>261</v>
      </c>
      <c r="F67" s="71" t="s">
        <v>250</v>
      </c>
      <c r="G67" s="71"/>
      <c r="H67" s="71" t="s">
        <v>262</v>
      </c>
      <c r="I67" s="71" t="s">
        <v>345</v>
      </c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ht="16.5" customHeight="1">
      <c r="A68" s="71" t="s">
        <v>25</v>
      </c>
      <c r="B68" s="26" t="s">
        <v>216</v>
      </c>
      <c r="C68" s="71" t="s">
        <v>270</v>
      </c>
      <c r="D68" s="71" t="s">
        <v>271</v>
      </c>
      <c r="E68" s="71" t="s">
        <v>265</v>
      </c>
      <c r="F68" s="71" t="s">
        <v>250</v>
      </c>
      <c r="G68" s="71"/>
      <c r="H68" s="71" t="s">
        <v>346</v>
      </c>
      <c r="I68" s="71" t="s">
        <v>347</v>
      </c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ht="16.5" customHeight="1">
      <c r="A69" s="69" t="s">
        <v>25</v>
      </c>
      <c r="B69" s="68" t="s">
        <v>217</v>
      </c>
      <c r="C69" s="68" t="s">
        <v>270</v>
      </c>
      <c r="D69" s="69" t="s">
        <v>271</v>
      </c>
      <c r="E69" s="69" t="s">
        <v>246</v>
      </c>
      <c r="F69" s="69" t="s">
        <v>246</v>
      </c>
      <c r="G69" s="69"/>
      <c r="H69" s="69" t="s">
        <v>247</v>
      </c>
      <c r="I69" s="69" t="s">
        <v>342</v>
      </c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</row>
    <row r="70" spans="1:26" ht="16.5" customHeight="1">
      <c r="A70" s="69" t="s">
        <v>25</v>
      </c>
      <c r="B70" s="68" t="s">
        <v>217</v>
      </c>
      <c r="C70" s="68" t="s">
        <v>270</v>
      </c>
      <c r="D70" s="69" t="s">
        <v>271</v>
      </c>
      <c r="E70" s="69" t="s">
        <v>250</v>
      </c>
      <c r="F70" s="69" t="s">
        <v>246</v>
      </c>
      <c r="G70" s="69"/>
      <c r="H70" s="69" t="s">
        <v>251</v>
      </c>
      <c r="I70" s="69" t="s">
        <v>254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</row>
    <row r="71" spans="1:26" ht="16.5" customHeight="1">
      <c r="A71" s="69" t="s">
        <v>25</v>
      </c>
      <c r="B71" s="68" t="s">
        <v>217</v>
      </c>
      <c r="C71" s="68" t="s">
        <v>270</v>
      </c>
      <c r="D71" s="69" t="s">
        <v>271</v>
      </c>
      <c r="E71" s="69" t="s">
        <v>254</v>
      </c>
      <c r="F71" s="69" t="s">
        <v>246</v>
      </c>
      <c r="G71" s="69"/>
      <c r="H71" s="69" t="s">
        <v>255</v>
      </c>
      <c r="I71" s="69" t="s">
        <v>343</v>
      </c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</row>
    <row r="72" spans="1:26" ht="16.5" customHeight="1">
      <c r="A72" s="69" t="s">
        <v>25</v>
      </c>
      <c r="B72" s="68" t="s">
        <v>217</v>
      </c>
      <c r="C72" s="68" t="s">
        <v>270</v>
      </c>
      <c r="D72" s="69" t="s">
        <v>271</v>
      </c>
      <c r="E72" s="69" t="s">
        <v>258</v>
      </c>
      <c r="F72" s="69" t="s">
        <v>250</v>
      </c>
      <c r="G72" s="69"/>
      <c r="H72" s="69" t="s">
        <v>259</v>
      </c>
      <c r="I72" s="69" t="s">
        <v>344</v>
      </c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</row>
    <row r="73" spans="1:26" ht="16.5" customHeight="1">
      <c r="A73" s="69" t="s">
        <v>25</v>
      </c>
      <c r="B73" s="68" t="s">
        <v>217</v>
      </c>
      <c r="C73" s="68" t="s">
        <v>270</v>
      </c>
      <c r="D73" s="69" t="s">
        <v>271</v>
      </c>
      <c r="E73" s="69" t="s">
        <v>261</v>
      </c>
      <c r="F73" s="69" t="s">
        <v>250</v>
      </c>
      <c r="G73" s="69"/>
      <c r="H73" s="68" t="s">
        <v>348</v>
      </c>
      <c r="I73" s="69" t="s">
        <v>345</v>
      </c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</row>
    <row r="74" spans="1:26" ht="16.5" customHeight="1">
      <c r="A74" s="69" t="s">
        <v>25</v>
      </c>
      <c r="B74" s="68" t="s">
        <v>217</v>
      </c>
      <c r="C74" s="68" t="s">
        <v>270</v>
      </c>
      <c r="D74" s="69" t="s">
        <v>271</v>
      </c>
      <c r="E74" s="69" t="s">
        <v>265</v>
      </c>
      <c r="F74" s="69" t="s">
        <v>250</v>
      </c>
      <c r="G74" s="69"/>
      <c r="H74" s="68" t="s">
        <v>348</v>
      </c>
      <c r="I74" s="68" t="s">
        <v>348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</row>
    <row r="75" spans="1:26" ht="16.5" customHeight="1">
      <c r="A75" s="69" t="s">
        <v>25</v>
      </c>
      <c r="B75" s="68" t="s">
        <v>217</v>
      </c>
      <c r="C75" s="68" t="s">
        <v>271</v>
      </c>
      <c r="D75" s="68" t="s">
        <v>274</v>
      </c>
      <c r="E75" s="69" t="s">
        <v>246</v>
      </c>
      <c r="F75" s="69" t="s">
        <v>246</v>
      </c>
      <c r="G75" s="69"/>
      <c r="H75" s="69" t="s">
        <v>247</v>
      </c>
      <c r="I75" s="69" t="s">
        <v>342</v>
      </c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</row>
    <row r="76" spans="1:26" ht="16.5" customHeight="1">
      <c r="A76" s="69" t="s">
        <v>25</v>
      </c>
      <c r="B76" s="68" t="s">
        <v>217</v>
      </c>
      <c r="C76" s="68" t="s">
        <v>271</v>
      </c>
      <c r="D76" s="68" t="s">
        <v>274</v>
      </c>
      <c r="E76" s="69" t="s">
        <v>250</v>
      </c>
      <c r="F76" s="69" t="s">
        <v>246</v>
      </c>
      <c r="G76" s="69"/>
      <c r="H76" s="69" t="s">
        <v>251</v>
      </c>
      <c r="I76" s="69" t="s">
        <v>254</v>
      </c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</row>
    <row r="77" spans="1:26" ht="16.5" customHeight="1">
      <c r="A77" s="69" t="s">
        <v>25</v>
      </c>
      <c r="B77" s="68" t="s">
        <v>217</v>
      </c>
      <c r="C77" s="68" t="s">
        <v>271</v>
      </c>
      <c r="D77" s="68" t="s">
        <v>274</v>
      </c>
      <c r="E77" s="69" t="s">
        <v>254</v>
      </c>
      <c r="F77" s="69" t="s">
        <v>246</v>
      </c>
      <c r="G77" s="69"/>
      <c r="H77" s="69" t="s">
        <v>255</v>
      </c>
      <c r="I77" s="69" t="s">
        <v>343</v>
      </c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</row>
    <row r="78" spans="1:26" ht="16.5" customHeight="1">
      <c r="A78" s="69" t="s">
        <v>25</v>
      </c>
      <c r="B78" s="68" t="s">
        <v>217</v>
      </c>
      <c r="C78" s="68" t="s">
        <v>271</v>
      </c>
      <c r="D78" s="68" t="s">
        <v>274</v>
      </c>
      <c r="E78" s="69" t="s">
        <v>258</v>
      </c>
      <c r="F78" s="69" t="s">
        <v>250</v>
      </c>
      <c r="G78" s="69"/>
      <c r="H78" s="69" t="s">
        <v>259</v>
      </c>
      <c r="I78" s="69" t="s">
        <v>344</v>
      </c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</row>
    <row r="79" spans="1:26" ht="16.5" customHeight="1">
      <c r="A79" s="69" t="s">
        <v>25</v>
      </c>
      <c r="B79" s="68" t="s">
        <v>217</v>
      </c>
      <c r="C79" s="68" t="s">
        <v>271</v>
      </c>
      <c r="D79" s="68" t="s">
        <v>274</v>
      </c>
      <c r="E79" s="69" t="s">
        <v>261</v>
      </c>
      <c r="F79" s="69" t="s">
        <v>250</v>
      </c>
      <c r="G79" s="69"/>
      <c r="H79" s="69" t="s">
        <v>262</v>
      </c>
      <c r="I79" s="69" t="s">
        <v>345</v>
      </c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</row>
    <row r="80" spans="1:26" ht="16.5" customHeight="1">
      <c r="A80" s="71" t="s">
        <v>25</v>
      </c>
      <c r="B80" s="26" t="s">
        <v>219</v>
      </c>
      <c r="C80" s="26" t="s">
        <v>271</v>
      </c>
      <c r="D80" s="26" t="s">
        <v>274</v>
      </c>
      <c r="E80" s="71" t="s">
        <v>246</v>
      </c>
      <c r="F80" s="71" t="s">
        <v>246</v>
      </c>
      <c r="G80" s="71"/>
      <c r="H80" s="71" t="s">
        <v>247</v>
      </c>
      <c r="I80" s="71" t="s">
        <v>342</v>
      </c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ht="16.5" customHeight="1">
      <c r="A81" s="71" t="s">
        <v>25</v>
      </c>
      <c r="B81" s="26" t="s">
        <v>219</v>
      </c>
      <c r="C81" s="26" t="s">
        <v>271</v>
      </c>
      <c r="D81" s="26" t="s">
        <v>274</v>
      </c>
      <c r="E81" s="71" t="s">
        <v>250</v>
      </c>
      <c r="F81" s="71" t="s">
        <v>246</v>
      </c>
      <c r="G81" s="71"/>
      <c r="H81" s="71" t="s">
        <v>251</v>
      </c>
      <c r="I81" s="71" t="s">
        <v>254</v>
      </c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ht="16.5" customHeight="1">
      <c r="A82" s="71" t="s">
        <v>25</v>
      </c>
      <c r="B82" s="26" t="s">
        <v>219</v>
      </c>
      <c r="C82" s="26" t="s">
        <v>271</v>
      </c>
      <c r="D82" s="26" t="s">
        <v>274</v>
      </c>
      <c r="E82" s="71" t="s">
        <v>254</v>
      </c>
      <c r="F82" s="71" t="s">
        <v>246</v>
      </c>
      <c r="G82" s="71"/>
      <c r="H82" s="71" t="s">
        <v>255</v>
      </c>
      <c r="I82" s="71" t="s">
        <v>343</v>
      </c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ht="16.5" customHeight="1">
      <c r="A83" s="71" t="s">
        <v>25</v>
      </c>
      <c r="B83" s="26" t="s">
        <v>219</v>
      </c>
      <c r="C83" s="26" t="s">
        <v>271</v>
      </c>
      <c r="D83" s="26" t="s">
        <v>274</v>
      </c>
      <c r="E83" s="71" t="s">
        <v>258</v>
      </c>
      <c r="F83" s="71" t="s">
        <v>250</v>
      </c>
      <c r="G83" s="71"/>
      <c r="H83" s="71" t="s">
        <v>259</v>
      </c>
      <c r="I83" s="71" t="s">
        <v>344</v>
      </c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ht="16.5" customHeight="1">
      <c r="A84" s="71" t="s">
        <v>25</v>
      </c>
      <c r="B84" s="26" t="s">
        <v>219</v>
      </c>
      <c r="C84" s="26" t="s">
        <v>271</v>
      </c>
      <c r="D84" s="26" t="s">
        <v>274</v>
      </c>
      <c r="E84" s="71" t="s">
        <v>261</v>
      </c>
      <c r="F84" s="71" t="s">
        <v>250</v>
      </c>
      <c r="G84" s="71"/>
      <c r="H84" s="26" t="s">
        <v>262</v>
      </c>
      <c r="I84" s="71" t="s">
        <v>345</v>
      </c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ht="16.5" customHeight="1">
      <c r="A85" s="69" t="s">
        <v>25</v>
      </c>
      <c r="B85" s="68" t="s">
        <v>221</v>
      </c>
      <c r="C85" s="69" t="s">
        <v>271</v>
      </c>
      <c r="D85" s="69" t="s">
        <v>274</v>
      </c>
      <c r="E85" s="69" t="s">
        <v>246</v>
      </c>
      <c r="F85" s="69" t="s">
        <v>246</v>
      </c>
      <c r="G85" s="69"/>
      <c r="H85" s="69" t="s">
        <v>247</v>
      </c>
      <c r="I85" s="69" t="s">
        <v>342</v>
      </c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</row>
    <row r="86" spans="1:26" ht="16.5" customHeight="1">
      <c r="A86" s="69" t="s">
        <v>25</v>
      </c>
      <c r="B86" s="68" t="s">
        <v>221</v>
      </c>
      <c r="C86" s="69" t="s">
        <v>271</v>
      </c>
      <c r="D86" s="69" t="s">
        <v>274</v>
      </c>
      <c r="E86" s="69" t="s">
        <v>250</v>
      </c>
      <c r="F86" s="69" t="s">
        <v>246</v>
      </c>
      <c r="G86" s="69"/>
      <c r="H86" s="69" t="s">
        <v>251</v>
      </c>
      <c r="I86" s="69" t="s">
        <v>254</v>
      </c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</row>
    <row r="87" spans="1:26" ht="16.5" customHeight="1">
      <c r="A87" s="69" t="s">
        <v>25</v>
      </c>
      <c r="B87" s="68" t="s">
        <v>221</v>
      </c>
      <c r="C87" s="69" t="s">
        <v>271</v>
      </c>
      <c r="D87" s="69" t="s">
        <v>274</v>
      </c>
      <c r="E87" s="69" t="s">
        <v>254</v>
      </c>
      <c r="F87" s="69" t="s">
        <v>246</v>
      </c>
      <c r="G87" s="69"/>
      <c r="H87" s="68" t="s">
        <v>349</v>
      </c>
      <c r="I87" s="69" t="s">
        <v>343</v>
      </c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</row>
    <row r="88" spans="1:26" ht="16.5" customHeight="1">
      <c r="A88" s="69" t="s">
        <v>25</v>
      </c>
      <c r="B88" s="68" t="s">
        <v>221</v>
      </c>
      <c r="C88" s="69" t="s">
        <v>271</v>
      </c>
      <c r="D88" s="69" t="s">
        <v>274</v>
      </c>
      <c r="E88" s="69" t="s">
        <v>258</v>
      </c>
      <c r="F88" s="69" t="s">
        <v>250</v>
      </c>
      <c r="G88" s="69"/>
      <c r="H88" s="69" t="s">
        <v>259</v>
      </c>
      <c r="I88" s="69" t="s">
        <v>344</v>
      </c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</row>
    <row r="89" spans="1:26" ht="16.5" customHeight="1">
      <c r="A89" s="69" t="s">
        <v>25</v>
      </c>
      <c r="B89" s="68" t="s">
        <v>221</v>
      </c>
      <c r="C89" s="69" t="s">
        <v>271</v>
      </c>
      <c r="D89" s="69" t="s">
        <v>274</v>
      </c>
      <c r="E89" s="69" t="s">
        <v>261</v>
      </c>
      <c r="F89" s="69" t="s">
        <v>250</v>
      </c>
      <c r="G89" s="69"/>
      <c r="H89" s="68" t="s">
        <v>350</v>
      </c>
      <c r="I89" s="68" t="s">
        <v>350</v>
      </c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</row>
    <row r="90" spans="1:26" ht="16.5" customHeight="1">
      <c r="A90" s="69" t="s">
        <v>25</v>
      </c>
      <c r="B90" s="68" t="s">
        <v>221</v>
      </c>
      <c r="C90" s="68" t="s">
        <v>274</v>
      </c>
      <c r="D90" s="68" t="s">
        <v>276</v>
      </c>
      <c r="E90" s="69" t="s">
        <v>246</v>
      </c>
      <c r="F90" s="69" t="s">
        <v>246</v>
      </c>
      <c r="G90" s="69"/>
      <c r="H90" s="69" t="s">
        <v>247</v>
      </c>
      <c r="I90" s="69" t="s">
        <v>342</v>
      </c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</row>
    <row r="91" spans="1:26" ht="16.5" customHeight="1">
      <c r="A91" s="69" t="s">
        <v>25</v>
      </c>
      <c r="B91" s="68" t="s">
        <v>221</v>
      </c>
      <c r="C91" s="68" t="s">
        <v>274</v>
      </c>
      <c r="D91" s="68" t="s">
        <v>276</v>
      </c>
      <c r="E91" s="69" t="s">
        <v>250</v>
      </c>
      <c r="F91" s="69" t="s">
        <v>246</v>
      </c>
      <c r="G91" s="69"/>
      <c r="H91" s="69" t="s">
        <v>251</v>
      </c>
      <c r="I91" s="69" t="s">
        <v>254</v>
      </c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</row>
    <row r="92" spans="1:26" ht="16.5" customHeight="1">
      <c r="A92" s="69" t="s">
        <v>25</v>
      </c>
      <c r="B92" s="68" t="s">
        <v>221</v>
      </c>
      <c r="C92" s="68" t="s">
        <v>274</v>
      </c>
      <c r="D92" s="68" t="s">
        <v>276</v>
      </c>
      <c r="E92" s="69" t="s">
        <v>254</v>
      </c>
      <c r="F92" s="69" t="s">
        <v>246</v>
      </c>
      <c r="G92" s="69"/>
      <c r="H92" s="69" t="s">
        <v>255</v>
      </c>
      <c r="I92" s="69" t="s">
        <v>343</v>
      </c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</row>
    <row r="93" spans="1:26" ht="16.5" customHeight="1">
      <c r="A93" s="69" t="s">
        <v>25</v>
      </c>
      <c r="B93" s="68" t="s">
        <v>221</v>
      </c>
      <c r="C93" s="68" t="s">
        <v>274</v>
      </c>
      <c r="D93" s="68" t="s">
        <v>276</v>
      </c>
      <c r="E93" s="69" t="s">
        <v>258</v>
      </c>
      <c r="F93" s="69" t="s">
        <v>250</v>
      </c>
      <c r="G93" s="69"/>
      <c r="H93" s="69" t="s">
        <v>259</v>
      </c>
      <c r="I93" s="69" t="s">
        <v>344</v>
      </c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</row>
    <row r="94" spans="1:26" ht="16.5" customHeight="1">
      <c r="A94" s="69" t="s">
        <v>25</v>
      </c>
      <c r="B94" s="68" t="s">
        <v>221</v>
      </c>
      <c r="C94" s="68" t="s">
        <v>274</v>
      </c>
      <c r="D94" s="68" t="s">
        <v>276</v>
      </c>
      <c r="E94" s="69" t="s">
        <v>261</v>
      </c>
      <c r="F94" s="69" t="s">
        <v>250</v>
      </c>
      <c r="G94" s="69"/>
      <c r="H94" s="69" t="s">
        <v>262</v>
      </c>
      <c r="I94" s="69" t="s">
        <v>345</v>
      </c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</row>
    <row r="95" spans="1:26" ht="16.5" customHeight="1">
      <c r="A95" s="71" t="s">
        <v>25</v>
      </c>
      <c r="B95" s="26" t="s">
        <v>76</v>
      </c>
      <c r="C95" s="26" t="s">
        <v>274</v>
      </c>
      <c r="D95" s="26" t="s">
        <v>276</v>
      </c>
      <c r="E95" s="71" t="s">
        <v>246</v>
      </c>
      <c r="F95" s="71" t="s">
        <v>246</v>
      </c>
      <c r="G95" s="71"/>
      <c r="H95" s="71" t="s">
        <v>247</v>
      </c>
      <c r="I95" s="71" t="s">
        <v>342</v>
      </c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ht="16.5" customHeight="1">
      <c r="A96" s="71" t="s">
        <v>25</v>
      </c>
      <c r="B96" s="26" t="s">
        <v>76</v>
      </c>
      <c r="C96" s="26" t="s">
        <v>274</v>
      </c>
      <c r="D96" s="26" t="s">
        <v>276</v>
      </c>
      <c r="E96" s="71" t="s">
        <v>250</v>
      </c>
      <c r="F96" s="71" t="s">
        <v>246</v>
      </c>
      <c r="G96" s="71"/>
      <c r="H96" s="71" t="s">
        <v>251</v>
      </c>
      <c r="I96" s="71" t="s">
        <v>254</v>
      </c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ht="16.5" customHeight="1">
      <c r="A97" s="71" t="s">
        <v>25</v>
      </c>
      <c r="B97" s="26" t="s">
        <v>76</v>
      </c>
      <c r="C97" s="26" t="s">
        <v>274</v>
      </c>
      <c r="D97" s="26" t="s">
        <v>276</v>
      </c>
      <c r="E97" s="71" t="s">
        <v>254</v>
      </c>
      <c r="F97" s="71" t="s">
        <v>246</v>
      </c>
      <c r="G97" s="71"/>
      <c r="H97" s="71" t="s">
        <v>255</v>
      </c>
      <c r="I97" s="71" t="s">
        <v>343</v>
      </c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ht="16.5" customHeight="1">
      <c r="A98" s="71" t="s">
        <v>25</v>
      </c>
      <c r="B98" s="26" t="s">
        <v>76</v>
      </c>
      <c r="C98" s="26" t="s">
        <v>274</v>
      </c>
      <c r="D98" s="26" t="s">
        <v>276</v>
      </c>
      <c r="E98" s="71" t="s">
        <v>258</v>
      </c>
      <c r="F98" s="71" t="s">
        <v>250</v>
      </c>
      <c r="G98" s="71"/>
      <c r="H98" s="71" t="s">
        <v>259</v>
      </c>
      <c r="I98" s="71" t="s">
        <v>344</v>
      </c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ht="16.5" customHeight="1">
      <c r="A99" s="71" t="s">
        <v>25</v>
      </c>
      <c r="B99" s="26" t="s">
        <v>76</v>
      </c>
      <c r="C99" s="26" t="s">
        <v>274</v>
      </c>
      <c r="D99" s="26" t="s">
        <v>276</v>
      </c>
      <c r="E99" s="71" t="s">
        <v>261</v>
      </c>
      <c r="F99" s="71" t="s">
        <v>250</v>
      </c>
      <c r="G99" s="71"/>
      <c r="H99" s="71" t="s">
        <v>262</v>
      </c>
      <c r="I99" s="71" t="s">
        <v>345</v>
      </c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ht="16.5" customHeight="1">
      <c r="A100" s="69" t="s">
        <v>25</v>
      </c>
      <c r="B100" s="68" t="s">
        <v>224</v>
      </c>
      <c r="C100" s="69" t="s">
        <v>274</v>
      </c>
      <c r="D100" s="69" t="s">
        <v>276</v>
      </c>
      <c r="E100" s="69" t="s">
        <v>246</v>
      </c>
      <c r="F100" s="69" t="s">
        <v>246</v>
      </c>
      <c r="G100" s="69"/>
      <c r="H100" s="69" t="s">
        <v>247</v>
      </c>
      <c r="I100" s="69" t="s">
        <v>342</v>
      </c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</row>
    <row r="101" spans="1:26" ht="16.5" customHeight="1">
      <c r="A101" s="69" t="s">
        <v>25</v>
      </c>
      <c r="B101" s="68" t="s">
        <v>224</v>
      </c>
      <c r="C101" s="69" t="s">
        <v>274</v>
      </c>
      <c r="D101" s="69" t="s">
        <v>276</v>
      </c>
      <c r="E101" s="69" t="s">
        <v>250</v>
      </c>
      <c r="F101" s="69" t="s">
        <v>246</v>
      </c>
      <c r="G101" s="69"/>
      <c r="H101" s="69" t="s">
        <v>251</v>
      </c>
      <c r="I101" s="69" t="s">
        <v>254</v>
      </c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</row>
    <row r="102" spans="1:26" ht="16.5" customHeight="1">
      <c r="A102" s="69" t="s">
        <v>25</v>
      </c>
      <c r="B102" s="68" t="s">
        <v>224</v>
      </c>
      <c r="C102" s="69" t="s">
        <v>274</v>
      </c>
      <c r="D102" s="69" t="s">
        <v>276</v>
      </c>
      <c r="E102" s="69" t="s">
        <v>254</v>
      </c>
      <c r="F102" s="69" t="s">
        <v>246</v>
      </c>
      <c r="G102" s="69"/>
      <c r="H102" s="69" t="s">
        <v>255</v>
      </c>
      <c r="I102" s="69" t="s">
        <v>343</v>
      </c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</row>
    <row r="103" spans="1:26" ht="16.5" customHeight="1">
      <c r="A103" s="69" t="s">
        <v>25</v>
      </c>
      <c r="B103" s="68" t="s">
        <v>224</v>
      </c>
      <c r="C103" s="69" t="s">
        <v>274</v>
      </c>
      <c r="D103" s="69" t="s">
        <v>276</v>
      </c>
      <c r="E103" s="69" t="s">
        <v>258</v>
      </c>
      <c r="F103" s="69" t="s">
        <v>250</v>
      </c>
      <c r="G103" s="69"/>
      <c r="H103" s="69" t="s">
        <v>259</v>
      </c>
      <c r="I103" s="69" t="s">
        <v>344</v>
      </c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</row>
    <row r="104" spans="1:26" ht="16.5" customHeight="1">
      <c r="A104" s="69" t="s">
        <v>25</v>
      </c>
      <c r="B104" s="68" t="s">
        <v>224</v>
      </c>
      <c r="C104" s="69" t="s">
        <v>274</v>
      </c>
      <c r="D104" s="69" t="s">
        <v>276</v>
      </c>
      <c r="E104" s="69" t="s">
        <v>261</v>
      </c>
      <c r="F104" s="69" t="s">
        <v>250</v>
      </c>
      <c r="G104" s="69"/>
      <c r="H104" s="69" t="s">
        <v>262</v>
      </c>
      <c r="I104" s="69" t="s">
        <v>345</v>
      </c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</row>
    <row r="105" spans="1:26" ht="16.5" customHeight="1">
      <c r="A105" s="71" t="s">
        <v>25</v>
      </c>
      <c r="B105" s="26" t="s">
        <v>225</v>
      </c>
      <c r="C105" s="71" t="s">
        <v>274</v>
      </c>
      <c r="D105" s="71" t="s">
        <v>276</v>
      </c>
      <c r="E105" s="71" t="s">
        <v>246</v>
      </c>
      <c r="F105" s="71" t="s">
        <v>246</v>
      </c>
      <c r="G105" s="71"/>
      <c r="H105" s="71" t="s">
        <v>247</v>
      </c>
      <c r="I105" s="71" t="s">
        <v>342</v>
      </c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ht="16.5" customHeight="1">
      <c r="A106" s="71" t="s">
        <v>25</v>
      </c>
      <c r="B106" s="26" t="s">
        <v>225</v>
      </c>
      <c r="C106" s="71" t="s">
        <v>274</v>
      </c>
      <c r="D106" s="71" t="s">
        <v>276</v>
      </c>
      <c r="E106" s="71" t="s">
        <v>250</v>
      </c>
      <c r="F106" s="71" t="s">
        <v>246</v>
      </c>
      <c r="G106" s="71"/>
      <c r="H106" s="71" t="s">
        <v>251</v>
      </c>
      <c r="I106" s="71" t="s">
        <v>254</v>
      </c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ht="16.5" customHeight="1">
      <c r="A107" s="71" t="s">
        <v>25</v>
      </c>
      <c r="B107" s="26" t="s">
        <v>225</v>
      </c>
      <c r="C107" s="71" t="s">
        <v>274</v>
      </c>
      <c r="D107" s="71" t="s">
        <v>276</v>
      </c>
      <c r="E107" s="71" t="s">
        <v>254</v>
      </c>
      <c r="F107" s="71" t="s">
        <v>246</v>
      </c>
      <c r="G107" s="71"/>
      <c r="H107" s="26" t="s">
        <v>351</v>
      </c>
      <c r="I107" s="71" t="s">
        <v>343</v>
      </c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ht="16.5" customHeight="1">
      <c r="A108" s="71" t="s">
        <v>25</v>
      </c>
      <c r="B108" s="26" t="s">
        <v>225</v>
      </c>
      <c r="C108" s="71" t="s">
        <v>274</v>
      </c>
      <c r="D108" s="71" t="s">
        <v>276</v>
      </c>
      <c r="E108" s="71" t="s">
        <v>254</v>
      </c>
      <c r="F108" s="26" t="s">
        <v>250</v>
      </c>
      <c r="G108" s="71"/>
      <c r="H108" s="71" t="s">
        <v>255</v>
      </c>
      <c r="I108" s="71" t="s">
        <v>343</v>
      </c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ht="16.5" customHeight="1">
      <c r="A109" s="71" t="s">
        <v>25</v>
      </c>
      <c r="B109" s="26" t="s">
        <v>225</v>
      </c>
      <c r="C109" s="71" t="s">
        <v>274</v>
      </c>
      <c r="D109" s="71" t="s">
        <v>276</v>
      </c>
      <c r="E109" s="71" t="s">
        <v>258</v>
      </c>
      <c r="F109" s="71" t="s">
        <v>250</v>
      </c>
      <c r="G109" s="71"/>
      <c r="H109" s="71" t="s">
        <v>259</v>
      </c>
      <c r="I109" s="71" t="s">
        <v>344</v>
      </c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ht="16.5" customHeight="1">
      <c r="A110" s="71" t="s">
        <v>25</v>
      </c>
      <c r="B110" s="26" t="s">
        <v>225</v>
      </c>
      <c r="C110" s="71" t="s">
        <v>274</v>
      </c>
      <c r="D110" s="71" t="s">
        <v>276</v>
      </c>
      <c r="E110" s="71" t="s">
        <v>261</v>
      </c>
      <c r="F110" s="71" t="s">
        <v>250</v>
      </c>
      <c r="G110" s="71"/>
      <c r="H110" s="26" t="s">
        <v>263</v>
      </c>
      <c r="I110" s="71" t="s">
        <v>345</v>
      </c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ht="16.5" customHeight="1">
      <c r="A111" s="71" t="s">
        <v>25</v>
      </c>
      <c r="B111" s="26" t="s">
        <v>225</v>
      </c>
      <c r="C111" s="71" t="s">
        <v>274</v>
      </c>
      <c r="D111" s="71" t="s">
        <v>276</v>
      </c>
      <c r="E111" s="71" t="s">
        <v>261</v>
      </c>
      <c r="F111" s="26" t="s">
        <v>254</v>
      </c>
      <c r="G111" s="71"/>
      <c r="H111" s="71" t="s">
        <v>262</v>
      </c>
      <c r="I111" s="71" t="s">
        <v>345</v>
      </c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ht="16.5" customHeight="1">
      <c r="A112" s="69" t="s">
        <v>25</v>
      </c>
      <c r="B112" s="68" t="s">
        <v>226</v>
      </c>
      <c r="C112" s="68" t="s">
        <v>276</v>
      </c>
      <c r="D112" s="68" t="s">
        <v>22</v>
      </c>
      <c r="E112" s="69" t="s">
        <v>246</v>
      </c>
      <c r="F112" s="69" t="s">
        <v>246</v>
      </c>
      <c r="G112" s="69"/>
      <c r="H112" s="69" t="s">
        <v>247</v>
      </c>
      <c r="I112" s="69" t="s">
        <v>342</v>
      </c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</row>
    <row r="113" spans="1:26" ht="16.5" customHeight="1">
      <c r="A113" s="69" t="s">
        <v>25</v>
      </c>
      <c r="B113" s="68" t="s">
        <v>226</v>
      </c>
      <c r="C113" s="68" t="s">
        <v>276</v>
      </c>
      <c r="D113" s="68" t="s">
        <v>22</v>
      </c>
      <c r="E113" s="69" t="s">
        <v>250</v>
      </c>
      <c r="F113" s="69" t="s">
        <v>246</v>
      </c>
      <c r="G113" s="69"/>
      <c r="H113" s="69" t="s">
        <v>251</v>
      </c>
      <c r="I113" s="69" t="s">
        <v>254</v>
      </c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</row>
    <row r="114" spans="1:26" ht="16.5" customHeight="1">
      <c r="A114" s="69" t="s">
        <v>25</v>
      </c>
      <c r="B114" s="68" t="s">
        <v>226</v>
      </c>
      <c r="C114" s="68" t="s">
        <v>276</v>
      </c>
      <c r="D114" s="68" t="s">
        <v>22</v>
      </c>
      <c r="E114" s="69" t="s">
        <v>254</v>
      </c>
      <c r="F114" s="69" t="s">
        <v>246</v>
      </c>
      <c r="G114" s="69"/>
      <c r="H114" s="68" t="s">
        <v>352</v>
      </c>
      <c r="I114" s="69" t="s">
        <v>343</v>
      </c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</row>
    <row r="115" spans="1:26" ht="16.5" customHeight="1">
      <c r="A115" s="69" t="s">
        <v>25</v>
      </c>
      <c r="B115" s="68" t="s">
        <v>226</v>
      </c>
      <c r="C115" s="68" t="s">
        <v>276</v>
      </c>
      <c r="D115" s="68" t="s">
        <v>22</v>
      </c>
      <c r="E115" s="68" t="s">
        <v>254</v>
      </c>
      <c r="F115" s="69" t="s">
        <v>250</v>
      </c>
      <c r="G115" s="69"/>
      <c r="H115" s="68" t="s">
        <v>255</v>
      </c>
      <c r="I115" s="68" t="s">
        <v>343</v>
      </c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</row>
    <row r="116" spans="1:26" ht="16.5" customHeight="1">
      <c r="A116" s="71" t="s">
        <v>25</v>
      </c>
      <c r="B116" s="26" t="s">
        <v>228</v>
      </c>
      <c r="C116" s="71" t="s">
        <v>276</v>
      </c>
      <c r="D116" s="71" t="s">
        <v>22</v>
      </c>
      <c r="E116" s="71" t="s">
        <v>246</v>
      </c>
      <c r="F116" s="71" t="s">
        <v>246</v>
      </c>
      <c r="G116" s="71"/>
      <c r="H116" s="71" t="s">
        <v>247</v>
      </c>
      <c r="I116" s="71" t="s">
        <v>342</v>
      </c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ht="16.5" customHeight="1">
      <c r="A117" s="71" t="s">
        <v>25</v>
      </c>
      <c r="B117" s="26" t="s">
        <v>228</v>
      </c>
      <c r="C117" s="71" t="s">
        <v>276</v>
      </c>
      <c r="D117" s="71" t="s">
        <v>22</v>
      </c>
      <c r="E117" s="71" t="s">
        <v>250</v>
      </c>
      <c r="F117" s="71" t="s">
        <v>246</v>
      </c>
      <c r="G117" s="71"/>
      <c r="H117" s="71" t="s">
        <v>251</v>
      </c>
      <c r="I117" s="71" t="s">
        <v>254</v>
      </c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ht="16.5" customHeight="1">
      <c r="A118" s="71" t="s">
        <v>25</v>
      </c>
      <c r="B118" s="26" t="s">
        <v>228</v>
      </c>
      <c r="C118" s="71" t="s">
        <v>276</v>
      </c>
      <c r="D118" s="71" t="s">
        <v>22</v>
      </c>
      <c r="E118" s="71" t="s">
        <v>254</v>
      </c>
      <c r="F118" s="71" t="s">
        <v>246</v>
      </c>
      <c r="G118" s="71"/>
      <c r="H118" s="26" t="s">
        <v>353</v>
      </c>
      <c r="I118" s="26" t="s">
        <v>353</v>
      </c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ht="16.5" customHeight="1">
      <c r="A119" s="69" t="s">
        <v>25</v>
      </c>
      <c r="B119" s="68" t="s">
        <v>88</v>
      </c>
      <c r="C119" s="68" t="s">
        <v>22</v>
      </c>
      <c r="D119" s="68" t="s">
        <v>282</v>
      </c>
      <c r="E119" s="69" t="s">
        <v>246</v>
      </c>
      <c r="F119" s="69" t="s">
        <v>246</v>
      </c>
      <c r="G119" s="69"/>
      <c r="H119" s="69" t="s">
        <v>247</v>
      </c>
      <c r="I119" s="69" t="s">
        <v>342</v>
      </c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</row>
    <row r="120" spans="1:26" ht="16.5" customHeight="1">
      <c r="A120" s="69" t="s">
        <v>25</v>
      </c>
      <c r="B120" s="68" t="s">
        <v>88</v>
      </c>
      <c r="C120" s="68" t="s">
        <v>22</v>
      </c>
      <c r="D120" s="68" t="s">
        <v>282</v>
      </c>
      <c r="E120" s="69" t="s">
        <v>250</v>
      </c>
      <c r="F120" s="69" t="s">
        <v>246</v>
      </c>
      <c r="G120" s="69"/>
      <c r="H120" s="69" t="s">
        <v>251</v>
      </c>
      <c r="I120" s="69" t="s">
        <v>254</v>
      </c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</row>
    <row r="121" spans="1:26" ht="16.5" customHeight="1">
      <c r="A121" s="69" t="s">
        <v>25</v>
      </c>
      <c r="B121" s="68" t="s">
        <v>88</v>
      </c>
      <c r="C121" s="68" t="s">
        <v>22</v>
      </c>
      <c r="D121" s="68" t="s">
        <v>282</v>
      </c>
      <c r="E121" s="69" t="s">
        <v>254</v>
      </c>
      <c r="F121" s="69" t="s">
        <v>246</v>
      </c>
      <c r="G121" s="69"/>
      <c r="H121" s="68" t="s">
        <v>258</v>
      </c>
      <c r="I121" s="68" t="s">
        <v>258</v>
      </c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</row>
    <row r="122" spans="1:26" ht="16.5" customHeight="1">
      <c r="A122" s="26" t="s">
        <v>298</v>
      </c>
      <c r="B122" s="26" t="s">
        <v>209</v>
      </c>
      <c r="C122" s="71">
        <v>1</v>
      </c>
      <c r="D122" s="71">
        <v>2</v>
      </c>
      <c r="E122" s="26" t="s">
        <v>246</v>
      </c>
      <c r="F122" s="26" t="s">
        <v>246</v>
      </c>
      <c r="G122" s="26" t="s">
        <v>299</v>
      </c>
      <c r="H122" s="26" t="s">
        <v>299</v>
      </c>
      <c r="I122" s="26" t="s">
        <v>342</v>
      </c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ht="16.5" customHeight="1">
      <c r="A123" s="26" t="s">
        <v>298</v>
      </c>
      <c r="B123" s="26" t="s">
        <v>209</v>
      </c>
      <c r="C123" s="71">
        <v>1</v>
      </c>
      <c r="D123" s="71">
        <v>2</v>
      </c>
      <c r="E123" s="26" t="s">
        <v>250</v>
      </c>
      <c r="F123" s="26" t="s">
        <v>246</v>
      </c>
      <c r="G123" s="26" t="s">
        <v>302</v>
      </c>
      <c r="H123" s="26" t="s">
        <v>302</v>
      </c>
      <c r="I123" s="26" t="s">
        <v>335</v>
      </c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ht="16.5" customHeight="1">
      <c r="A124" s="26" t="s">
        <v>298</v>
      </c>
      <c r="B124" s="26" t="s">
        <v>209</v>
      </c>
      <c r="C124" s="71">
        <v>1</v>
      </c>
      <c r="D124" s="71">
        <v>2</v>
      </c>
      <c r="E124" s="26" t="s">
        <v>254</v>
      </c>
      <c r="F124" s="26" t="s">
        <v>246</v>
      </c>
      <c r="G124" s="26" t="s">
        <v>306</v>
      </c>
      <c r="H124" s="26" t="s">
        <v>306</v>
      </c>
      <c r="I124" s="26" t="s">
        <v>354</v>
      </c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ht="16.5" customHeight="1">
      <c r="A125" s="26" t="s">
        <v>298</v>
      </c>
      <c r="B125" s="26" t="s">
        <v>209</v>
      </c>
      <c r="C125" s="26" t="s">
        <v>245</v>
      </c>
      <c r="D125" s="71">
        <v>2</v>
      </c>
      <c r="E125" s="26" t="s">
        <v>258</v>
      </c>
      <c r="F125" s="26" t="s">
        <v>250</v>
      </c>
      <c r="G125" s="26" t="s">
        <v>310</v>
      </c>
      <c r="H125" s="26" t="s">
        <v>310</v>
      </c>
      <c r="I125" s="26" t="s">
        <v>355</v>
      </c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ht="16.5" customHeight="1">
      <c r="A126" s="26" t="s">
        <v>298</v>
      </c>
      <c r="B126" s="26" t="s">
        <v>209</v>
      </c>
      <c r="C126" s="26" t="s">
        <v>245</v>
      </c>
      <c r="D126" s="71">
        <v>2</v>
      </c>
      <c r="E126" s="26" t="s">
        <v>261</v>
      </c>
      <c r="F126" s="26" t="s">
        <v>250</v>
      </c>
      <c r="G126" s="26" t="s">
        <v>314</v>
      </c>
      <c r="H126" s="26" t="s">
        <v>314</v>
      </c>
      <c r="I126" s="26" t="s">
        <v>356</v>
      </c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ht="16.5" customHeight="1">
      <c r="A127" s="26" t="s">
        <v>298</v>
      </c>
      <c r="B127" s="26" t="s">
        <v>209</v>
      </c>
      <c r="C127" s="26" t="s">
        <v>245</v>
      </c>
      <c r="D127" s="71">
        <v>2</v>
      </c>
      <c r="E127" s="26" t="s">
        <v>265</v>
      </c>
      <c r="F127" s="26" t="s">
        <v>250</v>
      </c>
      <c r="G127" s="26" t="s">
        <v>266</v>
      </c>
      <c r="H127" s="26" t="s">
        <v>266</v>
      </c>
      <c r="I127" s="26" t="s">
        <v>357</v>
      </c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ht="16.5" customHeight="1">
      <c r="A128" s="26" t="s">
        <v>298</v>
      </c>
      <c r="B128" s="26" t="s">
        <v>209</v>
      </c>
      <c r="C128" s="26" t="s">
        <v>269</v>
      </c>
      <c r="D128" s="71">
        <v>2</v>
      </c>
      <c r="E128" s="26" t="s">
        <v>246</v>
      </c>
      <c r="F128" s="26" t="s">
        <v>246</v>
      </c>
      <c r="G128" s="26" t="s">
        <v>299</v>
      </c>
      <c r="H128" s="26" t="s">
        <v>299</v>
      </c>
      <c r="I128" s="26" t="s">
        <v>342</v>
      </c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ht="16.5" customHeight="1">
      <c r="A129" s="26" t="s">
        <v>298</v>
      </c>
      <c r="B129" s="26" t="s">
        <v>209</v>
      </c>
      <c r="C129" s="26" t="s">
        <v>269</v>
      </c>
      <c r="D129" s="71">
        <v>2</v>
      </c>
      <c r="E129" s="26" t="s">
        <v>250</v>
      </c>
      <c r="F129" s="26" t="s">
        <v>246</v>
      </c>
      <c r="G129" s="26" t="s">
        <v>302</v>
      </c>
      <c r="H129" s="26" t="s">
        <v>302</v>
      </c>
      <c r="I129" s="26" t="s">
        <v>335</v>
      </c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ht="16.5" customHeight="1">
      <c r="A130" s="26" t="s">
        <v>298</v>
      </c>
      <c r="B130" s="26" t="s">
        <v>209</v>
      </c>
      <c r="C130" s="26" t="s">
        <v>269</v>
      </c>
      <c r="D130" s="71">
        <v>2</v>
      </c>
      <c r="E130" s="26" t="s">
        <v>254</v>
      </c>
      <c r="F130" s="26" t="s">
        <v>246</v>
      </c>
      <c r="G130" s="26" t="s">
        <v>306</v>
      </c>
      <c r="H130" s="26" t="s">
        <v>306</v>
      </c>
      <c r="I130" s="26" t="s">
        <v>354</v>
      </c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ht="16.5" customHeight="1">
      <c r="A131" s="26" t="s">
        <v>298</v>
      </c>
      <c r="B131" s="26" t="s">
        <v>209</v>
      </c>
      <c r="C131" s="26" t="s">
        <v>269</v>
      </c>
      <c r="D131" s="71">
        <v>2</v>
      </c>
      <c r="E131" s="26" t="s">
        <v>258</v>
      </c>
      <c r="F131" s="26" t="s">
        <v>250</v>
      </c>
      <c r="G131" s="26" t="s">
        <v>310</v>
      </c>
      <c r="H131" s="26" t="s">
        <v>310</v>
      </c>
      <c r="I131" s="26" t="s">
        <v>355</v>
      </c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ht="16.5" customHeight="1">
      <c r="A132" s="26" t="s">
        <v>298</v>
      </c>
      <c r="B132" s="26" t="s">
        <v>209</v>
      </c>
      <c r="C132" s="26" t="s">
        <v>269</v>
      </c>
      <c r="D132" s="71">
        <v>2</v>
      </c>
      <c r="E132" s="26" t="s">
        <v>261</v>
      </c>
      <c r="F132" s="26" t="s">
        <v>250</v>
      </c>
      <c r="G132" s="26" t="s">
        <v>314</v>
      </c>
      <c r="H132" s="26" t="s">
        <v>314</v>
      </c>
      <c r="I132" s="26" t="s">
        <v>356</v>
      </c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ht="16.5" customHeight="1">
      <c r="A133" s="26" t="s">
        <v>298</v>
      </c>
      <c r="B133" s="26" t="s">
        <v>209</v>
      </c>
      <c r="C133" s="26" t="s">
        <v>269</v>
      </c>
      <c r="D133" s="71">
        <v>2</v>
      </c>
      <c r="E133" s="26" t="s">
        <v>265</v>
      </c>
      <c r="F133" s="26" t="s">
        <v>250</v>
      </c>
      <c r="G133" s="26" t="s">
        <v>266</v>
      </c>
      <c r="H133" s="26" t="s">
        <v>266</v>
      </c>
      <c r="I133" s="26" t="s">
        <v>357</v>
      </c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ht="16.5" customHeight="1">
      <c r="A134" s="69" t="s">
        <v>298</v>
      </c>
      <c r="B134" s="68" t="s">
        <v>211</v>
      </c>
      <c r="C134" s="69">
        <v>1</v>
      </c>
      <c r="D134" s="69">
        <v>2</v>
      </c>
      <c r="E134" s="69" t="s">
        <v>246</v>
      </c>
      <c r="F134" s="69" t="s">
        <v>246</v>
      </c>
      <c r="G134" s="69" t="s">
        <v>299</v>
      </c>
      <c r="H134" s="69" t="s">
        <v>299</v>
      </c>
      <c r="I134" s="69" t="s">
        <v>342</v>
      </c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</row>
    <row r="135" spans="1:26" ht="16.5" customHeight="1">
      <c r="A135" s="69" t="s">
        <v>298</v>
      </c>
      <c r="B135" s="68" t="s">
        <v>211</v>
      </c>
      <c r="C135" s="69">
        <v>1</v>
      </c>
      <c r="D135" s="69">
        <v>2</v>
      </c>
      <c r="E135" s="69" t="s">
        <v>250</v>
      </c>
      <c r="F135" s="69" t="s">
        <v>246</v>
      </c>
      <c r="G135" s="69" t="s">
        <v>302</v>
      </c>
      <c r="H135" s="69" t="s">
        <v>302</v>
      </c>
      <c r="I135" s="69" t="s">
        <v>335</v>
      </c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</row>
    <row r="136" spans="1:26" ht="16.5" customHeight="1">
      <c r="A136" s="69" t="s">
        <v>298</v>
      </c>
      <c r="B136" s="68" t="s">
        <v>211</v>
      </c>
      <c r="C136" s="69">
        <v>1</v>
      </c>
      <c r="D136" s="69">
        <v>2</v>
      </c>
      <c r="E136" s="69" t="s">
        <v>254</v>
      </c>
      <c r="F136" s="69" t="s">
        <v>246</v>
      </c>
      <c r="G136" s="69" t="s">
        <v>306</v>
      </c>
      <c r="H136" s="69" t="s">
        <v>306</v>
      </c>
      <c r="I136" s="69" t="s">
        <v>354</v>
      </c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</row>
    <row r="137" spans="1:26" ht="16.5" customHeight="1">
      <c r="A137" s="69" t="s">
        <v>298</v>
      </c>
      <c r="B137" s="68" t="s">
        <v>211</v>
      </c>
      <c r="C137" s="69" t="s">
        <v>245</v>
      </c>
      <c r="D137" s="69">
        <v>2</v>
      </c>
      <c r="E137" s="69" t="s">
        <v>258</v>
      </c>
      <c r="F137" s="69" t="s">
        <v>250</v>
      </c>
      <c r="G137" s="69" t="s">
        <v>310</v>
      </c>
      <c r="H137" s="69" t="s">
        <v>310</v>
      </c>
      <c r="I137" s="69" t="s">
        <v>355</v>
      </c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</row>
    <row r="138" spans="1:26" ht="16.5" customHeight="1">
      <c r="A138" s="69" t="s">
        <v>298</v>
      </c>
      <c r="B138" s="68" t="s">
        <v>211</v>
      </c>
      <c r="C138" s="69" t="s">
        <v>245</v>
      </c>
      <c r="D138" s="69">
        <v>2</v>
      </c>
      <c r="E138" s="69" t="s">
        <v>261</v>
      </c>
      <c r="F138" s="69" t="s">
        <v>250</v>
      </c>
      <c r="G138" s="69" t="s">
        <v>314</v>
      </c>
      <c r="H138" s="69" t="s">
        <v>314</v>
      </c>
      <c r="I138" s="69" t="s">
        <v>356</v>
      </c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</row>
    <row r="139" spans="1:26" ht="16.5" customHeight="1">
      <c r="A139" s="69" t="s">
        <v>298</v>
      </c>
      <c r="B139" s="68" t="s">
        <v>211</v>
      </c>
      <c r="C139" s="69" t="s">
        <v>245</v>
      </c>
      <c r="D139" s="69">
        <v>2</v>
      </c>
      <c r="E139" s="69" t="s">
        <v>265</v>
      </c>
      <c r="F139" s="69" t="s">
        <v>250</v>
      </c>
      <c r="G139" s="69" t="s">
        <v>266</v>
      </c>
      <c r="H139" s="69" t="s">
        <v>266</v>
      </c>
      <c r="I139" s="69" t="s">
        <v>357</v>
      </c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</row>
    <row r="140" spans="1:26" ht="16.5" customHeight="1">
      <c r="A140" s="69" t="s">
        <v>298</v>
      </c>
      <c r="B140" s="68" t="s">
        <v>211</v>
      </c>
      <c r="C140" s="69" t="s">
        <v>269</v>
      </c>
      <c r="D140" s="69">
        <v>2</v>
      </c>
      <c r="E140" s="69" t="s">
        <v>246</v>
      </c>
      <c r="F140" s="69" t="s">
        <v>246</v>
      </c>
      <c r="G140" s="69" t="s">
        <v>299</v>
      </c>
      <c r="H140" s="69" t="s">
        <v>299</v>
      </c>
      <c r="I140" s="69" t="s">
        <v>342</v>
      </c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</row>
    <row r="141" spans="1:26" ht="16.5" customHeight="1">
      <c r="A141" s="69" t="s">
        <v>298</v>
      </c>
      <c r="B141" s="68" t="s">
        <v>211</v>
      </c>
      <c r="C141" s="69" t="s">
        <v>269</v>
      </c>
      <c r="D141" s="69">
        <v>2</v>
      </c>
      <c r="E141" s="69" t="s">
        <v>250</v>
      </c>
      <c r="F141" s="69" t="s">
        <v>246</v>
      </c>
      <c r="G141" s="69" t="s">
        <v>302</v>
      </c>
      <c r="H141" s="69" t="s">
        <v>302</v>
      </c>
      <c r="I141" s="69" t="s">
        <v>335</v>
      </c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</row>
    <row r="142" spans="1:26" ht="16.5" customHeight="1">
      <c r="A142" s="69" t="s">
        <v>298</v>
      </c>
      <c r="B142" s="68" t="s">
        <v>211</v>
      </c>
      <c r="C142" s="69" t="s">
        <v>269</v>
      </c>
      <c r="D142" s="69">
        <v>2</v>
      </c>
      <c r="E142" s="69" t="s">
        <v>254</v>
      </c>
      <c r="F142" s="69" t="s">
        <v>246</v>
      </c>
      <c r="G142" s="69" t="s">
        <v>306</v>
      </c>
      <c r="H142" s="69" t="s">
        <v>306</v>
      </c>
      <c r="I142" s="69" t="s">
        <v>354</v>
      </c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</row>
    <row r="143" spans="1:26" ht="16.5" customHeight="1">
      <c r="A143" s="69" t="s">
        <v>298</v>
      </c>
      <c r="B143" s="68" t="s">
        <v>211</v>
      </c>
      <c r="C143" s="69" t="s">
        <v>269</v>
      </c>
      <c r="D143" s="69">
        <v>2</v>
      </c>
      <c r="E143" s="69" t="s">
        <v>258</v>
      </c>
      <c r="F143" s="69" t="s">
        <v>250</v>
      </c>
      <c r="G143" s="69" t="s">
        <v>310</v>
      </c>
      <c r="H143" s="69" t="s">
        <v>310</v>
      </c>
      <c r="I143" s="69" t="s">
        <v>355</v>
      </c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</row>
    <row r="144" spans="1:26" ht="16.5" customHeight="1">
      <c r="A144" s="69" t="s">
        <v>298</v>
      </c>
      <c r="B144" s="68" t="s">
        <v>211</v>
      </c>
      <c r="C144" s="69" t="s">
        <v>269</v>
      </c>
      <c r="D144" s="69">
        <v>2</v>
      </c>
      <c r="E144" s="69" t="s">
        <v>261</v>
      </c>
      <c r="F144" s="69" t="s">
        <v>250</v>
      </c>
      <c r="G144" s="69" t="s">
        <v>314</v>
      </c>
      <c r="H144" s="69" t="s">
        <v>314</v>
      </c>
      <c r="I144" s="69" t="s">
        <v>356</v>
      </c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</row>
    <row r="145" spans="1:26" ht="16.5" customHeight="1">
      <c r="A145" s="69" t="s">
        <v>298</v>
      </c>
      <c r="B145" s="68" t="s">
        <v>211</v>
      </c>
      <c r="C145" s="69" t="s">
        <v>269</v>
      </c>
      <c r="D145" s="69">
        <v>2</v>
      </c>
      <c r="E145" s="69" t="s">
        <v>265</v>
      </c>
      <c r="F145" s="69" t="s">
        <v>250</v>
      </c>
      <c r="G145" s="69" t="s">
        <v>266</v>
      </c>
      <c r="H145" s="69" t="s">
        <v>266</v>
      </c>
      <c r="I145" s="69" t="s">
        <v>357</v>
      </c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</row>
    <row r="146" spans="1:26" ht="16.5" customHeight="1">
      <c r="A146" s="71" t="s">
        <v>298</v>
      </c>
      <c r="B146" s="26" t="s">
        <v>212</v>
      </c>
      <c r="C146" s="71">
        <v>1</v>
      </c>
      <c r="D146" s="71">
        <v>2</v>
      </c>
      <c r="E146" s="71" t="s">
        <v>246</v>
      </c>
      <c r="F146" s="71" t="s">
        <v>246</v>
      </c>
      <c r="G146" s="71" t="s">
        <v>299</v>
      </c>
      <c r="H146" s="71" t="s">
        <v>299</v>
      </c>
      <c r="I146" s="71" t="s">
        <v>342</v>
      </c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ht="16.5" customHeight="1">
      <c r="A147" s="71" t="s">
        <v>298</v>
      </c>
      <c r="B147" s="26" t="s">
        <v>212</v>
      </c>
      <c r="C147" s="71">
        <v>1</v>
      </c>
      <c r="D147" s="71">
        <v>2</v>
      </c>
      <c r="E147" s="71" t="s">
        <v>250</v>
      </c>
      <c r="F147" s="71" t="s">
        <v>246</v>
      </c>
      <c r="G147" s="71" t="s">
        <v>302</v>
      </c>
      <c r="H147" s="71" t="s">
        <v>302</v>
      </c>
      <c r="I147" s="71" t="s">
        <v>335</v>
      </c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ht="16.5" customHeight="1">
      <c r="A148" s="71" t="s">
        <v>298</v>
      </c>
      <c r="B148" s="26" t="s">
        <v>212</v>
      </c>
      <c r="C148" s="71">
        <v>1</v>
      </c>
      <c r="D148" s="71">
        <v>2</v>
      </c>
      <c r="E148" s="71" t="s">
        <v>254</v>
      </c>
      <c r="F148" s="71" t="s">
        <v>246</v>
      </c>
      <c r="G148" s="71" t="s">
        <v>306</v>
      </c>
      <c r="H148" s="71" t="s">
        <v>306</v>
      </c>
      <c r="I148" s="71" t="s">
        <v>354</v>
      </c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ht="16.5" customHeight="1">
      <c r="A149" s="71" t="s">
        <v>298</v>
      </c>
      <c r="B149" s="26" t="s">
        <v>212</v>
      </c>
      <c r="C149" s="71" t="s">
        <v>245</v>
      </c>
      <c r="D149" s="71">
        <v>2</v>
      </c>
      <c r="E149" s="71" t="s">
        <v>258</v>
      </c>
      <c r="F149" s="71" t="s">
        <v>250</v>
      </c>
      <c r="G149" s="71" t="s">
        <v>310</v>
      </c>
      <c r="H149" s="71" t="s">
        <v>310</v>
      </c>
      <c r="I149" s="71" t="s">
        <v>355</v>
      </c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ht="16.5" customHeight="1">
      <c r="A150" s="71" t="s">
        <v>298</v>
      </c>
      <c r="B150" s="26" t="s">
        <v>212</v>
      </c>
      <c r="C150" s="71" t="s">
        <v>245</v>
      </c>
      <c r="D150" s="71">
        <v>2</v>
      </c>
      <c r="E150" s="71" t="s">
        <v>261</v>
      </c>
      <c r="F150" s="71" t="s">
        <v>250</v>
      </c>
      <c r="G150" s="71" t="s">
        <v>314</v>
      </c>
      <c r="H150" s="71" t="s">
        <v>314</v>
      </c>
      <c r="I150" s="71" t="s">
        <v>356</v>
      </c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ht="16.5" customHeight="1">
      <c r="A151" s="71" t="s">
        <v>298</v>
      </c>
      <c r="B151" s="26" t="s">
        <v>212</v>
      </c>
      <c r="C151" s="71" t="s">
        <v>245</v>
      </c>
      <c r="D151" s="71">
        <v>2</v>
      </c>
      <c r="E151" s="71" t="s">
        <v>265</v>
      </c>
      <c r="F151" s="71" t="s">
        <v>250</v>
      </c>
      <c r="G151" s="71" t="s">
        <v>266</v>
      </c>
      <c r="H151" s="71" t="s">
        <v>266</v>
      </c>
      <c r="I151" s="71" t="s">
        <v>357</v>
      </c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ht="16.5" customHeight="1">
      <c r="A152" s="71" t="s">
        <v>298</v>
      </c>
      <c r="B152" s="26" t="s">
        <v>212</v>
      </c>
      <c r="C152" s="71" t="s">
        <v>269</v>
      </c>
      <c r="D152" s="71">
        <v>2</v>
      </c>
      <c r="E152" s="71" t="s">
        <v>246</v>
      </c>
      <c r="F152" s="71" t="s">
        <v>246</v>
      </c>
      <c r="G152" s="71" t="s">
        <v>299</v>
      </c>
      <c r="H152" s="71" t="s">
        <v>299</v>
      </c>
      <c r="I152" s="71" t="s">
        <v>342</v>
      </c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ht="16.5" customHeight="1">
      <c r="A153" s="71" t="s">
        <v>298</v>
      </c>
      <c r="B153" s="26" t="s">
        <v>212</v>
      </c>
      <c r="C153" s="71" t="s">
        <v>269</v>
      </c>
      <c r="D153" s="71">
        <v>2</v>
      </c>
      <c r="E153" s="71" t="s">
        <v>250</v>
      </c>
      <c r="F153" s="71" t="s">
        <v>246</v>
      </c>
      <c r="G153" s="71" t="s">
        <v>302</v>
      </c>
      <c r="H153" s="71" t="s">
        <v>302</v>
      </c>
      <c r="I153" s="71" t="s">
        <v>335</v>
      </c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ht="16.5" customHeight="1">
      <c r="A154" s="71" t="s">
        <v>298</v>
      </c>
      <c r="B154" s="26" t="s">
        <v>212</v>
      </c>
      <c r="C154" s="71" t="s">
        <v>269</v>
      </c>
      <c r="D154" s="71">
        <v>2</v>
      </c>
      <c r="E154" s="71" t="s">
        <v>254</v>
      </c>
      <c r="F154" s="71" t="s">
        <v>246</v>
      </c>
      <c r="G154" s="71" t="s">
        <v>306</v>
      </c>
      <c r="H154" s="71" t="s">
        <v>306</v>
      </c>
      <c r="I154" s="71" t="s">
        <v>354</v>
      </c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ht="16.5" customHeight="1">
      <c r="A155" s="71" t="s">
        <v>298</v>
      </c>
      <c r="B155" s="26" t="s">
        <v>212</v>
      </c>
      <c r="C155" s="71" t="s">
        <v>269</v>
      </c>
      <c r="D155" s="71">
        <v>2</v>
      </c>
      <c r="E155" s="71" t="s">
        <v>258</v>
      </c>
      <c r="F155" s="71" t="s">
        <v>250</v>
      </c>
      <c r="G155" s="71" t="s">
        <v>310</v>
      </c>
      <c r="H155" s="71" t="s">
        <v>310</v>
      </c>
      <c r="I155" s="71" t="s">
        <v>355</v>
      </c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ht="16.5" customHeight="1">
      <c r="A156" s="71" t="s">
        <v>298</v>
      </c>
      <c r="B156" s="26" t="s">
        <v>212</v>
      </c>
      <c r="C156" s="71" t="s">
        <v>269</v>
      </c>
      <c r="D156" s="71">
        <v>2</v>
      </c>
      <c r="E156" s="71" t="s">
        <v>261</v>
      </c>
      <c r="F156" s="71" t="s">
        <v>250</v>
      </c>
      <c r="G156" s="71" t="s">
        <v>314</v>
      </c>
      <c r="H156" s="71" t="s">
        <v>314</v>
      </c>
      <c r="I156" s="71" t="s">
        <v>356</v>
      </c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ht="16.5" customHeight="1">
      <c r="A157" s="71" t="s">
        <v>298</v>
      </c>
      <c r="B157" s="26" t="s">
        <v>212</v>
      </c>
      <c r="C157" s="71" t="s">
        <v>269</v>
      </c>
      <c r="D157" s="71">
        <v>2</v>
      </c>
      <c r="E157" s="71" t="s">
        <v>265</v>
      </c>
      <c r="F157" s="71" t="s">
        <v>250</v>
      </c>
      <c r="G157" s="71" t="s">
        <v>266</v>
      </c>
      <c r="H157" s="71" t="s">
        <v>266</v>
      </c>
      <c r="I157" s="71" t="s">
        <v>357</v>
      </c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ht="16.5" customHeight="1">
      <c r="A158" s="69" t="s">
        <v>298</v>
      </c>
      <c r="B158" s="68" t="s">
        <v>214</v>
      </c>
      <c r="C158" s="68" t="s">
        <v>269</v>
      </c>
      <c r="D158" s="68" t="s">
        <v>271</v>
      </c>
      <c r="E158" s="69" t="s">
        <v>246</v>
      </c>
      <c r="F158" s="69" t="s">
        <v>246</v>
      </c>
      <c r="G158" s="69" t="s">
        <v>299</v>
      </c>
      <c r="H158" s="69" t="s">
        <v>299</v>
      </c>
      <c r="I158" s="69" t="s">
        <v>342</v>
      </c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</row>
    <row r="159" spans="1:26" ht="16.5" customHeight="1">
      <c r="A159" s="69" t="s">
        <v>298</v>
      </c>
      <c r="B159" s="68" t="s">
        <v>214</v>
      </c>
      <c r="C159" s="68" t="s">
        <v>269</v>
      </c>
      <c r="D159" s="68" t="s">
        <v>271</v>
      </c>
      <c r="E159" s="69" t="s">
        <v>250</v>
      </c>
      <c r="F159" s="69" t="s">
        <v>246</v>
      </c>
      <c r="G159" s="69" t="s">
        <v>302</v>
      </c>
      <c r="H159" s="69" t="s">
        <v>302</v>
      </c>
      <c r="I159" s="69" t="s">
        <v>335</v>
      </c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</row>
    <row r="160" spans="1:26" ht="16.5" customHeight="1">
      <c r="A160" s="69" t="s">
        <v>298</v>
      </c>
      <c r="B160" s="68" t="s">
        <v>214</v>
      </c>
      <c r="C160" s="68" t="s">
        <v>269</v>
      </c>
      <c r="D160" s="68" t="s">
        <v>271</v>
      </c>
      <c r="E160" s="69" t="s">
        <v>254</v>
      </c>
      <c r="F160" s="69" t="s">
        <v>246</v>
      </c>
      <c r="G160" s="69" t="s">
        <v>306</v>
      </c>
      <c r="H160" s="69" t="s">
        <v>306</v>
      </c>
      <c r="I160" s="69" t="s">
        <v>354</v>
      </c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</row>
    <row r="161" spans="1:26" ht="16.5" customHeight="1">
      <c r="A161" s="69" t="s">
        <v>298</v>
      </c>
      <c r="B161" s="68" t="s">
        <v>214</v>
      </c>
      <c r="C161" s="68" t="s">
        <v>269</v>
      </c>
      <c r="D161" s="68" t="s">
        <v>271</v>
      </c>
      <c r="E161" s="69" t="s">
        <v>258</v>
      </c>
      <c r="F161" s="69" t="s">
        <v>250</v>
      </c>
      <c r="G161" s="69" t="s">
        <v>310</v>
      </c>
      <c r="H161" s="69" t="s">
        <v>310</v>
      </c>
      <c r="I161" s="69" t="s">
        <v>355</v>
      </c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</row>
    <row r="162" spans="1:26" ht="16.5" customHeight="1">
      <c r="A162" s="69" t="s">
        <v>298</v>
      </c>
      <c r="B162" s="68" t="s">
        <v>214</v>
      </c>
      <c r="C162" s="68" t="s">
        <v>269</v>
      </c>
      <c r="D162" s="68" t="s">
        <v>271</v>
      </c>
      <c r="E162" s="69" t="s">
        <v>261</v>
      </c>
      <c r="F162" s="69" t="s">
        <v>250</v>
      </c>
      <c r="G162" s="69" t="s">
        <v>314</v>
      </c>
      <c r="H162" s="69" t="s">
        <v>314</v>
      </c>
      <c r="I162" s="69" t="s">
        <v>356</v>
      </c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</row>
    <row r="163" spans="1:26" ht="16.5" customHeight="1">
      <c r="A163" s="69" t="s">
        <v>298</v>
      </c>
      <c r="B163" s="68" t="s">
        <v>214</v>
      </c>
      <c r="C163" s="68" t="s">
        <v>269</v>
      </c>
      <c r="D163" s="68" t="s">
        <v>271</v>
      </c>
      <c r="E163" s="69" t="s">
        <v>265</v>
      </c>
      <c r="F163" s="69" t="s">
        <v>250</v>
      </c>
      <c r="G163" s="69" t="s">
        <v>266</v>
      </c>
      <c r="H163" s="69" t="s">
        <v>266</v>
      </c>
      <c r="I163" s="69" t="s">
        <v>357</v>
      </c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</row>
    <row r="164" spans="1:26" ht="16.5" customHeight="1">
      <c r="A164" s="69" t="s">
        <v>298</v>
      </c>
      <c r="B164" s="68" t="s">
        <v>214</v>
      </c>
      <c r="C164" s="68" t="s">
        <v>270</v>
      </c>
      <c r="D164" s="68" t="s">
        <v>271</v>
      </c>
      <c r="E164" s="69" t="s">
        <v>246</v>
      </c>
      <c r="F164" s="69" t="s">
        <v>246</v>
      </c>
      <c r="G164" s="69" t="s">
        <v>299</v>
      </c>
      <c r="H164" s="69" t="s">
        <v>299</v>
      </c>
      <c r="I164" s="69" t="s">
        <v>342</v>
      </c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</row>
    <row r="165" spans="1:26" ht="16.5" customHeight="1">
      <c r="A165" s="69" t="s">
        <v>298</v>
      </c>
      <c r="B165" s="68" t="s">
        <v>214</v>
      </c>
      <c r="C165" s="68" t="s">
        <v>270</v>
      </c>
      <c r="D165" s="68" t="s">
        <v>271</v>
      </c>
      <c r="E165" s="69" t="s">
        <v>250</v>
      </c>
      <c r="F165" s="69" t="s">
        <v>246</v>
      </c>
      <c r="G165" s="69" t="s">
        <v>302</v>
      </c>
      <c r="H165" s="69" t="s">
        <v>302</v>
      </c>
      <c r="I165" s="69" t="s">
        <v>335</v>
      </c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</row>
    <row r="166" spans="1:26" ht="16.5" customHeight="1">
      <c r="A166" s="69" t="s">
        <v>298</v>
      </c>
      <c r="B166" s="68" t="s">
        <v>214</v>
      </c>
      <c r="C166" s="68" t="s">
        <v>270</v>
      </c>
      <c r="D166" s="68" t="s">
        <v>271</v>
      </c>
      <c r="E166" s="69" t="s">
        <v>254</v>
      </c>
      <c r="F166" s="69" t="s">
        <v>246</v>
      </c>
      <c r="G166" s="69" t="s">
        <v>306</v>
      </c>
      <c r="H166" s="69" t="s">
        <v>306</v>
      </c>
      <c r="I166" s="69" t="s">
        <v>354</v>
      </c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</row>
    <row r="167" spans="1:26" ht="16.5" customHeight="1">
      <c r="A167" s="69" t="s">
        <v>298</v>
      </c>
      <c r="B167" s="68" t="s">
        <v>214</v>
      </c>
      <c r="C167" s="68" t="s">
        <v>270</v>
      </c>
      <c r="D167" s="68" t="s">
        <v>271</v>
      </c>
      <c r="E167" s="69" t="s">
        <v>258</v>
      </c>
      <c r="F167" s="69" t="s">
        <v>250</v>
      </c>
      <c r="G167" s="69" t="s">
        <v>310</v>
      </c>
      <c r="H167" s="69" t="s">
        <v>310</v>
      </c>
      <c r="I167" s="69" t="s">
        <v>355</v>
      </c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</row>
    <row r="168" spans="1:26" ht="16.5" customHeight="1">
      <c r="A168" s="69" t="s">
        <v>298</v>
      </c>
      <c r="B168" s="68" t="s">
        <v>214</v>
      </c>
      <c r="C168" s="68" t="s">
        <v>270</v>
      </c>
      <c r="D168" s="68" t="s">
        <v>271</v>
      </c>
      <c r="E168" s="69" t="s">
        <v>261</v>
      </c>
      <c r="F168" s="69" t="s">
        <v>250</v>
      </c>
      <c r="G168" s="69" t="s">
        <v>314</v>
      </c>
      <c r="H168" s="69" t="s">
        <v>314</v>
      </c>
      <c r="I168" s="69" t="s">
        <v>356</v>
      </c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</row>
    <row r="169" spans="1:26" ht="16.5" customHeight="1">
      <c r="A169" s="69" t="s">
        <v>298</v>
      </c>
      <c r="B169" s="68" t="s">
        <v>214</v>
      </c>
      <c r="C169" s="68" t="s">
        <v>270</v>
      </c>
      <c r="D169" s="68" t="s">
        <v>271</v>
      </c>
      <c r="E169" s="69" t="s">
        <v>265</v>
      </c>
      <c r="F169" s="69" t="s">
        <v>250</v>
      </c>
      <c r="G169" s="69" t="s">
        <v>266</v>
      </c>
      <c r="H169" s="69" t="s">
        <v>266</v>
      </c>
      <c r="I169" s="69" t="s">
        <v>357</v>
      </c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</row>
    <row r="170" spans="1:26" ht="16.5" customHeight="1">
      <c r="A170" s="71" t="s">
        <v>298</v>
      </c>
      <c r="B170" s="26" t="s">
        <v>216</v>
      </c>
      <c r="C170" s="71" t="s">
        <v>269</v>
      </c>
      <c r="D170" s="71" t="s">
        <v>271</v>
      </c>
      <c r="E170" s="71" t="s">
        <v>246</v>
      </c>
      <c r="F170" s="71" t="s">
        <v>246</v>
      </c>
      <c r="G170" s="71" t="s">
        <v>299</v>
      </c>
      <c r="H170" s="71" t="s">
        <v>299</v>
      </c>
      <c r="I170" s="71" t="s">
        <v>342</v>
      </c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ht="16.5" customHeight="1">
      <c r="A171" s="71" t="s">
        <v>298</v>
      </c>
      <c r="B171" s="26" t="s">
        <v>216</v>
      </c>
      <c r="C171" s="71" t="s">
        <v>269</v>
      </c>
      <c r="D171" s="71" t="s">
        <v>271</v>
      </c>
      <c r="E171" s="71" t="s">
        <v>250</v>
      </c>
      <c r="F171" s="71" t="s">
        <v>246</v>
      </c>
      <c r="G171" s="71" t="s">
        <v>302</v>
      </c>
      <c r="H171" s="71" t="s">
        <v>302</v>
      </c>
      <c r="I171" s="71" t="s">
        <v>335</v>
      </c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ht="16.5" customHeight="1">
      <c r="A172" s="71" t="s">
        <v>298</v>
      </c>
      <c r="B172" s="26" t="s">
        <v>216</v>
      </c>
      <c r="C172" s="71" t="s">
        <v>269</v>
      </c>
      <c r="D172" s="71" t="s">
        <v>271</v>
      </c>
      <c r="E172" s="71" t="s">
        <v>254</v>
      </c>
      <c r="F172" s="71" t="s">
        <v>246</v>
      </c>
      <c r="G172" s="71" t="s">
        <v>306</v>
      </c>
      <c r="H172" s="71" t="s">
        <v>306</v>
      </c>
      <c r="I172" s="71" t="s">
        <v>354</v>
      </c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ht="16.5" customHeight="1">
      <c r="A173" s="71" t="s">
        <v>298</v>
      </c>
      <c r="B173" s="26" t="s">
        <v>216</v>
      </c>
      <c r="C173" s="71" t="s">
        <v>269</v>
      </c>
      <c r="D173" s="71" t="s">
        <v>271</v>
      </c>
      <c r="E173" s="71" t="s">
        <v>258</v>
      </c>
      <c r="F173" s="71" t="s">
        <v>250</v>
      </c>
      <c r="G173" s="71" t="s">
        <v>310</v>
      </c>
      <c r="H173" s="71" t="s">
        <v>310</v>
      </c>
      <c r="I173" s="71" t="s">
        <v>355</v>
      </c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ht="16.5" customHeight="1">
      <c r="A174" s="71" t="s">
        <v>298</v>
      </c>
      <c r="B174" s="26" t="s">
        <v>216</v>
      </c>
      <c r="C174" s="71" t="s">
        <v>269</v>
      </c>
      <c r="D174" s="71" t="s">
        <v>271</v>
      </c>
      <c r="E174" s="71" t="s">
        <v>261</v>
      </c>
      <c r="F174" s="71" t="s">
        <v>250</v>
      </c>
      <c r="G174" s="71" t="s">
        <v>314</v>
      </c>
      <c r="H174" s="71" t="s">
        <v>314</v>
      </c>
      <c r="I174" s="71" t="s">
        <v>356</v>
      </c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ht="16.5" customHeight="1">
      <c r="A175" s="71" t="s">
        <v>298</v>
      </c>
      <c r="B175" s="26" t="s">
        <v>216</v>
      </c>
      <c r="C175" s="71" t="s">
        <v>269</v>
      </c>
      <c r="D175" s="71" t="s">
        <v>271</v>
      </c>
      <c r="E175" s="71" t="s">
        <v>265</v>
      </c>
      <c r="F175" s="71" t="s">
        <v>250</v>
      </c>
      <c r="G175" s="71" t="s">
        <v>266</v>
      </c>
      <c r="H175" s="71" t="s">
        <v>266</v>
      </c>
      <c r="I175" s="71" t="s">
        <v>357</v>
      </c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ht="16.5" customHeight="1">
      <c r="A176" s="71" t="s">
        <v>298</v>
      </c>
      <c r="B176" s="26" t="s">
        <v>216</v>
      </c>
      <c r="C176" s="71" t="s">
        <v>270</v>
      </c>
      <c r="D176" s="71" t="s">
        <v>271</v>
      </c>
      <c r="E176" s="71" t="s">
        <v>246</v>
      </c>
      <c r="F176" s="71" t="s">
        <v>246</v>
      </c>
      <c r="G176" s="71" t="s">
        <v>299</v>
      </c>
      <c r="H176" s="71" t="s">
        <v>299</v>
      </c>
      <c r="I176" s="71" t="s">
        <v>342</v>
      </c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ht="16.5" customHeight="1">
      <c r="A177" s="71" t="s">
        <v>298</v>
      </c>
      <c r="B177" s="26" t="s">
        <v>216</v>
      </c>
      <c r="C177" s="71" t="s">
        <v>270</v>
      </c>
      <c r="D177" s="71" t="s">
        <v>271</v>
      </c>
      <c r="E177" s="71" t="s">
        <v>250</v>
      </c>
      <c r="F177" s="71" t="s">
        <v>246</v>
      </c>
      <c r="G177" s="71" t="s">
        <v>302</v>
      </c>
      <c r="H177" s="71" t="s">
        <v>302</v>
      </c>
      <c r="I177" s="71" t="s">
        <v>335</v>
      </c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ht="16.5" customHeight="1">
      <c r="A178" s="71" t="s">
        <v>298</v>
      </c>
      <c r="B178" s="26" t="s">
        <v>216</v>
      </c>
      <c r="C178" s="71" t="s">
        <v>270</v>
      </c>
      <c r="D178" s="71" t="s">
        <v>271</v>
      </c>
      <c r="E178" s="71" t="s">
        <v>254</v>
      </c>
      <c r="F178" s="71" t="s">
        <v>246</v>
      </c>
      <c r="G178" s="71" t="s">
        <v>306</v>
      </c>
      <c r="H178" s="71" t="s">
        <v>306</v>
      </c>
      <c r="I178" s="71" t="s">
        <v>354</v>
      </c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ht="16.5" customHeight="1">
      <c r="A179" s="71" t="s">
        <v>298</v>
      </c>
      <c r="B179" s="26" t="s">
        <v>216</v>
      </c>
      <c r="C179" s="71" t="s">
        <v>270</v>
      </c>
      <c r="D179" s="71" t="s">
        <v>271</v>
      </c>
      <c r="E179" s="71" t="s">
        <v>258</v>
      </c>
      <c r="F179" s="71" t="s">
        <v>250</v>
      </c>
      <c r="G179" s="71" t="s">
        <v>310</v>
      </c>
      <c r="H179" s="71" t="s">
        <v>310</v>
      </c>
      <c r="I179" s="71" t="s">
        <v>355</v>
      </c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ht="16.5" customHeight="1">
      <c r="A180" s="71" t="s">
        <v>298</v>
      </c>
      <c r="B180" s="26" t="s">
        <v>216</v>
      </c>
      <c r="C180" s="71" t="s">
        <v>270</v>
      </c>
      <c r="D180" s="71" t="s">
        <v>271</v>
      </c>
      <c r="E180" s="71" t="s">
        <v>261</v>
      </c>
      <c r="F180" s="71" t="s">
        <v>250</v>
      </c>
      <c r="G180" s="71" t="s">
        <v>314</v>
      </c>
      <c r="H180" s="71" t="s">
        <v>314</v>
      </c>
      <c r="I180" s="71" t="s">
        <v>356</v>
      </c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ht="16.5" customHeight="1">
      <c r="A181" s="71" t="s">
        <v>298</v>
      </c>
      <c r="B181" s="26" t="s">
        <v>216</v>
      </c>
      <c r="C181" s="71" t="s">
        <v>270</v>
      </c>
      <c r="D181" s="71" t="s">
        <v>271</v>
      </c>
      <c r="E181" s="71" t="s">
        <v>265</v>
      </c>
      <c r="F181" s="71" t="s">
        <v>250</v>
      </c>
      <c r="G181" s="71" t="s">
        <v>266</v>
      </c>
      <c r="H181" s="71" t="s">
        <v>266</v>
      </c>
      <c r="I181" s="71" t="s">
        <v>357</v>
      </c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ht="16.5" customHeight="1">
      <c r="A182" s="69" t="s">
        <v>298</v>
      </c>
      <c r="B182" s="68" t="s">
        <v>217</v>
      </c>
      <c r="C182" s="68" t="s">
        <v>270</v>
      </c>
      <c r="D182" s="69" t="s">
        <v>271</v>
      </c>
      <c r="E182" s="69" t="s">
        <v>246</v>
      </c>
      <c r="F182" s="69" t="s">
        <v>246</v>
      </c>
      <c r="G182" s="69" t="s">
        <v>299</v>
      </c>
      <c r="H182" s="69" t="s">
        <v>299</v>
      </c>
      <c r="I182" s="69" t="s">
        <v>342</v>
      </c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</row>
    <row r="183" spans="1:26" ht="16.5" customHeight="1">
      <c r="A183" s="69" t="s">
        <v>298</v>
      </c>
      <c r="B183" s="68" t="s">
        <v>217</v>
      </c>
      <c r="C183" s="68" t="s">
        <v>270</v>
      </c>
      <c r="D183" s="69" t="s">
        <v>271</v>
      </c>
      <c r="E183" s="69" t="s">
        <v>250</v>
      </c>
      <c r="F183" s="69" t="s">
        <v>246</v>
      </c>
      <c r="G183" s="69" t="s">
        <v>302</v>
      </c>
      <c r="H183" s="69" t="s">
        <v>302</v>
      </c>
      <c r="I183" s="69" t="s">
        <v>335</v>
      </c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</row>
    <row r="184" spans="1:26" ht="16.5" customHeight="1">
      <c r="A184" s="69" t="s">
        <v>298</v>
      </c>
      <c r="B184" s="68" t="s">
        <v>217</v>
      </c>
      <c r="C184" s="68" t="s">
        <v>270</v>
      </c>
      <c r="D184" s="69" t="s">
        <v>271</v>
      </c>
      <c r="E184" s="69" t="s">
        <v>254</v>
      </c>
      <c r="F184" s="69" t="s">
        <v>246</v>
      </c>
      <c r="G184" s="69" t="s">
        <v>306</v>
      </c>
      <c r="H184" s="69" t="s">
        <v>306</v>
      </c>
      <c r="I184" s="69" t="s">
        <v>354</v>
      </c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</row>
    <row r="185" spans="1:26" ht="16.5" customHeight="1">
      <c r="A185" s="69" t="s">
        <v>298</v>
      </c>
      <c r="B185" s="68" t="s">
        <v>217</v>
      </c>
      <c r="C185" s="68" t="s">
        <v>270</v>
      </c>
      <c r="D185" s="69" t="s">
        <v>271</v>
      </c>
      <c r="E185" s="69" t="s">
        <v>258</v>
      </c>
      <c r="F185" s="69" t="s">
        <v>250</v>
      </c>
      <c r="G185" s="69" t="s">
        <v>310</v>
      </c>
      <c r="H185" s="69" t="s">
        <v>310</v>
      </c>
      <c r="I185" s="69" t="s">
        <v>355</v>
      </c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</row>
    <row r="186" spans="1:26" ht="16.5" customHeight="1">
      <c r="A186" s="69" t="s">
        <v>298</v>
      </c>
      <c r="B186" s="68" t="s">
        <v>217</v>
      </c>
      <c r="C186" s="68" t="s">
        <v>270</v>
      </c>
      <c r="D186" s="69" t="s">
        <v>271</v>
      </c>
      <c r="E186" s="69" t="s">
        <v>261</v>
      </c>
      <c r="F186" s="69" t="s">
        <v>250</v>
      </c>
      <c r="G186" s="68" t="s">
        <v>358</v>
      </c>
      <c r="H186" s="68" t="s">
        <v>358</v>
      </c>
      <c r="I186" s="69" t="s">
        <v>356</v>
      </c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</row>
    <row r="187" spans="1:26" ht="16.5" customHeight="1">
      <c r="A187" s="69" t="s">
        <v>298</v>
      </c>
      <c r="B187" s="68" t="s">
        <v>217</v>
      </c>
      <c r="C187" s="68" t="s">
        <v>270</v>
      </c>
      <c r="D187" s="69" t="s">
        <v>271</v>
      </c>
      <c r="E187" s="69" t="s">
        <v>265</v>
      </c>
      <c r="F187" s="69" t="s">
        <v>250</v>
      </c>
      <c r="G187" s="68" t="s">
        <v>358</v>
      </c>
      <c r="H187" s="68" t="s">
        <v>358</v>
      </c>
      <c r="I187" s="68" t="s">
        <v>358</v>
      </c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</row>
    <row r="188" spans="1:26" ht="16.5" customHeight="1">
      <c r="A188" s="69" t="s">
        <v>298</v>
      </c>
      <c r="B188" s="68" t="s">
        <v>217</v>
      </c>
      <c r="C188" s="68" t="s">
        <v>271</v>
      </c>
      <c r="D188" s="68" t="s">
        <v>274</v>
      </c>
      <c r="E188" s="69" t="s">
        <v>246</v>
      </c>
      <c r="F188" s="69" t="s">
        <v>246</v>
      </c>
      <c r="G188" s="69" t="s">
        <v>299</v>
      </c>
      <c r="H188" s="69" t="s">
        <v>299</v>
      </c>
      <c r="I188" s="69" t="s">
        <v>342</v>
      </c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</row>
    <row r="189" spans="1:26" ht="16.5" customHeight="1">
      <c r="A189" s="69" t="s">
        <v>298</v>
      </c>
      <c r="B189" s="68" t="s">
        <v>217</v>
      </c>
      <c r="C189" s="68" t="s">
        <v>271</v>
      </c>
      <c r="D189" s="68" t="s">
        <v>274</v>
      </c>
      <c r="E189" s="69" t="s">
        <v>250</v>
      </c>
      <c r="F189" s="69" t="s">
        <v>246</v>
      </c>
      <c r="G189" s="69" t="s">
        <v>302</v>
      </c>
      <c r="H189" s="69" t="s">
        <v>302</v>
      </c>
      <c r="I189" s="69" t="s">
        <v>335</v>
      </c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</row>
    <row r="190" spans="1:26" ht="16.5" customHeight="1">
      <c r="A190" s="69" t="s">
        <v>298</v>
      </c>
      <c r="B190" s="68" t="s">
        <v>217</v>
      </c>
      <c r="C190" s="68" t="s">
        <v>271</v>
      </c>
      <c r="D190" s="68" t="s">
        <v>274</v>
      </c>
      <c r="E190" s="69" t="s">
        <v>254</v>
      </c>
      <c r="F190" s="69" t="s">
        <v>246</v>
      </c>
      <c r="G190" s="69" t="s">
        <v>306</v>
      </c>
      <c r="H190" s="69" t="s">
        <v>306</v>
      </c>
      <c r="I190" s="69" t="s">
        <v>354</v>
      </c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</row>
    <row r="191" spans="1:26" ht="16.5" customHeight="1">
      <c r="A191" s="69" t="s">
        <v>298</v>
      </c>
      <c r="B191" s="68" t="s">
        <v>217</v>
      </c>
      <c r="C191" s="68" t="s">
        <v>271</v>
      </c>
      <c r="D191" s="68" t="s">
        <v>274</v>
      </c>
      <c r="E191" s="69" t="s">
        <v>258</v>
      </c>
      <c r="F191" s="69" t="s">
        <v>250</v>
      </c>
      <c r="G191" s="69" t="s">
        <v>310</v>
      </c>
      <c r="H191" s="69" t="s">
        <v>310</v>
      </c>
      <c r="I191" s="69" t="s">
        <v>355</v>
      </c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</row>
    <row r="192" spans="1:26" ht="16.5" customHeight="1">
      <c r="A192" s="69" t="s">
        <v>298</v>
      </c>
      <c r="B192" s="68" t="s">
        <v>217</v>
      </c>
      <c r="C192" s="68" t="s">
        <v>271</v>
      </c>
      <c r="D192" s="68" t="s">
        <v>274</v>
      </c>
      <c r="E192" s="69" t="s">
        <v>261</v>
      </c>
      <c r="F192" s="69" t="s">
        <v>250</v>
      </c>
      <c r="G192" s="69" t="s">
        <v>314</v>
      </c>
      <c r="H192" s="69" t="s">
        <v>314</v>
      </c>
      <c r="I192" s="69" t="s">
        <v>356</v>
      </c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</row>
    <row r="193" spans="1:26" ht="16.5" customHeight="1">
      <c r="A193" s="71" t="s">
        <v>298</v>
      </c>
      <c r="B193" s="26" t="s">
        <v>219</v>
      </c>
      <c r="C193" s="71" t="s">
        <v>271</v>
      </c>
      <c r="D193" s="71" t="s">
        <v>274</v>
      </c>
      <c r="E193" s="71" t="s">
        <v>246</v>
      </c>
      <c r="F193" s="71" t="s">
        <v>246</v>
      </c>
      <c r="G193" s="71" t="s">
        <v>299</v>
      </c>
      <c r="H193" s="71" t="s">
        <v>299</v>
      </c>
      <c r="I193" s="71" t="s">
        <v>342</v>
      </c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ht="16.5" customHeight="1">
      <c r="A194" s="71" t="s">
        <v>298</v>
      </c>
      <c r="B194" s="26" t="s">
        <v>219</v>
      </c>
      <c r="C194" s="71" t="s">
        <v>271</v>
      </c>
      <c r="D194" s="71" t="s">
        <v>274</v>
      </c>
      <c r="E194" s="71" t="s">
        <v>250</v>
      </c>
      <c r="F194" s="71" t="s">
        <v>246</v>
      </c>
      <c r="G194" s="71" t="s">
        <v>302</v>
      </c>
      <c r="H194" s="71" t="s">
        <v>302</v>
      </c>
      <c r="I194" s="71" t="s">
        <v>335</v>
      </c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ht="16.5" customHeight="1">
      <c r="A195" s="71" t="s">
        <v>298</v>
      </c>
      <c r="B195" s="26" t="s">
        <v>219</v>
      </c>
      <c r="C195" s="71" t="s">
        <v>271</v>
      </c>
      <c r="D195" s="71" t="s">
        <v>274</v>
      </c>
      <c r="E195" s="71" t="s">
        <v>254</v>
      </c>
      <c r="F195" s="71" t="s">
        <v>246</v>
      </c>
      <c r="G195" s="71" t="s">
        <v>306</v>
      </c>
      <c r="H195" s="71" t="s">
        <v>306</v>
      </c>
      <c r="I195" s="71" t="s">
        <v>354</v>
      </c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ht="16.5" customHeight="1">
      <c r="A196" s="71" t="s">
        <v>298</v>
      </c>
      <c r="B196" s="26" t="s">
        <v>219</v>
      </c>
      <c r="C196" s="71" t="s">
        <v>271</v>
      </c>
      <c r="D196" s="71" t="s">
        <v>274</v>
      </c>
      <c r="E196" s="71" t="s">
        <v>258</v>
      </c>
      <c r="F196" s="71" t="s">
        <v>250</v>
      </c>
      <c r="G196" s="71" t="s">
        <v>310</v>
      </c>
      <c r="H196" s="71" t="s">
        <v>310</v>
      </c>
      <c r="I196" s="71" t="s">
        <v>355</v>
      </c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ht="16.5" customHeight="1">
      <c r="A197" s="71" t="s">
        <v>298</v>
      </c>
      <c r="B197" s="26" t="s">
        <v>219</v>
      </c>
      <c r="C197" s="71" t="s">
        <v>271</v>
      </c>
      <c r="D197" s="71" t="s">
        <v>274</v>
      </c>
      <c r="E197" s="71" t="s">
        <v>261</v>
      </c>
      <c r="F197" s="71" t="s">
        <v>250</v>
      </c>
      <c r="G197" s="71" t="s">
        <v>314</v>
      </c>
      <c r="H197" s="71" t="s">
        <v>314</v>
      </c>
      <c r="I197" s="71" t="s">
        <v>356</v>
      </c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ht="16.5" customHeight="1">
      <c r="A198" s="69" t="s">
        <v>298</v>
      </c>
      <c r="B198" s="68" t="s">
        <v>221</v>
      </c>
      <c r="C198" s="68" t="s">
        <v>271</v>
      </c>
      <c r="D198" s="68" t="s">
        <v>274</v>
      </c>
      <c r="E198" s="69" t="s">
        <v>246</v>
      </c>
      <c r="F198" s="69" t="s">
        <v>246</v>
      </c>
      <c r="G198" s="69" t="s">
        <v>299</v>
      </c>
      <c r="H198" s="69" t="s">
        <v>299</v>
      </c>
      <c r="I198" s="69" t="s">
        <v>342</v>
      </c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</row>
    <row r="199" spans="1:26" ht="16.5" customHeight="1">
      <c r="A199" s="69" t="s">
        <v>298</v>
      </c>
      <c r="B199" s="68" t="s">
        <v>221</v>
      </c>
      <c r="C199" s="68" t="s">
        <v>271</v>
      </c>
      <c r="D199" s="68" t="s">
        <v>274</v>
      </c>
      <c r="E199" s="69" t="s">
        <v>250</v>
      </c>
      <c r="F199" s="69" t="s">
        <v>246</v>
      </c>
      <c r="G199" s="69" t="s">
        <v>302</v>
      </c>
      <c r="H199" s="69" t="s">
        <v>302</v>
      </c>
      <c r="I199" s="69" t="s">
        <v>335</v>
      </c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</row>
    <row r="200" spans="1:26" ht="16.5" customHeight="1">
      <c r="A200" s="69" t="s">
        <v>298</v>
      </c>
      <c r="B200" s="68" t="s">
        <v>221</v>
      </c>
      <c r="C200" s="68" t="s">
        <v>271</v>
      </c>
      <c r="D200" s="68" t="s">
        <v>274</v>
      </c>
      <c r="E200" s="69" t="s">
        <v>254</v>
      </c>
      <c r="F200" s="69" t="s">
        <v>246</v>
      </c>
      <c r="G200" s="68" t="s">
        <v>343</v>
      </c>
      <c r="H200" s="69" t="s">
        <v>306</v>
      </c>
      <c r="I200" s="69" t="s">
        <v>354</v>
      </c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</row>
    <row r="201" spans="1:26" ht="16.5" customHeight="1">
      <c r="A201" s="69" t="s">
        <v>298</v>
      </c>
      <c r="B201" s="68" t="s">
        <v>221</v>
      </c>
      <c r="C201" s="68" t="s">
        <v>271</v>
      </c>
      <c r="D201" s="68" t="s">
        <v>274</v>
      </c>
      <c r="E201" s="69" t="s">
        <v>258</v>
      </c>
      <c r="F201" s="69" t="s">
        <v>250</v>
      </c>
      <c r="G201" s="69" t="s">
        <v>310</v>
      </c>
      <c r="H201" s="69" t="s">
        <v>310</v>
      </c>
      <c r="I201" s="69" t="s">
        <v>355</v>
      </c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</row>
    <row r="202" spans="1:26" ht="16.5" customHeight="1">
      <c r="A202" s="69" t="s">
        <v>298</v>
      </c>
      <c r="B202" s="68" t="s">
        <v>221</v>
      </c>
      <c r="C202" s="68" t="s">
        <v>271</v>
      </c>
      <c r="D202" s="68" t="s">
        <v>274</v>
      </c>
      <c r="E202" s="69" t="s">
        <v>261</v>
      </c>
      <c r="F202" s="69" t="s">
        <v>250</v>
      </c>
      <c r="G202" s="68" t="s">
        <v>359</v>
      </c>
      <c r="H202" s="68" t="s">
        <v>359</v>
      </c>
      <c r="I202" s="69" t="s">
        <v>356</v>
      </c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</row>
    <row r="203" spans="1:26" ht="16.5" customHeight="1">
      <c r="A203" s="69" t="s">
        <v>298</v>
      </c>
      <c r="B203" s="68" t="s">
        <v>221</v>
      </c>
      <c r="C203" s="68" t="s">
        <v>274</v>
      </c>
      <c r="D203" s="68" t="s">
        <v>276</v>
      </c>
      <c r="E203" s="69" t="s">
        <v>246</v>
      </c>
      <c r="F203" s="69" t="s">
        <v>246</v>
      </c>
      <c r="G203" s="69" t="s">
        <v>299</v>
      </c>
      <c r="H203" s="69" t="s">
        <v>299</v>
      </c>
      <c r="I203" s="69" t="s">
        <v>342</v>
      </c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</row>
    <row r="204" spans="1:26" ht="16.5" customHeight="1">
      <c r="A204" s="69" t="s">
        <v>298</v>
      </c>
      <c r="B204" s="68" t="s">
        <v>221</v>
      </c>
      <c r="C204" s="68" t="s">
        <v>274</v>
      </c>
      <c r="D204" s="68" t="s">
        <v>276</v>
      </c>
      <c r="E204" s="69" t="s">
        <v>250</v>
      </c>
      <c r="F204" s="69" t="s">
        <v>246</v>
      </c>
      <c r="G204" s="69" t="s">
        <v>302</v>
      </c>
      <c r="H204" s="69" t="s">
        <v>302</v>
      </c>
      <c r="I204" s="69" t="s">
        <v>335</v>
      </c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</row>
    <row r="205" spans="1:26" ht="16.5" customHeight="1">
      <c r="A205" s="69" t="s">
        <v>298</v>
      </c>
      <c r="B205" s="68" t="s">
        <v>221</v>
      </c>
      <c r="C205" s="68" t="s">
        <v>274</v>
      </c>
      <c r="D205" s="68" t="s">
        <v>276</v>
      </c>
      <c r="E205" s="69" t="s">
        <v>254</v>
      </c>
      <c r="F205" s="69" t="s">
        <v>246</v>
      </c>
      <c r="G205" s="69" t="s">
        <v>306</v>
      </c>
      <c r="H205" s="69" t="s">
        <v>306</v>
      </c>
      <c r="I205" s="69" t="s">
        <v>354</v>
      </c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</row>
    <row r="206" spans="1:26" ht="16.5" customHeight="1">
      <c r="A206" s="69" t="s">
        <v>298</v>
      </c>
      <c r="B206" s="68" t="s">
        <v>221</v>
      </c>
      <c r="C206" s="68" t="s">
        <v>274</v>
      </c>
      <c r="D206" s="68" t="s">
        <v>276</v>
      </c>
      <c r="E206" s="69" t="s">
        <v>258</v>
      </c>
      <c r="F206" s="69" t="s">
        <v>250</v>
      </c>
      <c r="G206" s="69" t="s">
        <v>310</v>
      </c>
      <c r="H206" s="69" t="s">
        <v>310</v>
      </c>
      <c r="I206" s="69" t="s">
        <v>355</v>
      </c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</row>
    <row r="207" spans="1:26" ht="16.5" customHeight="1">
      <c r="A207" s="69" t="s">
        <v>298</v>
      </c>
      <c r="B207" s="68" t="s">
        <v>221</v>
      </c>
      <c r="C207" s="68" t="s">
        <v>274</v>
      </c>
      <c r="D207" s="68" t="s">
        <v>276</v>
      </c>
      <c r="E207" s="69" t="s">
        <v>261</v>
      </c>
      <c r="F207" s="69" t="s">
        <v>250</v>
      </c>
      <c r="G207" s="69" t="s">
        <v>314</v>
      </c>
      <c r="H207" s="69" t="s">
        <v>314</v>
      </c>
      <c r="I207" s="69" t="s">
        <v>356</v>
      </c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</row>
    <row r="208" spans="1:26" ht="16.5" customHeight="1">
      <c r="A208" s="71" t="s">
        <v>298</v>
      </c>
      <c r="B208" s="26" t="s">
        <v>76</v>
      </c>
      <c r="C208" s="26" t="s">
        <v>274</v>
      </c>
      <c r="D208" s="26" t="s">
        <v>276</v>
      </c>
      <c r="E208" s="71" t="s">
        <v>246</v>
      </c>
      <c r="F208" s="71" t="s">
        <v>246</v>
      </c>
      <c r="G208" s="71" t="s">
        <v>299</v>
      </c>
      <c r="H208" s="71" t="s">
        <v>299</v>
      </c>
      <c r="I208" s="71" t="s">
        <v>342</v>
      </c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ht="16.5" customHeight="1">
      <c r="A209" s="71" t="s">
        <v>298</v>
      </c>
      <c r="B209" s="26" t="s">
        <v>76</v>
      </c>
      <c r="C209" s="26" t="s">
        <v>274</v>
      </c>
      <c r="D209" s="26" t="s">
        <v>276</v>
      </c>
      <c r="E209" s="71" t="s">
        <v>250</v>
      </c>
      <c r="F209" s="71" t="s">
        <v>246</v>
      </c>
      <c r="G209" s="71" t="s">
        <v>302</v>
      </c>
      <c r="H209" s="71" t="s">
        <v>302</v>
      </c>
      <c r="I209" s="71" t="s">
        <v>335</v>
      </c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ht="16.5" customHeight="1">
      <c r="A210" s="71" t="s">
        <v>298</v>
      </c>
      <c r="B210" s="26" t="s">
        <v>76</v>
      </c>
      <c r="C210" s="26" t="s">
        <v>274</v>
      </c>
      <c r="D210" s="26" t="s">
        <v>276</v>
      </c>
      <c r="E210" s="71" t="s">
        <v>254</v>
      </c>
      <c r="F210" s="71" t="s">
        <v>246</v>
      </c>
      <c r="G210" s="71" t="s">
        <v>306</v>
      </c>
      <c r="H210" s="71" t="s">
        <v>306</v>
      </c>
      <c r="I210" s="71" t="s">
        <v>354</v>
      </c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ht="16.5" customHeight="1">
      <c r="A211" s="71" t="s">
        <v>298</v>
      </c>
      <c r="B211" s="26" t="s">
        <v>76</v>
      </c>
      <c r="C211" s="26" t="s">
        <v>274</v>
      </c>
      <c r="D211" s="26" t="s">
        <v>276</v>
      </c>
      <c r="E211" s="71" t="s">
        <v>258</v>
      </c>
      <c r="F211" s="71" t="s">
        <v>250</v>
      </c>
      <c r="G211" s="71" t="s">
        <v>310</v>
      </c>
      <c r="H211" s="71" t="s">
        <v>310</v>
      </c>
      <c r="I211" s="71" t="s">
        <v>355</v>
      </c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ht="16.5" customHeight="1">
      <c r="A212" s="71" t="s">
        <v>298</v>
      </c>
      <c r="B212" s="26" t="s">
        <v>76</v>
      </c>
      <c r="C212" s="26" t="s">
        <v>274</v>
      </c>
      <c r="D212" s="26" t="s">
        <v>276</v>
      </c>
      <c r="E212" s="71" t="s">
        <v>261</v>
      </c>
      <c r="F212" s="71" t="s">
        <v>250</v>
      </c>
      <c r="G212" s="71" t="s">
        <v>314</v>
      </c>
      <c r="H212" s="71" t="s">
        <v>314</v>
      </c>
      <c r="I212" s="71" t="s">
        <v>356</v>
      </c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ht="16.5" customHeight="1">
      <c r="A213" s="69" t="s">
        <v>298</v>
      </c>
      <c r="B213" s="68" t="s">
        <v>224</v>
      </c>
      <c r="C213" s="69" t="s">
        <v>274</v>
      </c>
      <c r="D213" s="69" t="s">
        <v>276</v>
      </c>
      <c r="E213" s="69" t="s">
        <v>246</v>
      </c>
      <c r="F213" s="69" t="s">
        <v>246</v>
      </c>
      <c r="G213" s="69" t="s">
        <v>299</v>
      </c>
      <c r="H213" s="69" t="s">
        <v>299</v>
      </c>
      <c r="I213" s="69" t="s">
        <v>342</v>
      </c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</row>
    <row r="214" spans="1:26" ht="16.5" customHeight="1">
      <c r="A214" s="69" t="s">
        <v>298</v>
      </c>
      <c r="B214" s="68" t="s">
        <v>224</v>
      </c>
      <c r="C214" s="69" t="s">
        <v>274</v>
      </c>
      <c r="D214" s="69" t="s">
        <v>276</v>
      </c>
      <c r="E214" s="69" t="s">
        <v>250</v>
      </c>
      <c r="F214" s="69" t="s">
        <v>246</v>
      </c>
      <c r="G214" s="69" t="s">
        <v>302</v>
      </c>
      <c r="H214" s="69" t="s">
        <v>302</v>
      </c>
      <c r="I214" s="69" t="s">
        <v>335</v>
      </c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</row>
    <row r="215" spans="1:26" ht="16.5" customHeight="1">
      <c r="A215" s="69" t="s">
        <v>298</v>
      </c>
      <c r="B215" s="68" t="s">
        <v>224</v>
      </c>
      <c r="C215" s="69" t="s">
        <v>274</v>
      </c>
      <c r="D215" s="69" t="s">
        <v>276</v>
      </c>
      <c r="E215" s="69" t="s">
        <v>254</v>
      </c>
      <c r="F215" s="69" t="s">
        <v>246</v>
      </c>
      <c r="G215" s="69" t="s">
        <v>306</v>
      </c>
      <c r="H215" s="69" t="s">
        <v>306</v>
      </c>
      <c r="I215" s="69" t="s">
        <v>354</v>
      </c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</row>
    <row r="216" spans="1:26" ht="16.5" customHeight="1">
      <c r="A216" s="69" t="s">
        <v>298</v>
      </c>
      <c r="B216" s="68" t="s">
        <v>224</v>
      </c>
      <c r="C216" s="69" t="s">
        <v>274</v>
      </c>
      <c r="D216" s="69" t="s">
        <v>276</v>
      </c>
      <c r="E216" s="69" t="s">
        <v>258</v>
      </c>
      <c r="F216" s="69" t="s">
        <v>250</v>
      </c>
      <c r="G216" s="69" t="s">
        <v>310</v>
      </c>
      <c r="H216" s="69" t="s">
        <v>310</v>
      </c>
      <c r="I216" s="69" t="s">
        <v>355</v>
      </c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</row>
    <row r="217" spans="1:26" ht="16.5" customHeight="1">
      <c r="A217" s="69" t="s">
        <v>298</v>
      </c>
      <c r="B217" s="68" t="s">
        <v>224</v>
      </c>
      <c r="C217" s="69" t="s">
        <v>274</v>
      </c>
      <c r="D217" s="69" t="s">
        <v>276</v>
      </c>
      <c r="E217" s="69" t="s">
        <v>261</v>
      </c>
      <c r="F217" s="69" t="s">
        <v>250</v>
      </c>
      <c r="G217" s="69" t="s">
        <v>314</v>
      </c>
      <c r="H217" s="69" t="s">
        <v>314</v>
      </c>
      <c r="I217" s="69" t="s">
        <v>356</v>
      </c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</row>
    <row r="218" spans="1:26" ht="16.5" customHeight="1">
      <c r="A218" s="71" t="s">
        <v>298</v>
      </c>
      <c r="B218" s="26" t="s">
        <v>225</v>
      </c>
      <c r="C218" s="71" t="s">
        <v>274</v>
      </c>
      <c r="D218" s="71" t="s">
        <v>276</v>
      </c>
      <c r="E218" s="71" t="s">
        <v>246</v>
      </c>
      <c r="F218" s="71" t="s">
        <v>246</v>
      </c>
      <c r="G218" s="71" t="s">
        <v>299</v>
      </c>
      <c r="H218" s="71" t="s">
        <v>299</v>
      </c>
      <c r="I218" s="71" t="s">
        <v>342</v>
      </c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ht="16.5" customHeight="1">
      <c r="A219" s="71" t="s">
        <v>298</v>
      </c>
      <c r="B219" s="26" t="s">
        <v>225</v>
      </c>
      <c r="C219" s="71" t="s">
        <v>274</v>
      </c>
      <c r="D219" s="71" t="s">
        <v>276</v>
      </c>
      <c r="E219" s="71" t="s">
        <v>250</v>
      </c>
      <c r="F219" s="71" t="s">
        <v>246</v>
      </c>
      <c r="G219" s="71" t="s">
        <v>302</v>
      </c>
      <c r="H219" s="71" t="s">
        <v>302</v>
      </c>
      <c r="I219" s="71" t="s">
        <v>335</v>
      </c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ht="16.5" customHeight="1">
      <c r="A220" s="71" t="s">
        <v>298</v>
      </c>
      <c r="B220" s="26" t="s">
        <v>225</v>
      </c>
      <c r="C220" s="71" t="s">
        <v>274</v>
      </c>
      <c r="D220" s="71" t="s">
        <v>276</v>
      </c>
      <c r="E220" s="71" t="s">
        <v>254</v>
      </c>
      <c r="F220" s="71" t="s">
        <v>246</v>
      </c>
      <c r="G220" s="71" t="s">
        <v>306</v>
      </c>
      <c r="H220" s="71" t="s">
        <v>306</v>
      </c>
      <c r="I220" s="71" t="s">
        <v>354</v>
      </c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ht="16.5" customHeight="1">
      <c r="A221" s="71" t="s">
        <v>298</v>
      </c>
      <c r="B221" s="26" t="s">
        <v>225</v>
      </c>
      <c r="C221" s="71" t="s">
        <v>274</v>
      </c>
      <c r="D221" s="71" t="s">
        <v>276</v>
      </c>
      <c r="E221" s="71" t="s">
        <v>258</v>
      </c>
      <c r="F221" s="71" t="s">
        <v>250</v>
      </c>
      <c r="G221" s="71" t="s">
        <v>310</v>
      </c>
      <c r="H221" s="71" t="s">
        <v>310</v>
      </c>
      <c r="I221" s="71" t="s">
        <v>355</v>
      </c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ht="16.5" customHeight="1">
      <c r="A222" s="71" t="s">
        <v>298</v>
      </c>
      <c r="B222" s="26" t="s">
        <v>225</v>
      </c>
      <c r="C222" s="71" t="s">
        <v>274</v>
      </c>
      <c r="D222" s="71" t="s">
        <v>276</v>
      </c>
      <c r="E222" s="71" t="s">
        <v>261</v>
      </c>
      <c r="F222" s="71" t="s">
        <v>250</v>
      </c>
      <c r="G222" s="71" t="s">
        <v>314</v>
      </c>
      <c r="H222" s="71" t="s">
        <v>314</v>
      </c>
      <c r="I222" s="71" t="s">
        <v>356</v>
      </c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ht="16.5" customHeight="1">
      <c r="A223" s="69" t="s">
        <v>298</v>
      </c>
      <c r="B223" s="68" t="s">
        <v>226</v>
      </c>
      <c r="C223" s="68" t="s">
        <v>276</v>
      </c>
      <c r="D223" s="68" t="s">
        <v>22</v>
      </c>
      <c r="E223" s="69" t="s">
        <v>246</v>
      </c>
      <c r="F223" s="69" t="s">
        <v>246</v>
      </c>
      <c r="G223" s="69" t="s">
        <v>299</v>
      </c>
      <c r="H223" s="69" t="s">
        <v>299</v>
      </c>
      <c r="I223" s="69" t="s">
        <v>342</v>
      </c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</row>
    <row r="224" spans="1:26" ht="16.5" customHeight="1">
      <c r="A224" s="69" t="s">
        <v>298</v>
      </c>
      <c r="B224" s="68" t="s">
        <v>226</v>
      </c>
      <c r="C224" s="68" t="s">
        <v>276</v>
      </c>
      <c r="D224" s="68" t="s">
        <v>22</v>
      </c>
      <c r="E224" s="69" t="s">
        <v>250</v>
      </c>
      <c r="F224" s="69" t="s">
        <v>246</v>
      </c>
      <c r="G224" s="69" t="s">
        <v>302</v>
      </c>
      <c r="H224" s="69" t="s">
        <v>302</v>
      </c>
      <c r="I224" s="69" t="s">
        <v>335</v>
      </c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</row>
    <row r="225" spans="1:26" ht="16.5" customHeight="1">
      <c r="A225" s="69" t="s">
        <v>298</v>
      </c>
      <c r="B225" s="68" t="s">
        <v>226</v>
      </c>
      <c r="C225" s="68" t="s">
        <v>276</v>
      </c>
      <c r="D225" s="68" t="s">
        <v>22</v>
      </c>
      <c r="E225" s="69" t="s">
        <v>254</v>
      </c>
      <c r="F225" s="69" t="s">
        <v>246</v>
      </c>
      <c r="G225" s="68" t="s">
        <v>360</v>
      </c>
      <c r="H225" s="68" t="s">
        <v>360</v>
      </c>
      <c r="I225" s="69" t="s">
        <v>354</v>
      </c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</row>
    <row r="226" spans="1:26" ht="16.5" customHeight="1">
      <c r="A226" s="69" t="s">
        <v>298</v>
      </c>
      <c r="B226" s="68" t="s">
        <v>226</v>
      </c>
      <c r="C226" s="68" t="s">
        <v>276</v>
      </c>
      <c r="D226" s="68" t="s">
        <v>22</v>
      </c>
      <c r="E226" s="68" t="s">
        <v>254</v>
      </c>
      <c r="F226" s="69" t="s">
        <v>250</v>
      </c>
      <c r="G226" s="68" t="s">
        <v>306</v>
      </c>
      <c r="H226" s="68" t="s">
        <v>306</v>
      </c>
      <c r="I226" s="68" t="s">
        <v>354</v>
      </c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</row>
    <row r="227" spans="1:26" ht="16.5" customHeight="1">
      <c r="A227" s="71" t="s">
        <v>298</v>
      </c>
      <c r="B227" s="26" t="s">
        <v>228</v>
      </c>
      <c r="C227" s="71" t="s">
        <v>276</v>
      </c>
      <c r="D227" s="71" t="s">
        <v>22</v>
      </c>
      <c r="E227" s="71" t="s">
        <v>246</v>
      </c>
      <c r="F227" s="71" t="s">
        <v>246</v>
      </c>
      <c r="G227" s="71" t="s">
        <v>299</v>
      </c>
      <c r="H227" s="71" t="s">
        <v>299</v>
      </c>
      <c r="I227" s="71" t="s">
        <v>342</v>
      </c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ht="16.5" customHeight="1">
      <c r="A228" s="71" t="s">
        <v>298</v>
      </c>
      <c r="B228" s="26" t="s">
        <v>228</v>
      </c>
      <c r="C228" s="71" t="s">
        <v>276</v>
      </c>
      <c r="D228" s="71" t="s">
        <v>22</v>
      </c>
      <c r="E228" s="71" t="s">
        <v>250</v>
      </c>
      <c r="F228" s="71" t="s">
        <v>246</v>
      </c>
      <c r="G228" s="71" t="s">
        <v>302</v>
      </c>
      <c r="H228" s="71" t="s">
        <v>302</v>
      </c>
      <c r="I228" s="71" t="s">
        <v>335</v>
      </c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ht="16.5" customHeight="1">
      <c r="A229" s="71" t="s">
        <v>298</v>
      </c>
      <c r="B229" s="26" t="s">
        <v>228</v>
      </c>
      <c r="C229" s="71" t="s">
        <v>276</v>
      </c>
      <c r="D229" s="71" t="s">
        <v>22</v>
      </c>
      <c r="E229" s="71" t="s">
        <v>254</v>
      </c>
      <c r="F229" s="71" t="s">
        <v>246</v>
      </c>
      <c r="G229" s="26" t="s">
        <v>361</v>
      </c>
      <c r="H229" s="26" t="s">
        <v>361</v>
      </c>
      <c r="I229" s="26" t="s">
        <v>361</v>
      </c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ht="16.5" customHeight="1">
      <c r="A230" s="69" t="s">
        <v>298</v>
      </c>
      <c r="B230" s="68" t="s">
        <v>88</v>
      </c>
      <c r="C230" s="68" t="s">
        <v>22</v>
      </c>
      <c r="D230" s="68" t="s">
        <v>282</v>
      </c>
      <c r="E230" s="69" t="s">
        <v>246</v>
      </c>
      <c r="F230" s="69" t="s">
        <v>246</v>
      </c>
      <c r="G230" s="69" t="s">
        <v>299</v>
      </c>
      <c r="H230" s="69" t="s">
        <v>299</v>
      </c>
      <c r="I230" s="69" t="s">
        <v>342</v>
      </c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</row>
    <row r="231" spans="1:26" ht="16.5" customHeight="1">
      <c r="A231" s="69" t="s">
        <v>298</v>
      </c>
      <c r="B231" s="68" t="s">
        <v>88</v>
      </c>
      <c r="C231" s="68" t="s">
        <v>22</v>
      </c>
      <c r="D231" s="68" t="s">
        <v>282</v>
      </c>
      <c r="E231" s="69" t="s">
        <v>250</v>
      </c>
      <c r="F231" s="69" t="s">
        <v>246</v>
      </c>
      <c r="G231" s="69" t="s">
        <v>302</v>
      </c>
      <c r="H231" s="69" t="s">
        <v>302</v>
      </c>
      <c r="I231" s="69" t="s">
        <v>335</v>
      </c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</row>
    <row r="232" spans="1:26" ht="16.5" customHeight="1">
      <c r="A232" s="69" t="s">
        <v>298</v>
      </c>
      <c r="B232" s="68" t="s">
        <v>88</v>
      </c>
      <c r="C232" s="68" t="s">
        <v>22</v>
      </c>
      <c r="D232" s="68" t="s">
        <v>282</v>
      </c>
      <c r="E232" s="69" t="s">
        <v>254</v>
      </c>
      <c r="F232" s="69" t="s">
        <v>246</v>
      </c>
      <c r="G232" s="69" t="s">
        <v>361</v>
      </c>
      <c r="H232" s="68" t="s">
        <v>362</v>
      </c>
      <c r="I232" s="68" t="s">
        <v>362</v>
      </c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</row>
    <row r="233" spans="1:26" ht="16.5" customHeight="1">
      <c r="A233" s="73"/>
      <c r="B233" s="73"/>
      <c r="C233" s="73"/>
      <c r="D233" s="73"/>
      <c r="E233" s="73"/>
      <c r="F233" s="73"/>
      <c r="G233" s="73"/>
      <c r="H233" s="73"/>
      <c r="I233" s="73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</row>
    <row r="234" spans="1:26" ht="16.5" customHeight="1">
      <c r="A234" s="73"/>
      <c r="B234" s="73"/>
      <c r="C234" s="73"/>
      <c r="D234" s="73"/>
      <c r="E234" s="73"/>
      <c r="F234" s="73"/>
      <c r="G234" s="73"/>
      <c r="H234" s="73"/>
      <c r="I234" s="73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</row>
    <row r="235" spans="1:26" ht="16.5" customHeight="1">
      <c r="A235" s="73"/>
      <c r="B235" s="73"/>
      <c r="C235" s="73"/>
      <c r="D235" s="73"/>
      <c r="E235" s="73"/>
      <c r="F235" s="73"/>
      <c r="G235" s="73"/>
      <c r="H235" s="73"/>
      <c r="I235" s="73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</row>
    <row r="236" spans="1:26" ht="16.5" customHeight="1">
      <c r="A236" s="73"/>
      <c r="B236" s="73"/>
      <c r="C236" s="73"/>
      <c r="D236" s="73"/>
      <c r="E236" s="73"/>
      <c r="F236" s="73"/>
      <c r="G236" s="73"/>
      <c r="H236" s="73"/>
      <c r="I236" s="73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</row>
    <row r="237" spans="1:26" ht="16.5" customHeight="1">
      <c r="A237" s="73"/>
      <c r="B237" s="73"/>
      <c r="C237" s="73"/>
      <c r="D237" s="73"/>
      <c r="E237" s="73"/>
      <c r="F237" s="73"/>
      <c r="G237" s="73"/>
      <c r="H237" s="73"/>
      <c r="I237" s="73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</row>
    <row r="238" spans="1:26" ht="16.5" customHeight="1">
      <c r="A238" s="73"/>
      <c r="B238" s="73"/>
      <c r="C238" s="73"/>
      <c r="D238" s="73"/>
      <c r="E238" s="73"/>
      <c r="F238" s="73"/>
      <c r="G238" s="73"/>
      <c r="H238" s="73"/>
      <c r="I238" s="73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</row>
    <row r="239" spans="1:26" ht="16.5" customHeight="1">
      <c r="A239" s="73"/>
      <c r="B239" s="73"/>
      <c r="C239" s="73"/>
      <c r="D239" s="73"/>
      <c r="E239" s="73"/>
      <c r="F239" s="73"/>
      <c r="G239" s="73"/>
      <c r="H239" s="73"/>
      <c r="I239" s="73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</row>
    <row r="240" spans="1:26" ht="16.5" customHeight="1">
      <c r="A240" s="73"/>
      <c r="B240" s="73"/>
      <c r="C240" s="73"/>
      <c r="D240" s="73"/>
      <c r="E240" s="73"/>
      <c r="F240" s="73"/>
      <c r="G240" s="73"/>
      <c r="H240" s="73"/>
      <c r="I240" s="73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</row>
    <row r="241" spans="1:26" ht="16.5" customHeight="1">
      <c r="A241" s="73"/>
      <c r="B241" s="73"/>
      <c r="C241" s="73"/>
      <c r="D241" s="73"/>
      <c r="E241" s="73"/>
      <c r="F241" s="73"/>
      <c r="G241" s="73"/>
      <c r="H241" s="73"/>
      <c r="I241" s="73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</row>
    <row r="242" spans="1:26" ht="16.5" customHeight="1">
      <c r="A242" s="73"/>
      <c r="B242" s="73"/>
      <c r="C242" s="73"/>
      <c r="D242" s="73"/>
      <c r="E242" s="73"/>
      <c r="F242" s="73"/>
      <c r="G242" s="73"/>
      <c r="H242" s="73"/>
      <c r="I242" s="73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</row>
    <row r="243" spans="1:26" ht="16.5" customHeight="1">
      <c r="A243" s="73"/>
      <c r="B243" s="73"/>
      <c r="C243" s="73"/>
      <c r="D243" s="73"/>
      <c r="E243" s="73"/>
      <c r="F243" s="73"/>
      <c r="G243" s="73"/>
      <c r="H243" s="73"/>
      <c r="I243" s="73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</row>
    <row r="244" spans="1:26" ht="16.5" customHeight="1">
      <c r="A244" s="73"/>
      <c r="B244" s="73"/>
      <c r="C244" s="73"/>
      <c r="D244" s="73"/>
      <c r="E244" s="73"/>
      <c r="F244" s="73"/>
      <c r="G244" s="73"/>
      <c r="H244" s="73"/>
      <c r="I244" s="73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</row>
    <row r="245" spans="1:26" ht="16.5" customHeight="1">
      <c r="A245" s="73"/>
      <c r="B245" s="73"/>
      <c r="C245" s="73"/>
      <c r="D245" s="73"/>
      <c r="E245" s="73"/>
      <c r="F245" s="73"/>
      <c r="G245" s="73"/>
      <c r="H245" s="73"/>
      <c r="I245" s="73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</row>
    <row r="246" spans="1:26" ht="16.5" customHeight="1">
      <c r="A246" s="73"/>
      <c r="B246" s="73"/>
      <c r="C246" s="73"/>
      <c r="D246" s="73"/>
      <c r="E246" s="73"/>
      <c r="F246" s="73"/>
      <c r="G246" s="73"/>
      <c r="H246" s="73"/>
      <c r="I246" s="73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</row>
    <row r="247" spans="1:26" ht="16.5" customHeight="1">
      <c r="A247" s="73"/>
      <c r="B247" s="73"/>
      <c r="C247" s="73"/>
      <c r="D247" s="73"/>
      <c r="E247" s="73"/>
      <c r="F247" s="73"/>
      <c r="G247" s="73"/>
      <c r="H247" s="73"/>
      <c r="I247" s="73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</row>
    <row r="248" spans="1:26" ht="16.5" customHeight="1">
      <c r="A248" s="73"/>
      <c r="B248" s="73"/>
      <c r="C248" s="73"/>
      <c r="D248" s="73"/>
      <c r="E248" s="73"/>
      <c r="F248" s="73"/>
      <c r="G248" s="73"/>
      <c r="H248" s="73"/>
      <c r="I248" s="73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</row>
    <row r="249" spans="1:26" ht="16.5" customHeight="1">
      <c r="A249" s="73"/>
      <c r="B249" s="73"/>
      <c r="C249" s="73"/>
      <c r="D249" s="73"/>
      <c r="E249" s="73"/>
      <c r="F249" s="73"/>
      <c r="G249" s="73"/>
      <c r="H249" s="73"/>
      <c r="I249" s="73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</row>
    <row r="250" spans="1:26" ht="16.5" customHeight="1">
      <c r="A250" s="73"/>
      <c r="B250" s="73"/>
      <c r="C250" s="73"/>
      <c r="D250" s="73"/>
      <c r="E250" s="73"/>
      <c r="F250" s="73"/>
      <c r="G250" s="73"/>
      <c r="H250" s="73"/>
      <c r="I250" s="73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</row>
    <row r="251" spans="1:26" ht="16.5" customHeight="1">
      <c r="A251" s="73"/>
      <c r="B251" s="73"/>
      <c r="C251" s="73"/>
      <c r="D251" s="73"/>
      <c r="E251" s="73"/>
      <c r="F251" s="73"/>
      <c r="G251" s="73"/>
      <c r="H251" s="73"/>
      <c r="I251" s="73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</row>
    <row r="252" spans="1:26" ht="16.5" customHeight="1">
      <c r="A252" s="73"/>
      <c r="B252" s="73"/>
      <c r="C252" s="73"/>
      <c r="D252" s="73"/>
      <c r="E252" s="73"/>
      <c r="F252" s="73"/>
      <c r="G252" s="73"/>
      <c r="H252" s="73"/>
      <c r="I252" s="73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</row>
    <row r="253" spans="1:26" ht="16.5" customHeight="1">
      <c r="A253" s="73"/>
      <c r="B253" s="73"/>
      <c r="C253" s="73"/>
      <c r="D253" s="73"/>
      <c r="E253" s="73"/>
      <c r="F253" s="73"/>
      <c r="G253" s="73"/>
      <c r="H253" s="73"/>
      <c r="I253" s="73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</row>
    <row r="254" spans="1:26" ht="16.5" customHeight="1">
      <c r="A254" s="73"/>
      <c r="B254" s="73"/>
      <c r="C254" s="73"/>
      <c r="D254" s="73"/>
      <c r="E254" s="73"/>
      <c r="F254" s="73"/>
      <c r="G254" s="73"/>
      <c r="H254" s="73"/>
      <c r="I254" s="73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</row>
    <row r="255" spans="1:26" ht="16.5" customHeight="1">
      <c r="A255" s="73"/>
      <c r="B255" s="73"/>
      <c r="C255" s="73"/>
      <c r="D255" s="73"/>
      <c r="E255" s="73"/>
      <c r="F255" s="73"/>
      <c r="G255" s="73"/>
      <c r="H255" s="73"/>
      <c r="I255" s="73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</row>
    <row r="256" spans="1:26" ht="16.5" customHeight="1">
      <c r="A256" s="73"/>
      <c r="B256" s="73"/>
      <c r="C256" s="73"/>
      <c r="D256" s="73"/>
      <c r="E256" s="73"/>
      <c r="F256" s="73"/>
      <c r="G256" s="73"/>
      <c r="H256" s="73"/>
      <c r="I256" s="73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</row>
    <row r="257" spans="1:26" ht="16.5" customHeight="1">
      <c r="A257" s="73"/>
      <c r="B257" s="73"/>
      <c r="C257" s="73"/>
      <c r="D257" s="73"/>
      <c r="E257" s="73"/>
      <c r="F257" s="73"/>
      <c r="G257" s="73"/>
      <c r="H257" s="73"/>
      <c r="I257" s="73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</row>
    <row r="258" spans="1:26" ht="16.5" customHeight="1">
      <c r="A258" s="73"/>
      <c r="B258" s="73"/>
      <c r="C258" s="73"/>
      <c r="D258" s="73"/>
      <c r="E258" s="73"/>
      <c r="F258" s="73"/>
      <c r="G258" s="73"/>
      <c r="H258" s="73"/>
      <c r="I258" s="73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</row>
    <row r="259" spans="1:26" ht="16.5" customHeight="1">
      <c r="A259" s="73"/>
      <c r="B259" s="73"/>
      <c r="C259" s="73"/>
      <c r="D259" s="73"/>
      <c r="E259" s="73"/>
      <c r="F259" s="73"/>
      <c r="G259" s="73"/>
      <c r="H259" s="73"/>
      <c r="I259" s="73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</row>
    <row r="260" spans="1:26" ht="16.5" customHeight="1">
      <c r="A260" s="73"/>
      <c r="B260" s="73"/>
      <c r="C260" s="73"/>
      <c r="D260" s="73"/>
      <c r="E260" s="73"/>
      <c r="F260" s="73"/>
      <c r="G260" s="73"/>
      <c r="H260" s="73"/>
      <c r="I260" s="73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</row>
    <row r="261" spans="1:26" ht="16.5" customHeight="1">
      <c r="A261" s="73"/>
      <c r="B261" s="73"/>
      <c r="C261" s="73"/>
      <c r="D261" s="73"/>
      <c r="E261" s="73"/>
      <c r="F261" s="73"/>
      <c r="G261" s="73"/>
      <c r="H261" s="73"/>
      <c r="I261" s="73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</row>
    <row r="262" spans="1:26" ht="16.5" customHeight="1">
      <c r="A262" s="73"/>
      <c r="B262" s="73"/>
      <c r="C262" s="73"/>
      <c r="D262" s="73"/>
      <c r="E262" s="73"/>
      <c r="F262" s="73"/>
      <c r="G262" s="73"/>
      <c r="H262" s="73"/>
      <c r="I262" s="73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</row>
    <row r="263" spans="1:26" ht="16.5" customHeight="1">
      <c r="A263" s="73"/>
      <c r="B263" s="73"/>
      <c r="C263" s="73"/>
      <c r="D263" s="73"/>
      <c r="E263" s="73"/>
      <c r="F263" s="73"/>
      <c r="G263" s="73"/>
      <c r="H263" s="73"/>
      <c r="I263" s="73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</row>
    <row r="264" spans="1:26" ht="16.5" customHeight="1">
      <c r="A264" s="73"/>
      <c r="B264" s="73"/>
      <c r="C264" s="73"/>
      <c r="D264" s="73"/>
      <c r="E264" s="73"/>
      <c r="F264" s="73"/>
      <c r="G264" s="73"/>
      <c r="H264" s="73"/>
      <c r="I264" s="73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</row>
    <row r="265" spans="1:26" ht="16.5" customHeight="1">
      <c r="A265" s="73"/>
      <c r="B265" s="73"/>
      <c r="C265" s="73"/>
      <c r="D265" s="73"/>
      <c r="E265" s="73"/>
      <c r="F265" s="73"/>
      <c r="G265" s="73"/>
      <c r="H265" s="73"/>
      <c r="I265" s="73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</row>
    <row r="266" spans="1:26" ht="16.5" customHeight="1">
      <c r="A266" s="73"/>
      <c r="B266" s="73"/>
      <c r="C266" s="73"/>
      <c r="D266" s="73"/>
      <c r="E266" s="73"/>
      <c r="F266" s="73"/>
      <c r="G266" s="73"/>
      <c r="H266" s="73"/>
      <c r="I266" s="73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</row>
    <row r="267" spans="1:26" ht="16.5" customHeight="1">
      <c r="A267" s="73"/>
      <c r="B267" s="73"/>
      <c r="C267" s="73"/>
      <c r="D267" s="73"/>
      <c r="E267" s="73"/>
      <c r="F267" s="73"/>
      <c r="G267" s="73"/>
      <c r="H267" s="73"/>
      <c r="I267" s="73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</row>
    <row r="268" spans="1:26" ht="16.5" customHeight="1">
      <c r="A268" s="73"/>
      <c r="B268" s="73"/>
      <c r="C268" s="73"/>
      <c r="D268" s="73"/>
      <c r="E268" s="73"/>
      <c r="F268" s="73"/>
      <c r="G268" s="73"/>
      <c r="H268" s="73"/>
      <c r="I268" s="73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</row>
    <row r="269" spans="1:26" ht="16.5" customHeight="1">
      <c r="A269" s="73"/>
      <c r="B269" s="73"/>
      <c r="C269" s="73"/>
      <c r="D269" s="73"/>
      <c r="E269" s="73"/>
      <c r="F269" s="73"/>
      <c r="G269" s="73"/>
      <c r="H269" s="73"/>
      <c r="I269" s="73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</row>
    <row r="270" spans="1:26" ht="16.5" customHeight="1">
      <c r="A270" s="73"/>
      <c r="B270" s="73"/>
      <c r="C270" s="73"/>
      <c r="D270" s="73"/>
      <c r="E270" s="73"/>
      <c r="F270" s="73"/>
      <c r="G270" s="73"/>
      <c r="H270" s="73"/>
      <c r="I270" s="73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</row>
    <row r="271" spans="1:26" ht="16.5" customHeight="1">
      <c r="A271" s="73"/>
      <c r="B271" s="73"/>
      <c r="C271" s="73"/>
      <c r="D271" s="73"/>
      <c r="E271" s="73"/>
      <c r="F271" s="73"/>
      <c r="G271" s="73"/>
      <c r="H271" s="73"/>
      <c r="I271" s="73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</row>
    <row r="272" spans="1:26" ht="16.5" customHeight="1">
      <c r="A272" s="73"/>
      <c r="B272" s="73"/>
      <c r="C272" s="73"/>
      <c r="D272" s="73"/>
      <c r="E272" s="73"/>
      <c r="F272" s="73"/>
      <c r="G272" s="73"/>
      <c r="H272" s="73"/>
      <c r="I272" s="73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</row>
    <row r="273" spans="1:26" ht="16.5" customHeight="1">
      <c r="A273" s="73"/>
      <c r="B273" s="73"/>
      <c r="C273" s="73"/>
      <c r="D273" s="73"/>
      <c r="E273" s="73"/>
      <c r="F273" s="73"/>
      <c r="G273" s="73"/>
      <c r="H273" s="73"/>
      <c r="I273" s="73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</row>
    <row r="274" spans="1:26" ht="16.5" customHeight="1">
      <c r="A274" s="73"/>
      <c r="B274" s="73"/>
      <c r="C274" s="73"/>
      <c r="D274" s="73"/>
      <c r="E274" s="73"/>
      <c r="F274" s="73"/>
      <c r="G274" s="73"/>
      <c r="H274" s="73"/>
      <c r="I274" s="73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</row>
    <row r="275" spans="1:26" ht="16.5" customHeight="1">
      <c r="A275" s="73"/>
      <c r="B275" s="73"/>
      <c r="C275" s="73"/>
      <c r="D275" s="73"/>
      <c r="E275" s="73"/>
      <c r="F275" s="73"/>
      <c r="G275" s="73"/>
      <c r="H275" s="73"/>
      <c r="I275" s="73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</row>
    <row r="276" spans="1:26" ht="16.5" customHeight="1">
      <c r="A276" s="73"/>
      <c r="B276" s="73"/>
      <c r="C276" s="73"/>
      <c r="D276" s="73"/>
      <c r="E276" s="73"/>
      <c r="F276" s="73"/>
      <c r="G276" s="73"/>
      <c r="H276" s="73"/>
      <c r="I276" s="73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</row>
    <row r="277" spans="1:26" ht="16.5" customHeight="1">
      <c r="A277" s="73"/>
      <c r="B277" s="73"/>
      <c r="C277" s="73"/>
      <c r="D277" s="73"/>
      <c r="E277" s="73"/>
      <c r="F277" s="73"/>
      <c r="G277" s="73"/>
      <c r="H277" s="73"/>
      <c r="I277" s="73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</row>
    <row r="278" spans="1:26" ht="16.5" customHeight="1">
      <c r="A278" s="73"/>
      <c r="B278" s="73"/>
      <c r="C278" s="73"/>
      <c r="D278" s="73"/>
      <c r="E278" s="73"/>
      <c r="F278" s="73"/>
      <c r="G278" s="73"/>
      <c r="H278" s="73"/>
      <c r="I278" s="73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</row>
    <row r="279" spans="1:26" ht="16.5" customHeight="1">
      <c r="A279" s="73"/>
      <c r="B279" s="73"/>
      <c r="C279" s="73"/>
      <c r="D279" s="73"/>
      <c r="E279" s="73"/>
      <c r="F279" s="73"/>
      <c r="G279" s="73"/>
      <c r="H279" s="73"/>
      <c r="I279" s="73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</row>
    <row r="280" spans="1:26" ht="16.5" customHeight="1">
      <c r="A280" s="73"/>
      <c r="B280" s="73"/>
      <c r="C280" s="73"/>
      <c r="D280" s="73"/>
      <c r="E280" s="73"/>
      <c r="F280" s="73"/>
      <c r="G280" s="73"/>
      <c r="H280" s="73"/>
      <c r="I280" s="73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</row>
    <row r="281" spans="1:26" ht="16.5" customHeight="1">
      <c r="A281" s="73"/>
      <c r="B281" s="73"/>
      <c r="C281" s="73"/>
      <c r="D281" s="73"/>
      <c r="E281" s="73"/>
      <c r="F281" s="73"/>
      <c r="G281" s="73"/>
      <c r="H281" s="73"/>
      <c r="I281" s="73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</row>
    <row r="282" spans="1:26" ht="16.5" customHeight="1">
      <c r="A282" s="73"/>
      <c r="B282" s="73"/>
      <c r="C282" s="73"/>
      <c r="D282" s="73"/>
      <c r="E282" s="73"/>
      <c r="F282" s="73"/>
      <c r="G282" s="73"/>
      <c r="H282" s="73"/>
      <c r="I282" s="73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</row>
    <row r="283" spans="1:26" ht="16.5" customHeight="1">
      <c r="A283" s="73"/>
      <c r="B283" s="73"/>
      <c r="C283" s="73"/>
      <c r="D283" s="73"/>
      <c r="E283" s="73"/>
      <c r="F283" s="73"/>
      <c r="G283" s="73"/>
      <c r="H283" s="73"/>
      <c r="I283" s="73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</row>
    <row r="284" spans="1:26" ht="16.5" customHeight="1">
      <c r="A284" s="73"/>
      <c r="B284" s="73"/>
      <c r="C284" s="73"/>
      <c r="D284" s="73"/>
      <c r="E284" s="73"/>
      <c r="F284" s="73"/>
      <c r="G284" s="73"/>
      <c r="H284" s="73"/>
      <c r="I284" s="73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</row>
    <row r="285" spans="1:26" ht="16.5" customHeight="1">
      <c r="A285" s="73"/>
      <c r="B285" s="73"/>
      <c r="C285" s="73"/>
      <c r="D285" s="73"/>
      <c r="E285" s="73"/>
      <c r="F285" s="73"/>
      <c r="G285" s="73"/>
      <c r="H285" s="73"/>
      <c r="I285" s="73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</row>
    <row r="286" spans="1:26" ht="16.5" customHeight="1">
      <c r="A286" s="73"/>
      <c r="B286" s="73"/>
      <c r="C286" s="73"/>
      <c r="D286" s="73"/>
      <c r="E286" s="73"/>
      <c r="F286" s="73"/>
      <c r="G286" s="73"/>
      <c r="H286" s="73"/>
      <c r="I286" s="73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</row>
    <row r="287" spans="1:26" ht="16.5" customHeight="1">
      <c r="A287" s="73"/>
      <c r="B287" s="73"/>
      <c r="C287" s="73"/>
      <c r="D287" s="73"/>
      <c r="E287" s="73"/>
      <c r="F287" s="73"/>
      <c r="G287" s="73"/>
      <c r="H287" s="73"/>
      <c r="I287" s="73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</row>
    <row r="288" spans="1:26" ht="16.5" customHeight="1">
      <c r="A288" s="73"/>
      <c r="B288" s="73"/>
      <c r="C288" s="73"/>
      <c r="D288" s="73"/>
      <c r="E288" s="73"/>
      <c r="F288" s="73"/>
      <c r="G288" s="73"/>
      <c r="H288" s="73"/>
      <c r="I288" s="73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</row>
    <row r="289" spans="1:26" ht="16.5" customHeight="1">
      <c r="A289" s="73"/>
      <c r="B289" s="73"/>
      <c r="C289" s="73"/>
      <c r="D289" s="73"/>
      <c r="E289" s="73"/>
      <c r="F289" s="73"/>
      <c r="G289" s="73"/>
      <c r="H289" s="73"/>
      <c r="I289" s="73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</row>
    <row r="290" spans="1:26" ht="16.5" customHeight="1">
      <c r="A290" s="73"/>
      <c r="B290" s="73"/>
      <c r="C290" s="73"/>
      <c r="D290" s="73"/>
      <c r="E290" s="73"/>
      <c r="F290" s="73"/>
      <c r="G290" s="73"/>
      <c r="H290" s="73"/>
      <c r="I290" s="73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</row>
    <row r="291" spans="1:26" ht="16.5" customHeight="1">
      <c r="A291" s="73"/>
      <c r="B291" s="73"/>
      <c r="C291" s="73"/>
      <c r="D291" s="73"/>
      <c r="E291" s="73"/>
      <c r="F291" s="73"/>
      <c r="G291" s="73"/>
      <c r="H291" s="73"/>
      <c r="I291" s="73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</row>
    <row r="292" spans="1:26" ht="16.5" customHeight="1">
      <c r="A292" s="73"/>
      <c r="B292" s="73"/>
      <c r="C292" s="73"/>
      <c r="D292" s="73"/>
      <c r="E292" s="73"/>
      <c r="F292" s="73"/>
      <c r="G292" s="73"/>
      <c r="H292" s="73"/>
      <c r="I292" s="73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</row>
    <row r="293" spans="1:26" ht="16.5" customHeight="1">
      <c r="A293" s="73"/>
      <c r="B293" s="73"/>
      <c r="C293" s="73"/>
      <c r="D293" s="73"/>
      <c r="E293" s="73"/>
      <c r="F293" s="73"/>
      <c r="G293" s="73"/>
      <c r="H293" s="73"/>
      <c r="I293" s="73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</row>
    <row r="294" spans="1:26" ht="16.5" customHeight="1">
      <c r="A294" s="73"/>
      <c r="B294" s="73"/>
      <c r="C294" s="73"/>
      <c r="D294" s="73"/>
      <c r="E294" s="73"/>
      <c r="F294" s="73"/>
      <c r="G294" s="73"/>
      <c r="H294" s="73"/>
      <c r="I294" s="73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</row>
    <row r="295" spans="1:26" ht="16.5" customHeight="1">
      <c r="A295" s="73"/>
      <c r="B295" s="73"/>
      <c r="C295" s="73"/>
      <c r="D295" s="73"/>
      <c r="E295" s="73"/>
      <c r="F295" s="73"/>
      <c r="G295" s="73"/>
      <c r="H295" s="73"/>
      <c r="I295" s="73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</row>
    <row r="296" spans="1:26" ht="16.5" customHeight="1">
      <c r="A296" s="73"/>
      <c r="B296" s="73"/>
      <c r="C296" s="73"/>
      <c r="D296" s="73"/>
      <c r="E296" s="73"/>
      <c r="F296" s="73"/>
      <c r="G296" s="73"/>
      <c r="H296" s="73"/>
      <c r="I296" s="73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</row>
    <row r="297" spans="1:26" ht="16.5" customHeight="1">
      <c r="A297" s="73"/>
      <c r="B297" s="73"/>
      <c r="C297" s="73"/>
      <c r="D297" s="73"/>
      <c r="E297" s="73"/>
      <c r="F297" s="73"/>
      <c r="G297" s="73"/>
      <c r="H297" s="73"/>
      <c r="I297" s="73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</row>
    <row r="298" spans="1:26" ht="16.5" customHeight="1">
      <c r="A298" s="73"/>
      <c r="B298" s="73"/>
      <c r="C298" s="73"/>
      <c r="D298" s="73"/>
      <c r="E298" s="73"/>
      <c r="F298" s="73"/>
      <c r="G298" s="73"/>
      <c r="H298" s="73"/>
      <c r="I298" s="73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</row>
    <row r="299" spans="1:26" ht="16.5" customHeight="1">
      <c r="A299" s="73"/>
      <c r="B299" s="73"/>
      <c r="C299" s="73"/>
      <c r="D299" s="73"/>
      <c r="E299" s="73"/>
      <c r="F299" s="73"/>
      <c r="G299" s="73"/>
      <c r="H299" s="73"/>
      <c r="I299" s="73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</row>
    <row r="300" spans="1:26" ht="16.5" customHeight="1">
      <c r="A300" s="73"/>
      <c r="B300" s="73"/>
      <c r="C300" s="73"/>
      <c r="D300" s="73"/>
      <c r="E300" s="73"/>
      <c r="F300" s="73"/>
      <c r="G300" s="73"/>
      <c r="H300" s="73"/>
      <c r="I300" s="73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</row>
    <row r="301" spans="1:26" ht="16.5" customHeight="1">
      <c r="A301" s="73"/>
      <c r="B301" s="73"/>
      <c r="C301" s="73"/>
      <c r="D301" s="73"/>
      <c r="E301" s="73"/>
      <c r="F301" s="73"/>
      <c r="G301" s="73"/>
      <c r="H301" s="73"/>
      <c r="I301" s="73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</row>
    <row r="302" spans="1:26" ht="16.5" customHeight="1">
      <c r="A302" s="73"/>
      <c r="B302" s="73"/>
      <c r="C302" s="73"/>
      <c r="D302" s="73"/>
      <c r="E302" s="73"/>
      <c r="F302" s="73"/>
      <c r="G302" s="73"/>
      <c r="H302" s="73"/>
      <c r="I302" s="73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</row>
    <row r="303" spans="1:26" ht="16.5" customHeight="1">
      <c r="A303" s="73"/>
      <c r="B303" s="73"/>
      <c r="C303" s="73"/>
      <c r="D303" s="73"/>
      <c r="E303" s="73"/>
      <c r="F303" s="73"/>
      <c r="G303" s="73"/>
      <c r="H303" s="73"/>
      <c r="I303" s="73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</row>
    <row r="304" spans="1:26" ht="16.5" customHeight="1">
      <c r="A304" s="73"/>
      <c r="B304" s="73"/>
      <c r="C304" s="73"/>
      <c r="D304" s="73"/>
      <c r="E304" s="73"/>
      <c r="F304" s="73"/>
      <c r="G304" s="73"/>
      <c r="H304" s="73"/>
      <c r="I304" s="73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</row>
    <row r="305" spans="1:26" ht="16.5" customHeight="1">
      <c r="A305" s="73"/>
      <c r="B305" s="73"/>
      <c r="C305" s="73"/>
      <c r="D305" s="73"/>
      <c r="E305" s="73"/>
      <c r="F305" s="73"/>
      <c r="G305" s="73"/>
      <c r="H305" s="73"/>
      <c r="I305" s="73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</row>
    <row r="306" spans="1:26" ht="16.5" customHeight="1">
      <c r="A306" s="73"/>
      <c r="B306" s="73"/>
      <c r="C306" s="73"/>
      <c r="D306" s="73"/>
      <c r="E306" s="73"/>
      <c r="F306" s="73"/>
      <c r="G306" s="73"/>
      <c r="H306" s="73"/>
      <c r="I306" s="73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</row>
    <row r="307" spans="1:26" ht="16.5" customHeight="1">
      <c r="A307" s="73"/>
      <c r="B307" s="73"/>
      <c r="C307" s="73"/>
      <c r="D307" s="73"/>
      <c r="E307" s="73"/>
      <c r="F307" s="73"/>
      <c r="G307" s="73"/>
      <c r="H307" s="73"/>
      <c r="I307" s="73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</row>
    <row r="308" spans="1:26" ht="16.5" customHeight="1">
      <c r="A308" s="73"/>
      <c r="B308" s="73"/>
      <c r="C308" s="73"/>
      <c r="D308" s="73"/>
      <c r="E308" s="73"/>
      <c r="F308" s="73"/>
      <c r="G308" s="73"/>
      <c r="H308" s="73"/>
      <c r="I308" s="73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</row>
    <row r="309" spans="1:26" ht="16.5" customHeight="1">
      <c r="A309" s="73"/>
      <c r="B309" s="73"/>
      <c r="C309" s="73"/>
      <c r="D309" s="73"/>
      <c r="E309" s="73"/>
      <c r="F309" s="73"/>
      <c r="G309" s="73"/>
      <c r="H309" s="73"/>
      <c r="I309" s="73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</row>
    <row r="310" spans="1:26" ht="16.5" customHeight="1">
      <c r="A310" s="73"/>
      <c r="B310" s="73"/>
      <c r="C310" s="73"/>
      <c r="D310" s="73"/>
      <c r="E310" s="73"/>
      <c r="F310" s="73"/>
      <c r="G310" s="73"/>
      <c r="H310" s="73"/>
      <c r="I310" s="73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</row>
    <row r="311" spans="1:26" ht="16.5" customHeight="1">
      <c r="A311" s="73"/>
      <c r="B311" s="73"/>
      <c r="C311" s="73"/>
      <c r="D311" s="73"/>
      <c r="E311" s="73"/>
      <c r="F311" s="73"/>
      <c r="G311" s="73"/>
      <c r="H311" s="73"/>
      <c r="I311" s="73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</row>
    <row r="312" spans="1:26" ht="16.5" customHeight="1">
      <c r="A312" s="73"/>
      <c r="B312" s="73"/>
      <c r="C312" s="73"/>
      <c r="D312" s="73"/>
      <c r="E312" s="73"/>
      <c r="F312" s="73"/>
      <c r="G312" s="73"/>
      <c r="H312" s="73"/>
      <c r="I312" s="73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</row>
    <row r="313" spans="1:26" ht="16.5" customHeight="1">
      <c r="A313" s="73"/>
      <c r="B313" s="73"/>
      <c r="C313" s="73"/>
      <c r="D313" s="73"/>
      <c r="E313" s="73"/>
      <c r="F313" s="73"/>
      <c r="G313" s="73"/>
      <c r="H313" s="73"/>
      <c r="I313" s="73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</row>
    <row r="314" spans="1:26" ht="16.5" customHeight="1">
      <c r="A314" s="73"/>
      <c r="B314" s="73"/>
      <c r="C314" s="73"/>
      <c r="D314" s="73"/>
      <c r="E314" s="73"/>
      <c r="F314" s="73"/>
      <c r="G314" s="73"/>
      <c r="H314" s="73"/>
      <c r="I314" s="73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</row>
    <row r="315" spans="1:26" ht="16.5" customHeight="1">
      <c r="A315" s="73"/>
      <c r="B315" s="73"/>
      <c r="C315" s="73"/>
      <c r="D315" s="73"/>
      <c r="E315" s="73"/>
      <c r="F315" s="73"/>
      <c r="G315" s="73"/>
      <c r="H315" s="73"/>
      <c r="I315" s="73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</row>
    <row r="316" spans="1:26" ht="16.5" customHeight="1">
      <c r="A316" s="73"/>
      <c r="B316" s="73"/>
      <c r="C316" s="73"/>
      <c r="D316" s="73"/>
      <c r="E316" s="73"/>
      <c r="F316" s="73"/>
      <c r="G316" s="73"/>
      <c r="H316" s="73"/>
      <c r="I316" s="73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</row>
    <row r="317" spans="1:26" ht="16.5" customHeight="1">
      <c r="A317" s="73"/>
      <c r="B317" s="73"/>
      <c r="C317" s="73"/>
      <c r="D317" s="73"/>
      <c r="E317" s="73"/>
      <c r="F317" s="73"/>
      <c r="G317" s="73"/>
      <c r="H317" s="73"/>
      <c r="I317" s="73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</row>
    <row r="318" spans="1:26" ht="16.5" customHeight="1">
      <c r="A318" s="73"/>
      <c r="B318" s="73"/>
      <c r="C318" s="73"/>
      <c r="D318" s="73"/>
      <c r="E318" s="73"/>
      <c r="F318" s="73"/>
      <c r="G318" s="73"/>
      <c r="H318" s="73"/>
      <c r="I318" s="73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</row>
    <row r="319" spans="1:26" ht="16.5" customHeight="1">
      <c r="A319" s="73"/>
      <c r="B319" s="73"/>
      <c r="C319" s="73"/>
      <c r="D319" s="73"/>
      <c r="E319" s="73"/>
      <c r="F319" s="73"/>
      <c r="G319" s="73"/>
      <c r="H319" s="73"/>
      <c r="I319" s="73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</row>
    <row r="320" spans="1:26" ht="16.5" customHeight="1">
      <c r="A320" s="73"/>
      <c r="B320" s="73"/>
      <c r="C320" s="73"/>
      <c r="D320" s="73"/>
      <c r="E320" s="73"/>
      <c r="F320" s="73"/>
      <c r="G320" s="73"/>
      <c r="H320" s="73"/>
      <c r="I320" s="73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</row>
    <row r="321" spans="1:26" ht="16.5" customHeight="1">
      <c r="A321" s="73"/>
      <c r="B321" s="73"/>
      <c r="C321" s="73"/>
      <c r="D321" s="73"/>
      <c r="E321" s="73"/>
      <c r="F321" s="73"/>
      <c r="G321" s="73"/>
      <c r="H321" s="73"/>
      <c r="I321" s="73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</row>
    <row r="322" spans="1:26" ht="16.5" customHeight="1">
      <c r="A322" s="73"/>
      <c r="B322" s="73"/>
      <c r="C322" s="73"/>
      <c r="D322" s="73"/>
      <c r="E322" s="73"/>
      <c r="F322" s="73"/>
      <c r="G322" s="73"/>
      <c r="H322" s="73"/>
      <c r="I322" s="73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</row>
    <row r="323" spans="1:26" ht="16.5" customHeight="1">
      <c r="A323" s="73"/>
      <c r="B323" s="73"/>
      <c r="C323" s="73"/>
      <c r="D323" s="73"/>
      <c r="E323" s="73"/>
      <c r="F323" s="73"/>
      <c r="G323" s="73"/>
      <c r="H323" s="73"/>
      <c r="I323" s="73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</row>
    <row r="324" spans="1:26" ht="16.5" customHeight="1">
      <c r="A324" s="73"/>
      <c r="B324" s="73"/>
      <c r="C324" s="73"/>
      <c r="D324" s="73"/>
      <c r="E324" s="73"/>
      <c r="F324" s="73"/>
      <c r="G324" s="73"/>
      <c r="H324" s="73"/>
      <c r="I324" s="73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</row>
    <row r="325" spans="1:26" ht="16.5" customHeight="1">
      <c r="A325" s="73"/>
      <c r="B325" s="73"/>
      <c r="C325" s="73"/>
      <c r="D325" s="73"/>
      <c r="E325" s="73"/>
      <c r="F325" s="73"/>
      <c r="G325" s="73"/>
      <c r="H325" s="73"/>
      <c r="I325" s="73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</row>
    <row r="326" spans="1:26" ht="16.5" customHeight="1">
      <c r="A326" s="73"/>
      <c r="B326" s="73"/>
      <c r="C326" s="73"/>
      <c r="D326" s="73"/>
      <c r="E326" s="73"/>
      <c r="F326" s="73"/>
      <c r="G326" s="73"/>
      <c r="H326" s="73"/>
      <c r="I326" s="73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</row>
    <row r="327" spans="1:26" ht="16.5" customHeight="1">
      <c r="A327" s="73"/>
      <c r="B327" s="73"/>
      <c r="C327" s="73"/>
      <c r="D327" s="73"/>
      <c r="E327" s="73"/>
      <c r="F327" s="73"/>
      <c r="G327" s="73"/>
      <c r="H327" s="73"/>
      <c r="I327" s="73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</row>
    <row r="328" spans="1:26" ht="16.5" customHeight="1">
      <c r="A328" s="73"/>
      <c r="B328" s="73"/>
      <c r="C328" s="73"/>
      <c r="D328" s="73"/>
      <c r="E328" s="73"/>
      <c r="F328" s="73"/>
      <c r="G328" s="73"/>
      <c r="H328" s="73"/>
      <c r="I328" s="73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</row>
    <row r="329" spans="1:26" ht="16.5" customHeight="1">
      <c r="A329" s="73"/>
      <c r="B329" s="73"/>
      <c r="C329" s="73"/>
      <c r="D329" s="73"/>
      <c r="E329" s="73"/>
      <c r="F329" s="73"/>
      <c r="G329" s="73"/>
      <c r="H329" s="73"/>
      <c r="I329" s="73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</row>
    <row r="330" spans="1:26" ht="16.5" customHeight="1">
      <c r="A330" s="73"/>
      <c r="B330" s="73"/>
      <c r="C330" s="73"/>
      <c r="D330" s="73"/>
      <c r="E330" s="73"/>
      <c r="F330" s="73"/>
      <c r="G330" s="73"/>
      <c r="H330" s="73"/>
      <c r="I330" s="73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</row>
    <row r="331" spans="1:26" ht="16.5" customHeight="1">
      <c r="A331" s="73"/>
      <c r="B331" s="73"/>
      <c r="C331" s="73"/>
      <c r="D331" s="73"/>
      <c r="E331" s="73"/>
      <c r="F331" s="73"/>
      <c r="G331" s="73"/>
      <c r="H331" s="73"/>
      <c r="I331" s="73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</row>
    <row r="332" spans="1:26" ht="16.5" customHeight="1">
      <c r="A332" s="73"/>
      <c r="B332" s="73"/>
      <c r="C332" s="73"/>
      <c r="D332" s="73"/>
      <c r="E332" s="73"/>
      <c r="F332" s="73"/>
      <c r="G332" s="73"/>
      <c r="H332" s="73"/>
      <c r="I332" s="73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</row>
    <row r="333" spans="1:26" ht="16.5" customHeight="1">
      <c r="A333" s="73"/>
      <c r="B333" s="73"/>
      <c r="C333" s="73"/>
      <c r="D333" s="73"/>
      <c r="E333" s="73"/>
      <c r="F333" s="73"/>
      <c r="G333" s="73"/>
      <c r="H333" s="73"/>
      <c r="I333" s="73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</row>
    <row r="334" spans="1:26" ht="16.5" customHeight="1">
      <c r="A334" s="73"/>
      <c r="B334" s="73"/>
      <c r="C334" s="73"/>
      <c r="D334" s="73"/>
      <c r="E334" s="73"/>
      <c r="F334" s="73"/>
      <c r="G334" s="73"/>
      <c r="H334" s="73"/>
      <c r="I334" s="73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</row>
    <row r="335" spans="1:26" ht="16.5" customHeight="1">
      <c r="A335" s="73"/>
      <c r="B335" s="73"/>
      <c r="C335" s="73"/>
      <c r="D335" s="73"/>
      <c r="E335" s="73"/>
      <c r="F335" s="73"/>
      <c r="G335" s="73"/>
      <c r="H335" s="73"/>
      <c r="I335" s="73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</row>
    <row r="336" spans="1:26" ht="16.5" customHeight="1">
      <c r="A336" s="73"/>
      <c r="B336" s="73"/>
      <c r="C336" s="73"/>
      <c r="D336" s="73"/>
      <c r="E336" s="73"/>
      <c r="F336" s="73"/>
      <c r="G336" s="73"/>
      <c r="H336" s="73"/>
      <c r="I336" s="73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</row>
    <row r="337" spans="1:26" ht="16.5" customHeight="1">
      <c r="A337" s="73"/>
      <c r="B337" s="73"/>
      <c r="C337" s="73"/>
      <c r="D337" s="73"/>
      <c r="E337" s="73"/>
      <c r="F337" s="73"/>
      <c r="G337" s="73"/>
      <c r="H337" s="73"/>
      <c r="I337" s="73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</row>
    <row r="338" spans="1:26" ht="16.5" customHeight="1">
      <c r="A338" s="73"/>
      <c r="B338" s="73"/>
      <c r="C338" s="73"/>
      <c r="D338" s="73"/>
      <c r="E338" s="73"/>
      <c r="F338" s="73"/>
      <c r="G338" s="73"/>
      <c r="H338" s="73"/>
      <c r="I338" s="73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</row>
    <row r="339" spans="1:26" ht="16.5" customHeight="1">
      <c r="A339" s="73"/>
      <c r="B339" s="73"/>
      <c r="C339" s="73"/>
      <c r="D339" s="73"/>
      <c r="E339" s="73"/>
      <c r="F339" s="73"/>
      <c r="G339" s="73"/>
      <c r="H339" s="73"/>
      <c r="I339" s="73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</row>
    <row r="340" spans="1:26" ht="16.5" customHeight="1">
      <c r="A340" s="73"/>
      <c r="B340" s="73"/>
      <c r="C340" s="73"/>
      <c r="D340" s="73"/>
      <c r="E340" s="73"/>
      <c r="F340" s="73"/>
      <c r="G340" s="73"/>
      <c r="H340" s="73"/>
      <c r="I340" s="73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</row>
    <row r="341" spans="1:26" ht="16.5" customHeight="1">
      <c r="A341" s="73"/>
      <c r="B341" s="73"/>
      <c r="C341" s="73"/>
      <c r="D341" s="73"/>
      <c r="E341" s="73"/>
      <c r="F341" s="73"/>
      <c r="G341" s="73"/>
      <c r="H341" s="73"/>
      <c r="I341" s="73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</row>
    <row r="342" spans="1:26" ht="16.5" customHeight="1">
      <c r="A342" s="73"/>
      <c r="B342" s="73"/>
      <c r="C342" s="73"/>
      <c r="D342" s="73"/>
      <c r="E342" s="73"/>
      <c r="F342" s="73"/>
      <c r="G342" s="73"/>
      <c r="H342" s="73"/>
      <c r="I342" s="73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</row>
    <row r="343" spans="1:26" ht="16.5" customHeight="1">
      <c r="A343" s="73"/>
      <c r="B343" s="73"/>
      <c r="C343" s="73"/>
      <c r="D343" s="73"/>
      <c r="E343" s="73"/>
      <c r="F343" s="73"/>
      <c r="G343" s="73"/>
      <c r="H343" s="73"/>
      <c r="I343" s="73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</row>
    <row r="344" spans="1:26" ht="16.5" customHeight="1">
      <c r="A344" s="73"/>
      <c r="B344" s="73"/>
      <c r="C344" s="73"/>
      <c r="D344" s="73"/>
      <c r="E344" s="73"/>
      <c r="F344" s="73"/>
      <c r="G344" s="73"/>
      <c r="H344" s="73"/>
      <c r="I344" s="73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</row>
    <row r="345" spans="1:26" ht="16.5" customHeight="1">
      <c r="A345" s="73"/>
      <c r="B345" s="73"/>
      <c r="C345" s="73"/>
      <c r="D345" s="73"/>
      <c r="E345" s="73"/>
      <c r="F345" s="73"/>
      <c r="G345" s="73"/>
      <c r="H345" s="73"/>
      <c r="I345" s="73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</row>
    <row r="346" spans="1:26" ht="16.5" customHeight="1">
      <c r="A346" s="73"/>
      <c r="B346" s="73"/>
      <c r="C346" s="73"/>
      <c r="D346" s="73"/>
      <c r="E346" s="73"/>
      <c r="F346" s="73"/>
      <c r="G346" s="73"/>
      <c r="H346" s="73"/>
      <c r="I346" s="73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</row>
    <row r="347" spans="1:26" ht="16.5" customHeight="1">
      <c r="A347" s="73"/>
      <c r="B347" s="73"/>
      <c r="C347" s="73"/>
      <c r="D347" s="73"/>
      <c r="E347" s="73"/>
      <c r="F347" s="73"/>
      <c r="G347" s="73"/>
      <c r="H347" s="73"/>
      <c r="I347" s="73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</row>
    <row r="348" spans="1:26" ht="16.5" customHeight="1">
      <c r="A348" s="73"/>
      <c r="B348" s="73"/>
      <c r="C348" s="73"/>
      <c r="D348" s="73"/>
      <c r="E348" s="73"/>
      <c r="F348" s="73"/>
      <c r="G348" s="73"/>
      <c r="H348" s="73"/>
      <c r="I348" s="73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</row>
    <row r="349" spans="1:26" ht="16.5" customHeight="1">
      <c r="A349" s="73"/>
      <c r="B349" s="73"/>
      <c r="C349" s="73"/>
      <c r="D349" s="73"/>
      <c r="E349" s="73"/>
      <c r="F349" s="73"/>
      <c r="G349" s="73"/>
      <c r="H349" s="73"/>
      <c r="I349" s="73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</row>
    <row r="350" spans="1:26" ht="16.5" customHeight="1">
      <c r="A350" s="73"/>
      <c r="B350" s="73"/>
      <c r="C350" s="73"/>
      <c r="D350" s="73"/>
      <c r="E350" s="73"/>
      <c r="F350" s="73"/>
      <c r="G350" s="73"/>
      <c r="H350" s="73"/>
      <c r="I350" s="73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</row>
    <row r="351" spans="1:26" ht="16.5" customHeight="1">
      <c r="A351" s="73"/>
      <c r="B351" s="73"/>
      <c r="C351" s="73"/>
      <c r="D351" s="73"/>
      <c r="E351" s="73"/>
      <c r="F351" s="73"/>
      <c r="G351" s="73"/>
      <c r="H351" s="73"/>
      <c r="I351" s="73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</row>
    <row r="352" spans="1:26" ht="16.5" customHeight="1">
      <c r="A352" s="73"/>
      <c r="B352" s="73"/>
      <c r="C352" s="73"/>
      <c r="D352" s="73"/>
      <c r="E352" s="73"/>
      <c r="F352" s="73"/>
      <c r="G352" s="73"/>
      <c r="H352" s="73"/>
      <c r="I352" s="73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</row>
    <row r="353" spans="1:26" ht="16.5" customHeight="1">
      <c r="A353" s="73"/>
      <c r="B353" s="73"/>
      <c r="C353" s="73"/>
      <c r="D353" s="73"/>
      <c r="E353" s="73"/>
      <c r="F353" s="73"/>
      <c r="G353" s="73"/>
      <c r="H353" s="73"/>
      <c r="I353" s="73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</row>
    <row r="354" spans="1:26" ht="16.5" customHeight="1">
      <c r="A354" s="73"/>
      <c r="B354" s="73"/>
      <c r="C354" s="73"/>
      <c r="D354" s="73"/>
      <c r="E354" s="73"/>
      <c r="F354" s="73"/>
      <c r="G354" s="73"/>
      <c r="H354" s="73"/>
      <c r="I354" s="73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</row>
    <row r="355" spans="1:26" ht="16.5" customHeight="1">
      <c r="A355" s="73"/>
      <c r="B355" s="73"/>
      <c r="C355" s="73"/>
      <c r="D355" s="73"/>
      <c r="E355" s="73"/>
      <c r="F355" s="73"/>
      <c r="G355" s="73"/>
      <c r="H355" s="73"/>
      <c r="I355" s="73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</row>
    <row r="356" spans="1:26" ht="16.5" customHeight="1">
      <c r="A356" s="73"/>
      <c r="B356" s="73"/>
      <c r="C356" s="73"/>
      <c r="D356" s="73"/>
      <c r="E356" s="73"/>
      <c r="F356" s="73"/>
      <c r="G356" s="73"/>
      <c r="H356" s="73"/>
      <c r="I356" s="73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</row>
    <row r="357" spans="1:26" ht="16.5" customHeight="1">
      <c r="A357" s="73"/>
      <c r="B357" s="73"/>
      <c r="C357" s="73"/>
      <c r="D357" s="73"/>
      <c r="E357" s="73"/>
      <c r="F357" s="73"/>
      <c r="G357" s="73"/>
      <c r="H357" s="73"/>
      <c r="I357" s="73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</row>
    <row r="358" spans="1:26" ht="16.5" customHeight="1">
      <c r="A358" s="73"/>
      <c r="B358" s="73"/>
      <c r="C358" s="73"/>
      <c r="D358" s="73"/>
      <c r="E358" s="73"/>
      <c r="F358" s="73"/>
      <c r="G358" s="73"/>
      <c r="H358" s="73"/>
      <c r="I358" s="73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</row>
    <row r="359" spans="1:26" ht="16.5" customHeight="1">
      <c r="A359" s="73"/>
      <c r="B359" s="73"/>
      <c r="C359" s="73"/>
      <c r="D359" s="73"/>
      <c r="E359" s="73"/>
      <c r="F359" s="73"/>
      <c r="G359" s="73"/>
      <c r="H359" s="73"/>
      <c r="I359" s="73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</row>
    <row r="360" spans="1:26" ht="16.5" customHeight="1">
      <c r="A360" s="73"/>
      <c r="B360" s="73"/>
      <c r="C360" s="73"/>
      <c r="D360" s="73"/>
      <c r="E360" s="73"/>
      <c r="F360" s="73"/>
      <c r="G360" s="73"/>
      <c r="H360" s="73"/>
      <c r="I360" s="73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</row>
    <row r="361" spans="1:26" ht="16.5" customHeight="1">
      <c r="A361" s="73"/>
      <c r="B361" s="73"/>
      <c r="C361" s="73"/>
      <c r="D361" s="73"/>
      <c r="E361" s="73"/>
      <c r="F361" s="73"/>
      <c r="G361" s="73"/>
      <c r="H361" s="73"/>
      <c r="I361" s="73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</row>
    <row r="362" spans="1:26" ht="16.5" customHeight="1">
      <c r="A362" s="73"/>
      <c r="B362" s="73"/>
      <c r="C362" s="73"/>
      <c r="D362" s="73"/>
      <c r="E362" s="73"/>
      <c r="F362" s="73"/>
      <c r="G362" s="73"/>
      <c r="H362" s="73"/>
      <c r="I362" s="73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</row>
    <row r="363" spans="1:26" ht="16.5" customHeight="1">
      <c r="A363" s="73"/>
      <c r="B363" s="73"/>
      <c r="C363" s="73"/>
      <c r="D363" s="73"/>
      <c r="E363" s="73"/>
      <c r="F363" s="73"/>
      <c r="G363" s="73"/>
      <c r="H363" s="73"/>
      <c r="I363" s="73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</row>
    <row r="364" spans="1:26" ht="16.5" customHeight="1">
      <c r="A364" s="73"/>
      <c r="B364" s="73"/>
      <c r="C364" s="73"/>
      <c r="D364" s="73"/>
      <c r="E364" s="73"/>
      <c r="F364" s="73"/>
      <c r="G364" s="73"/>
      <c r="H364" s="73"/>
      <c r="I364" s="73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</row>
    <row r="365" spans="1:26" ht="16.5" customHeight="1">
      <c r="A365" s="73"/>
      <c r="B365" s="73"/>
      <c r="C365" s="73"/>
      <c r="D365" s="73"/>
      <c r="E365" s="73"/>
      <c r="F365" s="73"/>
      <c r="G365" s="73"/>
      <c r="H365" s="73"/>
      <c r="I365" s="73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</row>
    <row r="366" spans="1:26" ht="16.5" customHeight="1">
      <c r="A366" s="73"/>
      <c r="B366" s="73"/>
      <c r="C366" s="73"/>
      <c r="D366" s="73"/>
      <c r="E366" s="73"/>
      <c r="F366" s="73"/>
      <c r="G366" s="73"/>
      <c r="H366" s="73"/>
      <c r="I366" s="73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</row>
    <row r="367" spans="1:26" ht="16.5" customHeight="1">
      <c r="A367" s="73"/>
      <c r="B367" s="73"/>
      <c r="C367" s="73"/>
      <c r="D367" s="73"/>
      <c r="E367" s="73"/>
      <c r="F367" s="73"/>
      <c r="G367" s="73"/>
      <c r="H367" s="73"/>
      <c r="I367" s="73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</row>
    <row r="368" spans="1:26" ht="16.5" customHeight="1">
      <c r="A368" s="73"/>
      <c r="B368" s="73"/>
      <c r="C368" s="73"/>
      <c r="D368" s="73"/>
      <c r="E368" s="73"/>
      <c r="F368" s="73"/>
      <c r="G368" s="73"/>
      <c r="H368" s="73"/>
      <c r="I368" s="73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</row>
    <row r="369" spans="1:26" ht="16.5" customHeight="1">
      <c r="A369" s="73"/>
      <c r="B369" s="73"/>
      <c r="C369" s="73"/>
      <c r="D369" s="73"/>
      <c r="E369" s="73"/>
      <c r="F369" s="73"/>
      <c r="G369" s="73"/>
      <c r="H369" s="73"/>
      <c r="I369" s="73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</row>
    <row r="370" spans="1:26" ht="16.5" customHeight="1">
      <c r="A370" s="73"/>
      <c r="B370" s="73"/>
      <c r="C370" s="73"/>
      <c r="D370" s="73"/>
      <c r="E370" s="73"/>
      <c r="F370" s="73"/>
      <c r="G370" s="73"/>
      <c r="H370" s="73"/>
      <c r="I370" s="73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</row>
    <row r="371" spans="1:26" ht="16.5" customHeight="1">
      <c r="A371" s="73"/>
      <c r="B371" s="73"/>
      <c r="C371" s="73"/>
      <c r="D371" s="73"/>
      <c r="E371" s="73"/>
      <c r="F371" s="73"/>
      <c r="G371" s="73"/>
      <c r="H371" s="73"/>
      <c r="I371" s="73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</row>
    <row r="372" spans="1:26" ht="16.5" customHeight="1">
      <c r="A372" s="73"/>
      <c r="B372" s="73"/>
      <c r="C372" s="73"/>
      <c r="D372" s="73"/>
      <c r="E372" s="73"/>
      <c r="F372" s="73"/>
      <c r="G372" s="73"/>
      <c r="H372" s="73"/>
      <c r="I372" s="73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</row>
    <row r="373" spans="1:26" ht="16.5" customHeight="1">
      <c r="A373" s="73"/>
      <c r="B373" s="73"/>
      <c r="C373" s="73"/>
      <c r="D373" s="73"/>
      <c r="E373" s="73"/>
      <c r="F373" s="73"/>
      <c r="G373" s="73"/>
      <c r="H373" s="73"/>
      <c r="I373" s="73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</row>
    <row r="374" spans="1:26" ht="16.5" customHeight="1">
      <c r="A374" s="73"/>
      <c r="B374" s="73"/>
      <c r="C374" s="73"/>
      <c r="D374" s="73"/>
      <c r="E374" s="73"/>
      <c r="F374" s="73"/>
      <c r="G374" s="73"/>
      <c r="H374" s="73"/>
      <c r="I374" s="73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</row>
    <row r="375" spans="1:26" ht="16.5" customHeight="1">
      <c r="A375" s="73"/>
      <c r="B375" s="73"/>
      <c r="C375" s="73"/>
      <c r="D375" s="73"/>
      <c r="E375" s="73"/>
      <c r="F375" s="73"/>
      <c r="G375" s="73"/>
      <c r="H375" s="73"/>
      <c r="I375" s="73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</row>
    <row r="376" spans="1:26" ht="16.5" customHeight="1">
      <c r="A376" s="73"/>
      <c r="B376" s="73"/>
      <c r="C376" s="73"/>
      <c r="D376" s="73"/>
      <c r="E376" s="73"/>
      <c r="F376" s="73"/>
      <c r="G376" s="73"/>
      <c r="H376" s="73"/>
      <c r="I376" s="73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</row>
    <row r="377" spans="1:26" ht="16.5" customHeight="1">
      <c r="A377" s="73"/>
      <c r="B377" s="73"/>
      <c r="C377" s="73"/>
      <c r="D377" s="73"/>
      <c r="E377" s="73"/>
      <c r="F377" s="73"/>
      <c r="G377" s="73"/>
      <c r="H377" s="73"/>
      <c r="I377" s="73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</row>
    <row r="378" spans="1:26" ht="16.5" customHeight="1">
      <c r="A378" s="73"/>
      <c r="B378" s="73"/>
      <c r="C378" s="73"/>
      <c r="D378" s="73"/>
      <c r="E378" s="73"/>
      <c r="F378" s="73"/>
      <c r="G378" s="73"/>
      <c r="H378" s="73"/>
      <c r="I378" s="73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</row>
    <row r="379" spans="1:26" ht="16.5" customHeight="1">
      <c r="A379" s="73"/>
      <c r="B379" s="73"/>
      <c r="C379" s="73"/>
      <c r="D379" s="73"/>
      <c r="E379" s="73"/>
      <c r="F379" s="73"/>
      <c r="G379" s="73"/>
      <c r="H379" s="73"/>
      <c r="I379" s="73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</row>
    <row r="380" spans="1:26" ht="16.5" customHeight="1">
      <c r="A380" s="73"/>
      <c r="B380" s="73"/>
      <c r="C380" s="73"/>
      <c r="D380" s="73"/>
      <c r="E380" s="73"/>
      <c r="F380" s="73"/>
      <c r="G380" s="73"/>
      <c r="H380" s="73"/>
      <c r="I380" s="73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</row>
    <row r="381" spans="1:26" ht="16.5" customHeight="1">
      <c r="A381" s="73"/>
      <c r="B381" s="73"/>
      <c r="C381" s="73"/>
      <c r="D381" s="73"/>
      <c r="E381" s="73"/>
      <c r="F381" s="73"/>
      <c r="G381" s="73"/>
      <c r="H381" s="73"/>
      <c r="I381" s="73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</row>
    <row r="382" spans="1:26" ht="16.5" customHeight="1">
      <c r="A382" s="73"/>
      <c r="B382" s="73"/>
      <c r="C382" s="73"/>
      <c r="D382" s="73"/>
      <c r="E382" s="73"/>
      <c r="F382" s="73"/>
      <c r="G382" s="73"/>
      <c r="H382" s="73"/>
      <c r="I382" s="73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</row>
    <row r="383" spans="1:26" ht="16.5" customHeight="1">
      <c r="A383" s="73"/>
      <c r="B383" s="73"/>
      <c r="C383" s="73"/>
      <c r="D383" s="73"/>
      <c r="E383" s="73"/>
      <c r="F383" s="73"/>
      <c r="G383" s="73"/>
      <c r="H383" s="73"/>
      <c r="I383" s="73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</row>
    <row r="384" spans="1:26" ht="16.5" customHeight="1">
      <c r="A384" s="73"/>
      <c r="B384" s="73"/>
      <c r="C384" s="73"/>
      <c r="D384" s="73"/>
      <c r="E384" s="73"/>
      <c r="F384" s="73"/>
      <c r="G384" s="73"/>
      <c r="H384" s="73"/>
      <c r="I384" s="73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</row>
    <row r="385" spans="1:26" ht="16.5" customHeight="1">
      <c r="A385" s="73"/>
      <c r="B385" s="73"/>
      <c r="C385" s="73"/>
      <c r="D385" s="73"/>
      <c r="E385" s="73"/>
      <c r="F385" s="73"/>
      <c r="G385" s="73"/>
      <c r="H385" s="73"/>
      <c r="I385" s="73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</row>
    <row r="386" spans="1:26" ht="16.5" customHeight="1">
      <c r="A386" s="73"/>
      <c r="B386" s="73"/>
      <c r="C386" s="73"/>
      <c r="D386" s="73"/>
      <c r="E386" s="73"/>
      <c r="F386" s="73"/>
      <c r="G386" s="73"/>
      <c r="H386" s="73"/>
      <c r="I386" s="73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</row>
    <row r="387" spans="1:26" ht="16.5" customHeight="1">
      <c r="A387" s="73"/>
      <c r="B387" s="73"/>
      <c r="C387" s="73"/>
      <c r="D387" s="73"/>
      <c r="E387" s="73"/>
      <c r="F387" s="73"/>
      <c r="G387" s="73"/>
      <c r="H387" s="73"/>
      <c r="I387" s="73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</row>
    <row r="388" spans="1:26" ht="16.5" customHeight="1">
      <c r="A388" s="73"/>
      <c r="B388" s="73"/>
      <c r="C388" s="73"/>
      <c r="D388" s="73"/>
      <c r="E388" s="73"/>
      <c r="F388" s="73"/>
      <c r="G388" s="73"/>
      <c r="H388" s="73"/>
      <c r="I388" s="73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</row>
    <row r="389" spans="1:26" ht="16.5" customHeight="1">
      <c r="A389" s="73"/>
      <c r="B389" s="73"/>
      <c r="C389" s="73"/>
      <c r="D389" s="73"/>
      <c r="E389" s="73"/>
      <c r="F389" s="73"/>
      <c r="G389" s="73"/>
      <c r="H389" s="73"/>
      <c r="I389" s="73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</row>
    <row r="390" spans="1:26" ht="16.5" customHeight="1">
      <c r="A390" s="73"/>
      <c r="B390" s="73"/>
      <c r="C390" s="73"/>
      <c r="D390" s="73"/>
      <c r="E390" s="73"/>
      <c r="F390" s="73"/>
      <c r="G390" s="73"/>
      <c r="H390" s="73"/>
      <c r="I390" s="73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</row>
    <row r="391" spans="1:26" ht="16.5" customHeight="1">
      <c r="A391" s="73"/>
      <c r="B391" s="73"/>
      <c r="C391" s="73"/>
      <c r="D391" s="73"/>
      <c r="E391" s="73"/>
      <c r="F391" s="73"/>
      <c r="G391" s="73"/>
      <c r="H391" s="73"/>
      <c r="I391" s="73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</row>
    <row r="392" spans="1:26" ht="16.5" customHeight="1">
      <c r="A392" s="73"/>
      <c r="B392" s="73"/>
      <c r="C392" s="73"/>
      <c r="D392" s="73"/>
      <c r="E392" s="73"/>
      <c r="F392" s="73"/>
      <c r="G392" s="73"/>
      <c r="H392" s="73"/>
      <c r="I392" s="73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</row>
    <row r="393" spans="1:26" ht="16.5" customHeight="1">
      <c r="A393" s="73"/>
      <c r="B393" s="73"/>
      <c r="C393" s="73"/>
      <c r="D393" s="73"/>
      <c r="E393" s="73"/>
      <c r="F393" s="73"/>
      <c r="G393" s="73"/>
      <c r="H393" s="73"/>
      <c r="I393" s="73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</row>
    <row r="394" spans="1:26" ht="16.5" customHeight="1">
      <c r="A394" s="73"/>
      <c r="B394" s="73"/>
      <c r="C394" s="73"/>
      <c r="D394" s="73"/>
      <c r="E394" s="73"/>
      <c r="F394" s="73"/>
      <c r="G394" s="73"/>
      <c r="H394" s="73"/>
      <c r="I394" s="73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</row>
    <row r="395" spans="1:26" ht="16.5" customHeight="1">
      <c r="A395" s="73"/>
      <c r="B395" s="73"/>
      <c r="C395" s="73"/>
      <c r="D395" s="73"/>
      <c r="E395" s="73"/>
      <c r="F395" s="73"/>
      <c r="G395" s="73"/>
      <c r="H395" s="73"/>
      <c r="I395" s="73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</row>
    <row r="396" spans="1:26" ht="16.5" customHeight="1">
      <c r="A396" s="73"/>
      <c r="B396" s="73"/>
      <c r="C396" s="73"/>
      <c r="D396" s="73"/>
      <c r="E396" s="73"/>
      <c r="F396" s="73"/>
      <c r="G396" s="73"/>
      <c r="H396" s="73"/>
      <c r="I396" s="73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</row>
    <row r="397" spans="1:26" ht="16.5" customHeight="1">
      <c r="A397" s="73"/>
      <c r="B397" s="73"/>
      <c r="C397" s="73"/>
      <c r="D397" s="73"/>
      <c r="E397" s="73"/>
      <c r="F397" s="73"/>
      <c r="G397" s="73"/>
      <c r="H397" s="73"/>
      <c r="I397" s="73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</row>
    <row r="398" spans="1:26" ht="16.5" customHeight="1">
      <c r="A398" s="73"/>
      <c r="B398" s="73"/>
      <c r="C398" s="73"/>
      <c r="D398" s="73"/>
      <c r="E398" s="73"/>
      <c r="F398" s="73"/>
      <c r="G398" s="73"/>
      <c r="H398" s="73"/>
      <c r="I398" s="73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</row>
    <row r="399" spans="1:26" ht="16.5" customHeight="1">
      <c r="A399" s="73"/>
      <c r="B399" s="73"/>
      <c r="C399" s="73"/>
      <c r="D399" s="73"/>
      <c r="E399" s="73"/>
      <c r="F399" s="73"/>
      <c r="G399" s="73"/>
      <c r="H399" s="73"/>
      <c r="I399" s="73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</row>
    <row r="400" spans="1:26" ht="16.5" customHeight="1">
      <c r="A400" s="73"/>
      <c r="B400" s="73"/>
      <c r="C400" s="73"/>
      <c r="D400" s="73"/>
      <c r="E400" s="73"/>
      <c r="F400" s="73"/>
      <c r="G400" s="73"/>
      <c r="H400" s="73"/>
      <c r="I400" s="73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</row>
    <row r="401" spans="1:26" ht="16.5" customHeight="1">
      <c r="A401" s="73"/>
      <c r="B401" s="73"/>
      <c r="C401" s="73"/>
      <c r="D401" s="73"/>
      <c r="E401" s="73"/>
      <c r="F401" s="73"/>
      <c r="G401" s="73"/>
      <c r="H401" s="73"/>
      <c r="I401" s="73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</row>
    <row r="402" spans="1:26" ht="16.5" customHeight="1">
      <c r="A402" s="73"/>
      <c r="B402" s="73"/>
      <c r="C402" s="73"/>
      <c r="D402" s="73"/>
      <c r="E402" s="73"/>
      <c r="F402" s="73"/>
      <c r="G402" s="73"/>
      <c r="H402" s="73"/>
      <c r="I402" s="73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</row>
    <row r="403" spans="1:26" ht="16.5" customHeight="1">
      <c r="A403" s="73"/>
      <c r="B403" s="73"/>
      <c r="C403" s="73"/>
      <c r="D403" s="73"/>
      <c r="E403" s="73"/>
      <c r="F403" s="73"/>
      <c r="G403" s="73"/>
      <c r="H403" s="73"/>
      <c r="I403" s="73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</row>
    <row r="404" spans="1:26" ht="16.5" customHeight="1">
      <c r="A404" s="73"/>
      <c r="B404" s="73"/>
      <c r="C404" s="73"/>
      <c r="D404" s="73"/>
      <c r="E404" s="73"/>
      <c r="F404" s="73"/>
      <c r="G404" s="73"/>
      <c r="H404" s="73"/>
      <c r="I404" s="73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</row>
    <row r="405" spans="1:26" ht="16.5" customHeight="1">
      <c r="A405" s="73"/>
      <c r="B405" s="73"/>
      <c r="C405" s="73"/>
      <c r="D405" s="73"/>
      <c r="E405" s="73"/>
      <c r="F405" s="73"/>
      <c r="G405" s="73"/>
      <c r="H405" s="73"/>
      <c r="I405" s="73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</row>
    <row r="406" spans="1:26" ht="16.5" customHeight="1">
      <c r="A406" s="73"/>
      <c r="B406" s="73"/>
      <c r="C406" s="73"/>
      <c r="D406" s="73"/>
      <c r="E406" s="73"/>
      <c r="F406" s="73"/>
      <c r="G406" s="73"/>
      <c r="H406" s="73"/>
      <c r="I406" s="73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</row>
    <row r="407" spans="1:26" ht="16.5" customHeight="1">
      <c r="A407" s="73"/>
      <c r="B407" s="73"/>
      <c r="C407" s="73"/>
      <c r="D407" s="73"/>
      <c r="E407" s="73"/>
      <c r="F407" s="73"/>
      <c r="G407" s="73"/>
      <c r="H407" s="73"/>
      <c r="I407" s="73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</row>
    <row r="408" spans="1:26" ht="16.5" customHeight="1">
      <c r="A408" s="73"/>
      <c r="B408" s="73"/>
      <c r="C408" s="73"/>
      <c r="D408" s="73"/>
      <c r="E408" s="73"/>
      <c r="F408" s="73"/>
      <c r="G408" s="73"/>
      <c r="H408" s="73"/>
      <c r="I408" s="73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</row>
    <row r="409" spans="1:26" ht="16.5" customHeight="1">
      <c r="A409" s="73"/>
      <c r="B409" s="73"/>
      <c r="C409" s="73"/>
      <c r="D409" s="73"/>
      <c r="E409" s="73"/>
      <c r="F409" s="73"/>
      <c r="G409" s="73"/>
      <c r="H409" s="73"/>
      <c r="I409" s="73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</row>
    <row r="410" spans="1:26" ht="16.5" customHeight="1">
      <c r="A410" s="73"/>
      <c r="B410" s="73"/>
      <c r="C410" s="73"/>
      <c r="D410" s="73"/>
      <c r="E410" s="73"/>
      <c r="F410" s="73"/>
      <c r="G410" s="73"/>
      <c r="H410" s="73"/>
      <c r="I410" s="73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</row>
    <row r="411" spans="1:26" ht="16.5" customHeight="1">
      <c r="A411" s="73"/>
      <c r="B411" s="73"/>
      <c r="C411" s="73"/>
      <c r="D411" s="73"/>
      <c r="E411" s="73"/>
      <c r="F411" s="73"/>
      <c r="G411" s="73"/>
      <c r="H411" s="73"/>
      <c r="I411" s="73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</row>
    <row r="412" spans="1:26" ht="16.5" customHeight="1">
      <c r="A412" s="73"/>
      <c r="B412" s="73"/>
      <c r="C412" s="73"/>
      <c r="D412" s="73"/>
      <c r="E412" s="73"/>
      <c r="F412" s="73"/>
      <c r="G412" s="73"/>
      <c r="H412" s="73"/>
      <c r="I412" s="73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</row>
    <row r="413" spans="1:26" ht="16.5" customHeight="1">
      <c r="A413" s="73"/>
      <c r="B413" s="73"/>
      <c r="C413" s="73"/>
      <c r="D413" s="73"/>
      <c r="E413" s="73"/>
      <c r="F413" s="73"/>
      <c r="G413" s="73"/>
      <c r="H413" s="73"/>
      <c r="I413" s="73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</row>
    <row r="414" spans="1:26" ht="16.5" customHeight="1">
      <c r="A414" s="73"/>
      <c r="B414" s="73"/>
      <c r="C414" s="73"/>
      <c r="D414" s="73"/>
      <c r="E414" s="73"/>
      <c r="F414" s="73"/>
      <c r="G414" s="73"/>
      <c r="H414" s="73"/>
      <c r="I414" s="73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</row>
    <row r="415" spans="1:26" ht="16.5" customHeight="1">
      <c r="A415" s="73"/>
      <c r="B415" s="73"/>
      <c r="C415" s="73"/>
      <c r="D415" s="73"/>
      <c r="E415" s="73"/>
      <c r="F415" s="73"/>
      <c r="G415" s="73"/>
      <c r="H415" s="73"/>
      <c r="I415" s="73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</row>
    <row r="416" spans="1:26" ht="16.5" customHeight="1">
      <c r="A416" s="73"/>
      <c r="B416" s="73"/>
      <c r="C416" s="73"/>
      <c r="D416" s="73"/>
      <c r="E416" s="73"/>
      <c r="F416" s="73"/>
      <c r="G416" s="73"/>
      <c r="H416" s="73"/>
      <c r="I416" s="73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</row>
    <row r="417" spans="1:26" ht="16.5" customHeight="1">
      <c r="A417" s="73"/>
      <c r="B417" s="73"/>
      <c r="C417" s="73"/>
      <c r="D417" s="73"/>
      <c r="E417" s="73"/>
      <c r="F417" s="73"/>
      <c r="G417" s="73"/>
      <c r="H417" s="73"/>
      <c r="I417" s="73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</row>
    <row r="418" spans="1:26" ht="16.5" customHeight="1">
      <c r="A418" s="73"/>
      <c r="B418" s="73"/>
      <c r="C418" s="73"/>
      <c r="D418" s="73"/>
      <c r="E418" s="73"/>
      <c r="F418" s="73"/>
      <c r="G418" s="73"/>
      <c r="H418" s="73"/>
      <c r="I418" s="73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</row>
    <row r="419" spans="1:26" ht="16.5" customHeight="1">
      <c r="A419" s="73"/>
      <c r="B419" s="73"/>
      <c r="C419" s="73"/>
      <c r="D419" s="73"/>
      <c r="E419" s="73"/>
      <c r="F419" s="73"/>
      <c r="G419" s="73"/>
      <c r="H419" s="73"/>
      <c r="I419" s="73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</row>
    <row r="420" spans="1:26" ht="16.5" customHeight="1">
      <c r="A420" s="73"/>
      <c r="B420" s="73"/>
      <c r="C420" s="73"/>
      <c r="D420" s="73"/>
      <c r="E420" s="73"/>
      <c r="F420" s="73"/>
      <c r="G420" s="73"/>
      <c r="H420" s="73"/>
      <c r="I420" s="73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</row>
    <row r="421" spans="1:26" ht="16.5" customHeight="1">
      <c r="A421" s="73"/>
      <c r="B421" s="73"/>
      <c r="C421" s="73"/>
      <c r="D421" s="73"/>
      <c r="E421" s="73"/>
      <c r="F421" s="73"/>
      <c r="G421" s="73"/>
      <c r="H421" s="73"/>
      <c r="I421" s="73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</row>
    <row r="422" spans="1:26" ht="16.5" customHeight="1">
      <c r="A422" s="73"/>
      <c r="B422" s="73"/>
      <c r="C422" s="73"/>
      <c r="D422" s="73"/>
      <c r="E422" s="73"/>
      <c r="F422" s="73"/>
      <c r="G422" s="73"/>
      <c r="H422" s="73"/>
      <c r="I422" s="73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</row>
    <row r="423" spans="1:26" ht="16.5" customHeight="1">
      <c r="A423" s="73"/>
      <c r="B423" s="73"/>
      <c r="C423" s="73"/>
      <c r="D423" s="73"/>
      <c r="E423" s="73"/>
      <c r="F423" s="73"/>
      <c r="G423" s="73"/>
      <c r="H423" s="73"/>
      <c r="I423" s="73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</row>
    <row r="424" spans="1:26" ht="16.5" customHeight="1">
      <c r="A424" s="73"/>
      <c r="B424" s="73"/>
      <c r="C424" s="73"/>
      <c r="D424" s="73"/>
      <c r="E424" s="73"/>
      <c r="F424" s="73"/>
      <c r="G424" s="73"/>
      <c r="H424" s="73"/>
      <c r="I424" s="73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</row>
    <row r="425" spans="1:26" ht="16.5" customHeight="1">
      <c r="A425" s="73"/>
      <c r="B425" s="73"/>
      <c r="C425" s="73"/>
      <c r="D425" s="73"/>
      <c r="E425" s="73"/>
      <c r="F425" s="73"/>
      <c r="G425" s="73"/>
      <c r="H425" s="73"/>
      <c r="I425" s="73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</row>
    <row r="426" spans="1:26" ht="16.5" customHeight="1">
      <c r="A426" s="73"/>
      <c r="B426" s="73"/>
      <c r="C426" s="73"/>
      <c r="D426" s="73"/>
      <c r="E426" s="73"/>
      <c r="F426" s="73"/>
      <c r="G426" s="73"/>
      <c r="H426" s="73"/>
      <c r="I426" s="73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</row>
    <row r="427" spans="1:26" ht="16.5" customHeight="1">
      <c r="A427" s="73"/>
      <c r="B427" s="73"/>
      <c r="C427" s="73"/>
      <c r="D427" s="73"/>
      <c r="E427" s="73"/>
      <c r="F427" s="73"/>
      <c r="G427" s="73"/>
      <c r="H427" s="73"/>
      <c r="I427" s="73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</row>
    <row r="428" spans="1:26" ht="16.5" customHeight="1">
      <c r="A428" s="73"/>
      <c r="B428" s="73"/>
      <c r="C428" s="73"/>
      <c r="D428" s="73"/>
      <c r="E428" s="73"/>
      <c r="F428" s="73"/>
      <c r="G428" s="73"/>
      <c r="H428" s="73"/>
      <c r="I428" s="73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</row>
    <row r="429" spans="1:26" ht="16.5" customHeight="1">
      <c r="A429" s="73"/>
      <c r="B429" s="73"/>
      <c r="C429" s="73"/>
      <c r="D429" s="73"/>
      <c r="E429" s="73"/>
      <c r="F429" s="73"/>
      <c r="G429" s="73"/>
      <c r="H429" s="73"/>
      <c r="I429" s="73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</row>
    <row r="430" spans="1:26" ht="16.5" customHeight="1">
      <c r="A430" s="73"/>
      <c r="B430" s="73"/>
      <c r="C430" s="73"/>
      <c r="D430" s="73"/>
      <c r="E430" s="73"/>
      <c r="F430" s="73"/>
      <c r="G430" s="73"/>
      <c r="H430" s="73"/>
      <c r="I430" s="73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</row>
    <row r="431" spans="1:26" ht="16.5" customHeight="1">
      <c r="A431" s="73"/>
      <c r="B431" s="73"/>
      <c r="C431" s="73"/>
      <c r="D431" s="73"/>
      <c r="E431" s="73"/>
      <c r="F431" s="73"/>
      <c r="G431" s="73"/>
      <c r="H431" s="73"/>
      <c r="I431" s="73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</row>
    <row r="432" spans="1:26" ht="16.5" customHeight="1">
      <c r="A432" s="73"/>
      <c r="B432" s="73"/>
      <c r="C432" s="73"/>
      <c r="D432" s="73"/>
      <c r="E432" s="73"/>
      <c r="F432" s="73"/>
      <c r="G432" s="73"/>
      <c r="H432" s="73"/>
      <c r="I432" s="73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</row>
    <row r="433" spans="1:26" ht="16.5" customHeight="1">
      <c r="A433" s="73"/>
      <c r="B433" s="73"/>
      <c r="C433" s="73"/>
      <c r="D433" s="73"/>
      <c r="E433" s="73"/>
      <c r="F433" s="73"/>
      <c r="G433" s="73"/>
      <c r="H433" s="73"/>
      <c r="I433" s="73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</row>
    <row r="434" spans="1:26" ht="16.5" customHeight="1">
      <c r="A434" s="73"/>
      <c r="B434" s="73"/>
      <c r="C434" s="73"/>
      <c r="D434" s="73"/>
      <c r="E434" s="73"/>
      <c r="F434" s="73"/>
      <c r="G434" s="73"/>
      <c r="H434" s="73"/>
      <c r="I434" s="73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</row>
    <row r="435" spans="1:26" ht="16.5" customHeight="1">
      <c r="A435" s="73"/>
      <c r="B435" s="73"/>
      <c r="C435" s="73"/>
      <c r="D435" s="73"/>
      <c r="E435" s="73"/>
      <c r="F435" s="73"/>
      <c r="G435" s="73"/>
      <c r="H435" s="73"/>
      <c r="I435" s="73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</row>
    <row r="436" spans="1:26" ht="16.5" customHeight="1">
      <c r="A436" s="73"/>
      <c r="B436" s="73"/>
      <c r="C436" s="73"/>
      <c r="D436" s="73"/>
      <c r="E436" s="73"/>
      <c r="F436" s="73"/>
      <c r="G436" s="73"/>
      <c r="H436" s="73"/>
      <c r="I436" s="73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</row>
    <row r="437" spans="1:26" ht="16.5" customHeight="1">
      <c r="A437" s="73"/>
      <c r="B437" s="73"/>
      <c r="C437" s="73"/>
      <c r="D437" s="73"/>
      <c r="E437" s="73"/>
      <c r="F437" s="73"/>
      <c r="G437" s="73"/>
      <c r="H437" s="73"/>
      <c r="I437" s="73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</row>
    <row r="438" spans="1:26" ht="16.5" customHeight="1">
      <c r="A438" s="73"/>
      <c r="B438" s="73"/>
      <c r="C438" s="73"/>
      <c r="D438" s="73"/>
      <c r="E438" s="73"/>
      <c r="F438" s="73"/>
      <c r="G438" s="73"/>
      <c r="H438" s="73"/>
      <c r="I438" s="73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</row>
    <row r="439" spans="1:26" ht="16.5" customHeight="1">
      <c r="A439" s="73"/>
      <c r="B439" s="73"/>
      <c r="C439" s="73"/>
      <c r="D439" s="73"/>
      <c r="E439" s="73"/>
      <c r="F439" s="73"/>
      <c r="G439" s="73"/>
      <c r="H439" s="73"/>
      <c r="I439" s="73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</row>
    <row r="440" spans="1:26" ht="16.5" customHeight="1">
      <c r="A440" s="73"/>
      <c r="B440" s="73"/>
      <c r="C440" s="73"/>
      <c r="D440" s="73"/>
      <c r="E440" s="73"/>
      <c r="F440" s="73"/>
      <c r="G440" s="73"/>
      <c r="H440" s="73"/>
      <c r="I440" s="73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</row>
    <row r="441" spans="1:26" ht="16.5" customHeight="1">
      <c r="A441" s="73"/>
      <c r="B441" s="73"/>
      <c r="C441" s="73"/>
      <c r="D441" s="73"/>
      <c r="E441" s="73"/>
      <c r="F441" s="73"/>
      <c r="G441" s="73"/>
      <c r="H441" s="73"/>
      <c r="I441" s="73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</row>
    <row r="442" spans="1:26" ht="16.5" customHeight="1">
      <c r="A442" s="73"/>
      <c r="B442" s="73"/>
      <c r="C442" s="73"/>
      <c r="D442" s="73"/>
      <c r="E442" s="73"/>
      <c r="F442" s="73"/>
      <c r="G442" s="73"/>
      <c r="H442" s="73"/>
      <c r="I442" s="73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</row>
    <row r="443" spans="1:26" ht="16.5" customHeight="1">
      <c r="A443" s="73"/>
      <c r="B443" s="73"/>
      <c r="C443" s="73"/>
      <c r="D443" s="73"/>
      <c r="E443" s="73"/>
      <c r="F443" s="73"/>
      <c r="G443" s="73"/>
      <c r="H443" s="73"/>
      <c r="I443" s="73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</row>
    <row r="444" spans="1:26" ht="16.5" customHeight="1">
      <c r="A444" s="73"/>
      <c r="B444" s="73"/>
      <c r="C444" s="73"/>
      <c r="D444" s="73"/>
      <c r="E444" s="73"/>
      <c r="F444" s="73"/>
      <c r="G444" s="73"/>
      <c r="H444" s="73"/>
      <c r="I444" s="73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</row>
    <row r="445" spans="1:26" ht="16.5" customHeight="1">
      <c r="A445" s="73"/>
      <c r="B445" s="73"/>
      <c r="C445" s="73"/>
      <c r="D445" s="73"/>
      <c r="E445" s="73"/>
      <c r="F445" s="73"/>
      <c r="G445" s="73"/>
      <c r="H445" s="73"/>
      <c r="I445" s="73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</row>
    <row r="446" spans="1:26" ht="16.5" customHeight="1">
      <c r="A446" s="73"/>
      <c r="B446" s="73"/>
      <c r="C446" s="73"/>
      <c r="D446" s="73"/>
      <c r="E446" s="73"/>
      <c r="F446" s="73"/>
      <c r="G446" s="73"/>
      <c r="H446" s="73"/>
      <c r="I446" s="73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</row>
    <row r="447" spans="1:26" ht="16.5" customHeight="1">
      <c r="A447" s="73"/>
      <c r="B447" s="73"/>
      <c r="C447" s="73"/>
      <c r="D447" s="73"/>
      <c r="E447" s="73"/>
      <c r="F447" s="73"/>
      <c r="G447" s="73"/>
      <c r="H447" s="73"/>
      <c r="I447" s="73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</row>
    <row r="448" spans="1:26" ht="16.5" customHeight="1">
      <c r="A448" s="73"/>
      <c r="B448" s="73"/>
      <c r="C448" s="73"/>
      <c r="D448" s="73"/>
      <c r="E448" s="73"/>
      <c r="F448" s="73"/>
      <c r="G448" s="73"/>
      <c r="H448" s="73"/>
      <c r="I448" s="73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</row>
    <row r="449" spans="1:26" ht="16.5" customHeight="1">
      <c r="A449" s="73"/>
      <c r="B449" s="73"/>
      <c r="C449" s="73"/>
      <c r="D449" s="73"/>
      <c r="E449" s="73"/>
      <c r="F449" s="73"/>
      <c r="G449" s="73"/>
      <c r="H449" s="73"/>
      <c r="I449" s="73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</row>
    <row r="450" spans="1:26" ht="16.5" customHeight="1">
      <c r="A450" s="73"/>
      <c r="B450" s="73"/>
      <c r="C450" s="73"/>
      <c r="D450" s="73"/>
      <c r="E450" s="73"/>
      <c r="F450" s="73"/>
      <c r="G450" s="73"/>
      <c r="H450" s="73"/>
      <c r="I450" s="73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</row>
    <row r="451" spans="1:26" ht="16.5" customHeight="1">
      <c r="A451" s="73"/>
      <c r="B451" s="73"/>
      <c r="C451" s="73"/>
      <c r="D451" s="73"/>
      <c r="E451" s="73"/>
      <c r="F451" s="73"/>
      <c r="G451" s="73"/>
      <c r="H451" s="73"/>
      <c r="I451" s="73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</row>
    <row r="452" spans="1:26" ht="16.5" customHeight="1">
      <c r="A452" s="73"/>
      <c r="B452" s="73"/>
      <c r="C452" s="73"/>
      <c r="D452" s="73"/>
      <c r="E452" s="73"/>
      <c r="F452" s="73"/>
      <c r="G452" s="73"/>
      <c r="H452" s="73"/>
      <c r="I452" s="73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</row>
    <row r="453" spans="1:26" ht="16.5" customHeight="1">
      <c r="A453" s="73"/>
      <c r="B453" s="73"/>
      <c r="C453" s="73"/>
      <c r="D453" s="73"/>
      <c r="E453" s="73"/>
      <c r="F453" s="73"/>
      <c r="G453" s="73"/>
      <c r="H453" s="73"/>
      <c r="I453" s="73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</row>
    <row r="454" spans="1:26" ht="16.5" customHeight="1">
      <c r="A454" s="73"/>
      <c r="B454" s="73"/>
      <c r="C454" s="73"/>
      <c r="D454" s="73"/>
      <c r="E454" s="73"/>
      <c r="F454" s="73"/>
      <c r="G454" s="73"/>
      <c r="H454" s="73"/>
      <c r="I454" s="73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</row>
    <row r="455" spans="1:26" ht="16.5" customHeight="1">
      <c r="A455" s="73"/>
      <c r="B455" s="73"/>
      <c r="C455" s="73"/>
      <c r="D455" s="73"/>
      <c r="E455" s="73"/>
      <c r="F455" s="73"/>
      <c r="G455" s="73"/>
      <c r="H455" s="73"/>
      <c r="I455" s="73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</row>
    <row r="456" spans="1:26" ht="16.5" customHeight="1">
      <c r="A456" s="73"/>
      <c r="B456" s="73"/>
      <c r="C456" s="73"/>
      <c r="D456" s="73"/>
      <c r="E456" s="73"/>
      <c r="F456" s="73"/>
      <c r="G456" s="73"/>
      <c r="H456" s="73"/>
      <c r="I456" s="73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</row>
    <row r="457" spans="1:26" ht="16.5" customHeight="1">
      <c r="A457" s="73"/>
      <c r="B457" s="73"/>
      <c r="C457" s="73"/>
      <c r="D457" s="73"/>
      <c r="E457" s="73"/>
      <c r="F457" s="73"/>
      <c r="G457" s="73"/>
      <c r="H457" s="73"/>
      <c r="I457" s="73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</row>
    <row r="458" spans="1:26" ht="16.5" customHeight="1">
      <c r="A458" s="73"/>
      <c r="B458" s="73"/>
      <c r="C458" s="73"/>
      <c r="D458" s="73"/>
      <c r="E458" s="73"/>
      <c r="F458" s="73"/>
      <c r="G458" s="73"/>
      <c r="H458" s="73"/>
      <c r="I458" s="73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</row>
    <row r="459" spans="1:26" ht="16.5" customHeight="1">
      <c r="A459" s="73"/>
      <c r="B459" s="73"/>
      <c r="C459" s="73"/>
      <c r="D459" s="73"/>
      <c r="E459" s="73"/>
      <c r="F459" s="73"/>
      <c r="G459" s="73"/>
      <c r="H459" s="73"/>
      <c r="I459" s="73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</row>
    <row r="460" spans="1:26" ht="16.5" customHeight="1">
      <c r="A460" s="73"/>
      <c r="B460" s="73"/>
      <c r="C460" s="73"/>
      <c r="D460" s="73"/>
      <c r="E460" s="73"/>
      <c r="F460" s="73"/>
      <c r="G460" s="73"/>
      <c r="H460" s="73"/>
      <c r="I460" s="73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</row>
    <row r="461" spans="1:26" ht="16.5" customHeight="1">
      <c r="A461" s="73"/>
      <c r="B461" s="73"/>
      <c r="C461" s="73"/>
      <c r="D461" s="73"/>
      <c r="E461" s="73"/>
      <c r="F461" s="73"/>
      <c r="G461" s="73"/>
      <c r="H461" s="73"/>
      <c r="I461" s="73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</row>
    <row r="462" spans="1:26" ht="16.5" customHeight="1">
      <c r="A462" s="73"/>
      <c r="B462" s="73"/>
      <c r="C462" s="73"/>
      <c r="D462" s="73"/>
      <c r="E462" s="73"/>
      <c r="F462" s="73"/>
      <c r="G462" s="73"/>
      <c r="H462" s="73"/>
      <c r="I462" s="73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</row>
    <row r="463" spans="1:26" ht="16.5" customHeight="1">
      <c r="A463" s="73"/>
      <c r="B463" s="73"/>
      <c r="C463" s="73"/>
      <c r="D463" s="73"/>
      <c r="E463" s="73"/>
      <c r="F463" s="73"/>
      <c r="G463" s="73"/>
      <c r="H463" s="73"/>
      <c r="I463" s="73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</row>
    <row r="464" spans="1:26" ht="16.5" customHeight="1">
      <c r="A464" s="73"/>
      <c r="B464" s="73"/>
      <c r="C464" s="73"/>
      <c r="D464" s="73"/>
      <c r="E464" s="73"/>
      <c r="F464" s="73"/>
      <c r="G464" s="73"/>
      <c r="H464" s="73"/>
      <c r="I464" s="73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</row>
    <row r="465" spans="1:26" ht="16.5" customHeight="1">
      <c r="A465" s="73"/>
      <c r="B465" s="73"/>
      <c r="C465" s="73"/>
      <c r="D465" s="73"/>
      <c r="E465" s="73"/>
      <c r="F465" s="73"/>
      <c r="G465" s="73"/>
      <c r="H465" s="73"/>
      <c r="I465" s="73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</row>
    <row r="466" spans="1:26" ht="16.5" customHeight="1">
      <c r="A466" s="73"/>
      <c r="B466" s="73"/>
      <c r="C466" s="73"/>
      <c r="D466" s="73"/>
      <c r="E466" s="73"/>
      <c r="F466" s="73"/>
      <c r="G466" s="73"/>
      <c r="H466" s="73"/>
      <c r="I466" s="73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</row>
    <row r="467" spans="1:26" ht="16.5" customHeight="1">
      <c r="A467" s="73"/>
      <c r="B467" s="73"/>
      <c r="C467" s="73"/>
      <c r="D467" s="73"/>
      <c r="E467" s="73"/>
      <c r="F467" s="73"/>
      <c r="G467" s="73"/>
      <c r="H467" s="73"/>
      <c r="I467" s="73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</row>
    <row r="468" spans="1:26" ht="16.5" customHeight="1">
      <c r="A468" s="73"/>
      <c r="B468" s="73"/>
      <c r="C468" s="73"/>
      <c r="D468" s="73"/>
      <c r="E468" s="73"/>
      <c r="F468" s="73"/>
      <c r="G468" s="73"/>
      <c r="H468" s="73"/>
      <c r="I468" s="73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</row>
    <row r="469" spans="1:26" ht="16.5" customHeight="1">
      <c r="A469" s="73"/>
      <c r="B469" s="73"/>
      <c r="C469" s="73"/>
      <c r="D469" s="73"/>
      <c r="E469" s="73"/>
      <c r="F469" s="73"/>
      <c r="G469" s="73"/>
      <c r="H469" s="73"/>
      <c r="I469" s="73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</row>
    <row r="470" spans="1:26" ht="16.5" customHeight="1">
      <c r="A470" s="73"/>
      <c r="B470" s="73"/>
      <c r="C470" s="73"/>
      <c r="D470" s="73"/>
      <c r="E470" s="73"/>
      <c r="F470" s="73"/>
      <c r="G470" s="73"/>
      <c r="H470" s="73"/>
      <c r="I470" s="73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</row>
    <row r="471" spans="1:26" ht="16.5" customHeight="1">
      <c r="A471" s="73"/>
      <c r="B471" s="73"/>
      <c r="C471" s="73"/>
      <c r="D471" s="73"/>
      <c r="E471" s="73"/>
      <c r="F471" s="73"/>
      <c r="G471" s="73"/>
      <c r="H471" s="73"/>
      <c r="I471" s="73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</row>
    <row r="472" spans="1:26" ht="16.5" customHeight="1">
      <c r="A472" s="73"/>
      <c r="B472" s="73"/>
      <c r="C472" s="73"/>
      <c r="D472" s="73"/>
      <c r="E472" s="73"/>
      <c r="F472" s="73"/>
      <c r="G472" s="73"/>
      <c r="H472" s="73"/>
      <c r="I472" s="73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</row>
    <row r="473" spans="1:26" ht="16.5" customHeight="1">
      <c r="A473" s="73"/>
      <c r="B473" s="73"/>
      <c r="C473" s="73"/>
      <c r="D473" s="73"/>
      <c r="E473" s="73"/>
      <c r="F473" s="73"/>
      <c r="G473" s="73"/>
      <c r="H473" s="73"/>
      <c r="I473" s="73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</row>
    <row r="474" spans="1:26" ht="16.5" customHeight="1">
      <c r="A474" s="73"/>
      <c r="B474" s="73"/>
      <c r="C474" s="73"/>
      <c r="D474" s="73"/>
      <c r="E474" s="73"/>
      <c r="F474" s="73"/>
      <c r="G474" s="73"/>
      <c r="H474" s="73"/>
      <c r="I474" s="73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</row>
    <row r="475" spans="1:26" ht="16.5" customHeight="1">
      <c r="A475" s="73"/>
      <c r="B475" s="73"/>
      <c r="C475" s="73"/>
      <c r="D475" s="73"/>
      <c r="E475" s="73"/>
      <c r="F475" s="73"/>
      <c r="G475" s="73"/>
      <c r="H475" s="73"/>
      <c r="I475" s="73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</row>
    <row r="476" spans="1:26" ht="16.5" customHeight="1">
      <c r="A476" s="73"/>
      <c r="B476" s="73"/>
      <c r="C476" s="73"/>
      <c r="D476" s="73"/>
      <c r="E476" s="73"/>
      <c r="F476" s="73"/>
      <c r="G476" s="73"/>
      <c r="H476" s="73"/>
      <c r="I476" s="73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</row>
    <row r="477" spans="1:26" ht="16.5" customHeight="1">
      <c r="A477" s="73"/>
      <c r="B477" s="73"/>
      <c r="C477" s="73"/>
      <c r="D477" s="73"/>
      <c r="E477" s="73"/>
      <c r="F477" s="73"/>
      <c r="G477" s="73"/>
      <c r="H477" s="73"/>
      <c r="I477" s="73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</row>
    <row r="478" spans="1:26" ht="16.5" customHeight="1">
      <c r="A478" s="73"/>
      <c r="B478" s="73"/>
      <c r="C478" s="73"/>
      <c r="D478" s="73"/>
      <c r="E478" s="73"/>
      <c r="F478" s="73"/>
      <c r="G478" s="73"/>
      <c r="H478" s="73"/>
      <c r="I478" s="73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</row>
    <row r="479" spans="1:26" ht="16.5" customHeight="1">
      <c r="A479" s="73"/>
      <c r="B479" s="73"/>
      <c r="C479" s="73"/>
      <c r="D479" s="73"/>
      <c r="E479" s="73"/>
      <c r="F479" s="73"/>
      <c r="G479" s="73"/>
      <c r="H479" s="73"/>
      <c r="I479" s="73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</row>
    <row r="480" spans="1:26" ht="16.5" customHeight="1">
      <c r="A480" s="73"/>
      <c r="B480" s="73"/>
      <c r="C480" s="73"/>
      <c r="D480" s="73"/>
      <c r="E480" s="73"/>
      <c r="F480" s="73"/>
      <c r="G480" s="73"/>
      <c r="H480" s="73"/>
      <c r="I480" s="73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</row>
    <row r="481" spans="1:26" ht="16.5" customHeight="1">
      <c r="A481" s="73"/>
      <c r="B481" s="73"/>
      <c r="C481" s="73"/>
      <c r="D481" s="73"/>
      <c r="E481" s="73"/>
      <c r="F481" s="73"/>
      <c r="G481" s="73"/>
      <c r="H481" s="73"/>
      <c r="I481" s="73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</row>
    <row r="482" spans="1:26" ht="16.5" customHeight="1">
      <c r="A482" s="73"/>
      <c r="B482" s="73"/>
      <c r="C482" s="73"/>
      <c r="D482" s="73"/>
      <c r="E482" s="73"/>
      <c r="F482" s="73"/>
      <c r="G482" s="73"/>
      <c r="H482" s="73"/>
      <c r="I482" s="73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</row>
    <row r="483" spans="1:26" ht="16.5" customHeight="1">
      <c r="A483" s="73"/>
      <c r="B483" s="73"/>
      <c r="C483" s="73"/>
      <c r="D483" s="73"/>
      <c r="E483" s="73"/>
      <c r="F483" s="73"/>
      <c r="G483" s="73"/>
      <c r="H483" s="73"/>
      <c r="I483" s="73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</row>
    <row r="484" spans="1:26" ht="16.5" customHeight="1">
      <c r="A484" s="73"/>
      <c r="B484" s="73"/>
      <c r="C484" s="73"/>
      <c r="D484" s="73"/>
      <c r="E484" s="73"/>
      <c r="F484" s="73"/>
      <c r="G484" s="73"/>
      <c r="H484" s="73"/>
      <c r="I484" s="73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</row>
    <row r="485" spans="1:26" ht="16.5" customHeight="1">
      <c r="A485" s="73"/>
      <c r="B485" s="73"/>
      <c r="C485" s="73"/>
      <c r="D485" s="73"/>
      <c r="E485" s="73"/>
      <c r="F485" s="73"/>
      <c r="G485" s="73"/>
      <c r="H485" s="73"/>
      <c r="I485" s="73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</row>
    <row r="486" spans="1:26" ht="16.5" customHeight="1">
      <c r="A486" s="73"/>
      <c r="B486" s="73"/>
      <c r="C486" s="73"/>
      <c r="D486" s="73"/>
      <c r="E486" s="73"/>
      <c r="F486" s="73"/>
      <c r="G486" s="73"/>
      <c r="H486" s="73"/>
      <c r="I486" s="73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</row>
    <row r="487" spans="1:26" ht="16.5" customHeight="1">
      <c r="A487" s="73"/>
      <c r="B487" s="73"/>
      <c r="C487" s="73"/>
      <c r="D487" s="73"/>
      <c r="E487" s="73"/>
      <c r="F487" s="73"/>
      <c r="G487" s="73"/>
      <c r="H487" s="73"/>
      <c r="I487" s="73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</row>
    <row r="488" spans="1:26" ht="16.5" customHeight="1">
      <c r="A488" s="73"/>
      <c r="B488" s="73"/>
      <c r="C488" s="73"/>
      <c r="D488" s="73"/>
      <c r="E488" s="73"/>
      <c r="F488" s="73"/>
      <c r="G488" s="73"/>
      <c r="H488" s="73"/>
      <c r="I488" s="73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</row>
    <row r="489" spans="1:26" ht="16.5" customHeight="1">
      <c r="A489" s="73"/>
      <c r="B489" s="73"/>
      <c r="C489" s="73"/>
      <c r="D489" s="73"/>
      <c r="E489" s="73"/>
      <c r="F489" s="73"/>
      <c r="G489" s="73"/>
      <c r="H489" s="73"/>
      <c r="I489" s="73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</row>
    <row r="490" spans="1:26" ht="16.5" customHeight="1">
      <c r="A490" s="73"/>
      <c r="B490" s="73"/>
      <c r="C490" s="73"/>
      <c r="D490" s="73"/>
      <c r="E490" s="73"/>
      <c r="F490" s="73"/>
      <c r="G490" s="73"/>
      <c r="H490" s="73"/>
      <c r="I490" s="73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</row>
    <row r="491" spans="1:26" ht="16.5" customHeight="1">
      <c r="A491" s="73"/>
      <c r="B491" s="73"/>
      <c r="C491" s="73"/>
      <c r="D491" s="73"/>
      <c r="E491" s="73"/>
      <c r="F491" s="73"/>
      <c r="G491" s="73"/>
      <c r="H491" s="73"/>
      <c r="I491" s="73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</row>
    <row r="492" spans="1:26" ht="16.5" customHeight="1">
      <c r="A492" s="73"/>
      <c r="B492" s="73"/>
      <c r="C492" s="73"/>
      <c r="D492" s="73"/>
      <c r="E492" s="73"/>
      <c r="F492" s="73"/>
      <c r="G492" s="73"/>
      <c r="H492" s="73"/>
      <c r="I492" s="73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</row>
    <row r="493" spans="1:26" ht="16.5" customHeight="1">
      <c r="A493" s="73"/>
      <c r="B493" s="73"/>
      <c r="C493" s="73"/>
      <c r="D493" s="73"/>
      <c r="E493" s="73"/>
      <c r="F493" s="73"/>
      <c r="G493" s="73"/>
      <c r="H493" s="73"/>
      <c r="I493" s="73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</row>
    <row r="494" spans="1:26" ht="16.5" customHeight="1">
      <c r="A494" s="73"/>
      <c r="B494" s="73"/>
      <c r="C494" s="73"/>
      <c r="D494" s="73"/>
      <c r="E494" s="73"/>
      <c r="F494" s="73"/>
      <c r="G494" s="73"/>
      <c r="H494" s="73"/>
      <c r="I494" s="73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</row>
    <row r="495" spans="1:26" ht="16.5" customHeight="1">
      <c r="A495" s="73"/>
      <c r="B495" s="73"/>
      <c r="C495" s="73"/>
      <c r="D495" s="73"/>
      <c r="E495" s="73"/>
      <c r="F495" s="73"/>
      <c r="G495" s="73"/>
      <c r="H495" s="73"/>
      <c r="I495" s="73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</row>
    <row r="496" spans="1:26" ht="16.5" customHeight="1">
      <c r="A496" s="73"/>
      <c r="B496" s="73"/>
      <c r="C496" s="73"/>
      <c r="D496" s="73"/>
      <c r="E496" s="73"/>
      <c r="F496" s="73"/>
      <c r="G496" s="73"/>
      <c r="H496" s="73"/>
      <c r="I496" s="73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</row>
    <row r="497" spans="1:26" ht="16.5" customHeight="1">
      <c r="A497" s="73"/>
      <c r="B497" s="73"/>
      <c r="C497" s="73"/>
      <c r="D497" s="73"/>
      <c r="E497" s="73"/>
      <c r="F497" s="73"/>
      <c r="G497" s="73"/>
      <c r="H497" s="73"/>
      <c r="I497" s="73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</row>
    <row r="498" spans="1:26" ht="16.5" customHeight="1">
      <c r="A498" s="73"/>
      <c r="B498" s="73"/>
      <c r="C498" s="73"/>
      <c r="D498" s="73"/>
      <c r="E498" s="73"/>
      <c r="F498" s="73"/>
      <c r="G498" s="73"/>
      <c r="H498" s="73"/>
      <c r="I498" s="73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</row>
    <row r="499" spans="1:26" ht="16.5" customHeight="1">
      <c r="A499" s="73"/>
      <c r="B499" s="73"/>
      <c r="C499" s="73"/>
      <c r="D499" s="73"/>
      <c r="E499" s="73"/>
      <c r="F499" s="73"/>
      <c r="G499" s="73"/>
      <c r="H499" s="73"/>
      <c r="I499" s="73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</row>
    <row r="500" spans="1:26" ht="16.5" customHeight="1">
      <c r="A500" s="73"/>
      <c r="B500" s="73"/>
      <c r="C500" s="73"/>
      <c r="D500" s="73"/>
      <c r="E500" s="73"/>
      <c r="F500" s="73"/>
      <c r="G500" s="73"/>
      <c r="H500" s="73"/>
      <c r="I500" s="73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</row>
    <row r="501" spans="1:26" ht="16.5" customHeight="1">
      <c r="A501" s="73"/>
      <c r="B501" s="73"/>
      <c r="C501" s="73"/>
      <c r="D501" s="73"/>
      <c r="E501" s="73"/>
      <c r="F501" s="73"/>
      <c r="G501" s="73"/>
      <c r="H501" s="73"/>
      <c r="I501" s="73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</row>
    <row r="502" spans="1:26" ht="16.5" customHeight="1">
      <c r="A502" s="73"/>
      <c r="B502" s="73"/>
      <c r="C502" s="73"/>
      <c r="D502" s="73"/>
      <c r="E502" s="73"/>
      <c r="F502" s="73"/>
      <c r="G502" s="73"/>
      <c r="H502" s="73"/>
      <c r="I502" s="73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</row>
    <row r="503" spans="1:26" ht="16.5" customHeight="1">
      <c r="A503" s="73"/>
      <c r="B503" s="73"/>
      <c r="C503" s="73"/>
      <c r="D503" s="73"/>
      <c r="E503" s="73"/>
      <c r="F503" s="73"/>
      <c r="G503" s="73"/>
      <c r="H503" s="73"/>
      <c r="I503" s="73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</row>
    <row r="504" spans="1:26" ht="16.5" customHeight="1">
      <c r="A504" s="73"/>
      <c r="B504" s="73"/>
      <c r="C504" s="73"/>
      <c r="D504" s="73"/>
      <c r="E504" s="73"/>
      <c r="F504" s="73"/>
      <c r="G504" s="73"/>
      <c r="H504" s="73"/>
      <c r="I504" s="73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</row>
    <row r="505" spans="1:26" ht="16.5" customHeight="1">
      <c r="A505" s="73"/>
      <c r="B505" s="73"/>
      <c r="C505" s="73"/>
      <c r="D505" s="73"/>
      <c r="E505" s="73"/>
      <c r="F505" s="73"/>
      <c r="G505" s="73"/>
      <c r="H505" s="73"/>
      <c r="I505" s="73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</row>
    <row r="506" spans="1:26" ht="16.5" customHeight="1">
      <c r="A506" s="73"/>
      <c r="B506" s="73"/>
      <c r="C506" s="73"/>
      <c r="D506" s="73"/>
      <c r="E506" s="73"/>
      <c r="F506" s="73"/>
      <c r="G506" s="73"/>
      <c r="H506" s="73"/>
      <c r="I506" s="73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</row>
    <row r="507" spans="1:26" ht="16.5" customHeight="1">
      <c r="A507" s="73"/>
      <c r="B507" s="73"/>
      <c r="C507" s="73"/>
      <c r="D507" s="73"/>
      <c r="E507" s="73"/>
      <c r="F507" s="73"/>
      <c r="G507" s="73"/>
      <c r="H507" s="73"/>
      <c r="I507" s="73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</row>
    <row r="508" spans="1:26" ht="16.5" customHeight="1">
      <c r="A508" s="73"/>
      <c r="B508" s="73"/>
      <c r="C508" s="73"/>
      <c r="D508" s="73"/>
      <c r="E508" s="73"/>
      <c r="F508" s="73"/>
      <c r="G508" s="73"/>
      <c r="H508" s="73"/>
      <c r="I508" s="73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</row>
    <row r="509" spans="1:26" ht="16.5" customHeight="1">
      <c r="A509" s="73"/>
      <c r="B509" s="73"/>
      <c r="C509" s="73"/>
      <c r="D509" s="73"/>
      <c r="E509" s="73"/>
      <c r="F509" s="73"/>
      <c r="G509" s="73"/>
      <c r="H509" s="73"/>
      <c r="I509" s="73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</row>
    <row r="510" spans="1:26" ht="16.5" customHeight="1">
      <c r="A510" s="73"/>
      <c r="B510" s="73"/>
      <c r="C510" s="73"/>
      <c r="D510" s="73"/>
      <c r="E510" s="73"/>
      <c r="F510" s="73"/>
      <c r="G510" s="73"/>
      <c r="H510" s="73"/>
      <c r="I510" s="73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</row>
    <row r="511" spans="1:26" ht="16.5" customHeight="1">
      <c r="A511" s="73"/>
      <c r="B511" s="73"/>
      <c r="C511" s="73"/>
      <c r="D511" s="73"/>
      <c r="E511" s="73"/>
      <c r="F511" s="73"/>
      <c r="G511" s="73"/>
      <c r="H511" s="73"/>
      <c r="I511" s="73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</row>
    <row r="512" spans="1:26" ht="16.5" customHeight="1">
      <c r="A512" s="73"/>
      <c r="B512" s="73"/>
      <c r="C512" s="73"/>
      <c r="D512" s="73"/>
      <c r="E512" s="73"/>
      <c r="F512" s="73"/>
      <c r="G512" s="73"/>
      <c r="H512" s="73"/>
      <c r="I512" s="73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</row>
    <row r="513" spans="1:26" ht="16.5" customHeight="1">
      <c r="A513" s="73"/>
      <c r="B513" s="73"/>
      <c r="C513" s="73"/>
      <c r="D513" s="73"/>
      <c r="E513" s="73"/>
      <c r="F513" s="73"/>
      <c r="G513" s="73"/>
      <c r="H513" s="73"/>
      <c r="I513" s="73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</row>
    <row r="514" spans="1:26" ht="16.5" customHeight="1">
      <c r="A514" s="73"/>
      <c r="B514" s="73"/>
      <c r="C514" s="73"/>
      <c r="D514" s="73"/>
      <c r="E514" s="73"/>
      <c r="F514" s="73"/>
      <c r="G514" s="73"/>
      <c r="H514" s="73"/>
      <c r="I514" s="73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</row>
    <row r="515" spans="1:26" ht="16.5" customHeight="1">
      <c r="A515" s="73"/>
      <c r="B515" s="73"/>
      <c r="C515" s="73"/>
      <c r="D515" s="73"/>
      <c r="E515" s="73"/>
      <c r="F515" s="73"/>
      <c r="G515" s="73"/>
      <c r="H515" s="73"/>
      <c r="I515" s="73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</row>
    <row r="516" spans="1:26" ht="16.5" customHeight="1">
      <c r="A516" s="73"/>
      <c r="B516" s="73"/>
      <c r="C516" s="73"/>
      <c r="D516" s="73"/>
      <c r="E516" s="73"/>
      <c r="F516" s="73"/>
      <c r="G516" s="73"/>
      <c r="H516" s="73"/>
      <c r="I516" s="73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</row>
    <row r="517" spans="1:26" ht="16.5" customHeight="1">
      <c r="A517" s="73"/>
      <c r="B517" s="73"/>
      <c r="C517" s="73"/>
      <c r="D517" s="73"/>
      <c r="E517" s="73"/>
      <c r="F517" s="73"/>
      <c r="G517" s="73"/>
      <c r="H517" s="73"/>
      <c r="I517" s="73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</row>
    <row r="518" spans="1:26" ht="16.5" customHeight="1">
      <c r="A518" s="73"/>
      <c r="B518" s="73"/>
      <c r="C518" s="73"/>
      <c r="D518" s="73"/>
      <c r="E518" s="73"/>
      <c r="F518" s="73"/>
      <c r="G518" s="73"/>
      <c r="H518" s="73"/>
      <c r="I518" s="73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</row>
    <row r="519" spans="1:26" ht="16.5" customHeight="1">
      <c r="A519" s="73"/>
      <c r="B519" s="73"/>
      <c r="C519" s="73"/>
      <c r="D519" s="73"/>
      <c r="E519" s="73"/>
      <c r="F519" s="73"/>
      <c r="G519" s="73"/>
      <c r="H519" s="73"/>
      <c r="I519" s="73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</row>
    <row r="520" spans="1:26" ht="16.5" customHeight="1">
      <c r="A520" s="73"/>
      <c r="B520" s="73"/>
      <c r="C520" s="73"/>
      <c r="D520" s="73"/>
      <c r="E520" s="73"/>
      <c r="F520" s="73"/>
      <c r="G520" s="73"/>
      <c r="H520" s="73"/>
      <c r="I520" s="73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</row>
    <row r="521" spans="1:26" ht="16.5" customHeight="1">
      <c r="A521" s="73"/>
      <c r="B521" s="73"/>
      <c r="C521" s="73"/>
      <c r="D521" s="73"/>
      <c r="E521" s="73"/>
      <c r="F521" s="73"/>
      <c r="G521" s="73"/>
      <c r="H521" s="73"/>
      <c r="I521" s="73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</row>
    <row r="522" spans="1:26" ht="16.5" customHeight="1">
      <c r="A522" s="73"/>
      <c r="B522" s="73"/>
      <c r="C522" s="73"/>
      <c r="D522" s="73"/>
      <c r="E522" s="73"/>
      <c r="F522" s="73"/>
      <c r="G522" s="73"/>
      <c r="H522" s="73"/>
      <c r="I522" s="73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</row>
    <row r="523" spans="1:26" ht="16.5" customHeight="1">
      <c r="A523" s="73"/>
      <c r="B523" s="73"/>
      <c r="C523" s="73"/>
      <c r="D523" s="73"/>
      <c r="E523" s="73"/>
      <c r="F523" s="73"/>
      <c r="G523" s="73"/>
      <c r="H523" s="73"/>
      <c r="I523" s="73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</row>
    <row r="524" spans="1:26" ht="16.5" customHeight="1">
      <c r="A524" s="73"/>
      <c r="B524" s="73"/>
      <c r="C524" s="73"/>
      <c r="D524" s="73"/>
      <c r="E524" s="73"/>
      <c r="F524" s="73"/>
      <c r="G524" s="73"/>
      <c r="H524" s="73"/>
      <c r="I524" s="73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</row>
    <row r="525" spans="1:26" ht="16.5" customHeight="1">
      <c r="A525" s="73"/>
      <c r="B525" s="73"/>
      <c r="C525" s="73"/>
      <c r="D525" s="73"/>
      <c r="E525" s="73"/>
      <c r="F525" s="73"/>
      <c r="G525" s="73"/>
      <c r="H525" s="73"/>
      <c r="I525" s="73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</row>
    <row r="526" spans="1:26" ht="16.5" customHeight="1">
      <c r="A526" s="73"/>
      <c r="B526" s="73"/>
      <c r="C526" s="73"/>
      <c r="D526" s="73"/>
      <c r="E526" s="73"/>
      <c r="F526" s="73"/>
      <c r="G526" s="73"/>
      <c r="H526" s="73"/>
      <c r="I526" s="73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</row>
    <row r="527" spans="1:26" ht="16.5" customHeight="1">
      <c r="A527" s="73"/>
      <c r="B527" s="73"/>
      <c r="C527" s="73"/>
      <c r="D527" s="73"/>
      <c r="E527" s="73"/>
      <c r="F527" s="73"/>
      <c r="G527" s="73"/>
      <c r="H527" s="73"/>
      <c r="I527" s="73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</row>
    <row r="528" spans="1:26" ht="16.5" customHeight="1">
      <c r="A528" s="73"/>
      <c r="B528" s="73"/>
      <c r="C528" s="73"/>
      <c r="D528" s="73"/>
      <c r="E528" s="73"/>
      <c r="F528" s="73"/>
      <c r="G528" s="73"/>
      <c r="H528" s="73"/>
      <c r="I528" s="73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</row>
    <row r="529" spans="1:26" ht="16.5" customHeight="1">
      <c r="A529" s="73"/>
      <c r="B529" s="73"/>
      <c r="C529" s="73"/>
      <c r="D529" s="73"/>
      <c r="E529" s="73"/>
      <c r="F529" s="73"/>
      <c r="G529" s="73"/>
      <c r="H529" s="73"/>
      <c r="I529" s="73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</row>
    <row r="530" spans="1:26" ht="16.5" customHeight="1">
      <c r="A530" s="73"/>
      <c r="B530" s="73"/>
      <c r="C530" s="73"/>
      <c r="D530" s="73"/>
      <c r="E530" s="73"/>
      <c r="F530" s="73"/>
      <c r="G530" s="73"/>
      <c r="H530" s="73"/>
      <c r="I530" s="73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</row>
    <row r="531" spans="1:26" ht="16.5" customHeight="1">
      <c r="A531" s="73"/>
      <c r="B531" s="73"/>
      <c r="C531" s="73"/>
      <c r="D531" s="73"/>
      <c r="E531" s="73"/>
      <c r="F531" s="73"/>
      <c r="G531" s="73"/>
      <c r="H531" s="73"/>
      <c r="I531" s="73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</row>
    <row r="532" spans="1:26" ht="16.5" customHeight="1">
      <c r="A532" s="73"/>
      <c r="B532" s="73"/>
      <c r="C532" s="73"/>
      <c r="D532" s="73"/>
      <c r="E532" s="73"/>
      <c r="F532" s="73"/>
      <c r="G532" s="73"/>
      <c r="H532" s="73"/>
      <c r="I532" s="73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</row>
    <row r="533" spans="1:26" ht="16.5" customHeight="1">
      <c r="A533" s="73"/>
      <c r="B533" s="73"/>
      <c r="C533" s="73"/>
      <c r="D533" s="73"/>
      <c r="E533" s="73"/>
      <c r="F533" s="73"/>
      <c r="G533" s="73"/>
      <c r="H533" s="73"/>
      <c r="I533" s="73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</row>
    <row r="534" spans="1:26" ht="16.5" customHeight="1">
      <c r="A534" s="73"/>
      <c r="B534" s="73"/>
      <c r="C534" s="73"/>
      <c r="D534" s="73"/>
      <c r="E534" s="73"/>
      <c r="F534" s="73"/>
      <c r="G534" s="73"/>
      <c r="H534" s="73"/>
      <c r="I534" s="73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</row>
    <row r="535" spans="1:26" ht="16.5" customHeight="1">
      <c r="A535" s="73"/>
      <c r="B535" s="73"/>
      <c r="C535" s="73"/>
      <c r="D535" s="73"/>
      <c r="E535" s="73"/>
      <c r="F535" s="73"/>
      <c r="G535" s="73"/>
      <c r="H535" s="73"/>
      <c r="I535" s="73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</row>
    <row r="536" spans="1:26" ht="16.5" customHeight="1">
      <c r="A536" s="73"/>
      <c r="B536" s="73"/>
      <c r="C536" s="73"/>
      <c r="D536" s="73"/>
      <c r="E536" s="73"/>
      <c r="F536" s="73"/>
      <c r="G536" s="73"/>
      <c r="H536" s="73"/>
      <c r="I536" s="73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</row>
    <row r="537" spans="1:26" ht="16.5" customHeight="1">
      <c r="A537" s="73"/>
      <c r="B537" s="73"/>
      <c r="C537" s="73"/>
      <c r="D537" s="73"/>
      <c r="E537" s="73"/>
      <c r="F537" s="73"/>
      <c r="G537" s="73"/>
      <c r="H537" s="73"/>
      <c r="I537" s="73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</row>
    <row r="538" spans="1:26" ht="16.5" customHeight="1">
      <c r="A538" s="73"/>
      <c r="B538" s="73"/>
      <c r="C538" s="73"/>
      <c r="D538" s="73"/>
      <c r="E538" s="73"/>
      <c r="F538" s="73"/>
      <c r="G538" s="73"/>
      <c r="H538" s="73"/>
      <c r="I538" s="73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</row>
    <row r="539" spans="1:26" ht="16.5" customHeight="1">
      <c r="A539" s="73"/>
      <c r="B539" s="73"/>
      <c r="C539" s="73"/>
      <c r="D539" s="73"/>
      <c r="E539" s="73"/>
      <c r="F539" s="73"/>
      <c r="G539" s="73"/>
      <c r="H539" s="73"/>
      <c r="I539" s="73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</row>
    <row r="540" spans="1:26" ht="16.5" customHeight="1">
      <c r="A540" s="73"/>
      <c r="B540" s="73"/>
      <c r="C540" s="73"/>
      <c r="D540" s="73"/>
      <c r="E540" s="73"/>
      <c r="F540" s="73"/>
      <c r="G540" s="73"/>
      <c r="H540" s="73"/>
      <c r="I540" s="73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</row>
    <row r="541" spans="1:26" ht="16.5" customHeight="1">
      <c r="A541" s="73"/>
      <c r="B541" s="73"/>
      <c r="C541" s="73"/>
      <c r="D541" s="73"/>
      <c r="E541" s="73"/>
      <c r="F541" s="73"/>
      <c r="G541" s="73"/>
      <c r="H541" s="73"/>
      <c r="I541" s="73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</row>
    <row r="542" spans="1:26" ht="16.5" customHeight="1">
      <c r="A542" s="73"/>
      <c r="B542" s="73"/>
      <c r="C542" s="73"/>
      <c r="D542" s="73"/>
      <c r="E542" s="73"/>
      <c r="F542" s="73"/>
      <c r="G542" s="73"/>
      <c r="H542" s="73"/>
      <c r="I542" s="73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</row>
    <row r="543" spans="1:26" ht="16.5" customHeight="1">
      <c r="A543" s="73"/>
      <c r="B543" s="73"/>
      <c r="C543" s="73"/>
      <c r="D543" s="73"/>
      <c r="E543" s="73"/>
      <c r="F543" s="73"/>
      <c r="G543" s="73"/>
      <c r="H543" s="73"/>
      <c r="I543" s="73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</row>
    <row r="544" spans="1:26" ht="16.5" customHeight="1">
      <c r="A544" s="73"/>
      <c r="B544" s="73"/>
      <c r="C544" s="73"/>
      <c r="D544" s="73"/>
      <c r="E544" s="73"/>
      <c r="F544" s="73"/>
      <c r="G544" s="73"/>
      <c r="H544" s="73"/>
      <c r="I544" s="73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</row>
    <row r="545" spans="1:26" ht="16.5" customHeight="1">
      <c r="A545" s="73"/>
      <c r="B545" s="73"/>
      <c r="C545" s="73"/>
      <c r="D545" s="73"/>
      <c r="E545" s="73"/>
      <c r="F545" s="73"/>
      <c r="G545" s="73"/>
      <c r="H545" s="73"/>
      <c r="I545" s="73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</row>
    <row r="546" spans="1:26" ht="16.5" customHeight="1">
      <c r="A546" s="73"/>
      <c r="B546" s="73"/>
      <c r="C546" s="73"/>
      <c r="D546" s="73"/>
      <c r="E546" s="73"/>
      <c r="F546" s="73"/>
      <c r="G546" s="73"/>
      <c r="H546" s="73"/>
      <c r="I546" s="73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</row>
    <row r="547" spans="1:26" ht="16.5" customHeight="1">
      <c r="A547" s="73"/>
      <c r="B547" s="73"/>
      <c r="C547" s="73"/>
      <c r="D547" s="73"/>
      <c r="E547" s="73"/>
      <c r="F547" s="73"/>
      <c r="G547" s="73"/>
      <c r="H547" s="73"/>
      <c r="I547" s="73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</row>
    <row r="548" spans="1:26" ht="16.5" customHeight="1">
      <c r="A548" s="73"/>
      <c r="B548" s="73"/>
      <c r="C548" s="73"/>
      <c r="D548" s="73"/>
      <c r="E548" s="73"/>
      <c r="F548" s="73"/>
      <c r="G548" s="73"/>
      <c r="H548" s="73"/>
      <c r="I548" s="73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</row>
    <row r="549" spans="1:26" ht="16.5" customHeight="1">
      <c r="A549" s="73"/>
      <c r="B549" s="73"/>
      <c r="C549" s="73"/>
      <c r="D549" s="73"/>
      <c r="E549" s="73"/>
      <c r="F549" s="73"/>
      <c r="G549" s="73"/>
      <c r="H549" s="73"/>
      <c r="I549" s="73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</row>
    <row r="550" spans="1:26" ht="16.5" customHeight="1">
      <c r="A550" s="73"/>
      <c r="B550" s="73"/>
      <c r="C550" s="73"/>
      <c r="D550" s="73"/>
      <c r="E550" s="73"/>
      <c r="F550" s="73"/>
      <c r="G550" s="73"/>
      <c r="H550" s="73"/>
      <c r="I550" s="73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</row>
    <row r="551" spans="1:26" ht="16.5" customHeight="1">
      <c r="A551" s="73"/>
      <c r="B551" s="73"/>
      <c r="C551" s="73"/>
      <c r="D551" s="73"/>
      <c r="E551" s="73"/>
      <c r="F551" s="73"/>
      <c r="G551" s="73"/>
      <c r="H551" s="73"/>
      <c r="I551" s="73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</row>
    <row r="552" spans="1:26" ht="16.5" customHeight="1">
      <c r="A552" s="73"/>
      <c r="B552" s="73"/>
      <c r="C552" s="73"/>
      <c r="D552" s="73"/>
      <c r="E552" s="73"/>
      <c r="F552" s="73"/>
      <c r="G552" s="73"/>
      <c r="H552" s="73"/>
      <c r="I552" s="73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</row>
    <row r="553" spans="1:26" ht="16.5" customHeight="1">
      <c r="A553" s="73"/>
      <c r="B553" s="73"/>
      <c r="C553" s="73"/>
      <c r="D553" s="73"/>
      <c r="E553" s="73"/>
      <c r="F553" s="73"/>
      <c r="G553" s="73"/>
      <c r="H553" s="73"/>
      <c r="I553" s="73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</row>
    <row r="554" spans="1:26" ht="16.5" customHeight="1">
      <c r="A554" s="73"/>
      <c r="B554" s="73"/>
      <c r="C554" s="73"/>
      <c r="D554" s="73"/>
      <c r="E554" s="73"/>
      <c r="F554" s="73"/>
      <c r="G554" s="73"/>
      <c r="H554" s="73"/>
      <c r="I554" s="73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</row>
    <row r="555" spans="1:26" ht="16.5" customHeight="1">
      <c r="A555" s="73"/>
      <c r="B555" s="73"/>
      <c r="C555" s="73"/>
      <c r="D555" s="73"/>
      <c r="E555" s="73"/>
      <c r="F555" s="73"/>
      <c r="G555" s="73"/>
      <c r="H555" s="73"/>
      <c r="I555" s="73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</row>
    <row r="556" spans="1:26" ht="16.5" customHeight="1">
      <c r="A556" s="73"/>
      <c r="B556" s="73"/>
      <c r="C556" s="73"/>
      <c r="D556" s="73"/>
      <c r="E556" s="73"/>
      <c r="F556" s="73"/>
      <c r="G556" s="73"/>
      <c r="H556" s="73"/>
      <c r="I556" s="73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</row>
    <row r="557" spans="1:26" ht="16.5" customHeight="1">
      <c r="A557" s="73"/>
      <c r="B557" s="73"/>
      <c r="C557" s="73"/>
      <c r="D557" s="73"/>
      <c r="E557" s="73"/>
      <c r="F557" s="73"/>
      <c r="G557" s="73"/>
      <c r="H557" s="73"/>
      <c r="I557" s="73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</row>
    <row r="558" spans="1:26" ht="16.5" customHeight="1">
      <c r="A558" s="73"/>
      <c r="B558" s="73"/>
      <c r="C558" s="73"/>
      <c r="D558" s="73"/>
      <c r="E558" s="73"/>
      <c r="F558" s="73"/>
      <c r="G558" s="73"/>
      <c r="H558" s="73"/>
      <c r="I558" s="73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</row>
    <row r="559" spans="1:26" ht="16.5" customHeight="1">
      <c r="A559" s="73"/>
      <c r="B559" s="73"/>
      <c r="C559" s="73"/>
      <c r="D559" s="73"/>
      <c r="E559" s="73"/>
      <c r="F559" s="73"/>
      <c r="G559" s="73"/>
      <c r="H559" s="73"/>
      <c r="I559" s="73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</row>
    <row r="560" spans="1:26" ht="16.5" customHeight="1">
      <c r="A560" s="73"/>
      <c r="B560" s="73"/>
      <c r="C560" s="73"/>
      <c r="D560" s="73"/>
      <c r="E560" s="73"/>
      <c r="F560" s="73"/>
      <c r="G560" s="73"/>
      <c r="H560" s="73"/>
      <c r="I560" s="73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</row>
    <row r="561" spans="1:26" ht="16.5" customHeight="1">
      <c r="A561" s="73"/>
      <c r="B561" s="73"/>
      <c r="C561" s="73"/>
      <c r="D561" s="73"/>
      <c r="E561" s="73"/>
      <c r="F561" s="73"/>
      <c r="G561" s="73"/>
      <c r="H561" s="73"/>
      <c r="I561" s="73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</row>
    <row r="562" spans="1:26" ht="16.5" customHeight="1">
      <c r="A562" s="73"/>
      <c r="B562" s="73"/>
      <c r="C562" s="73"/>
      <c r="D562" s="73"/>
      <c r="E562" s="73"/>
      <c r="F562" s="73"/>
      <c r="G562" s="73"/>
      <c r="H562" s="73"/>
      <c r="I562" s="73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</row>
    <row r="563" spans="1:26" ht="16.5" customHeight="1">
      <c r="A563" s="73"/>
      <c r="B563" s="73"/>
      <c r="C563" s="73"/>
      <c r="D563" s="73"/>
      <c r="E563" s="73"/>
      <c r="F563" s="73"/>
      <c r="G563" s="73"/>
      <c r="H563" s="73"/>
      <c r="I563" s="73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</row>
    <row r="564" spans="1:26" ht="16.5" customHeight="1">
      <c r="A564" s="73"/>
      <c r="B564" s="73"/>
      <c r="C564" s="73"/>
      <c r="D564" s="73"/>
      <c r="E564" s="73"/>
      <c r="F564" s="73"/>
      <c r="G564" s="73"/>
      <c r="H564" s="73"/>
      <c r="I564" s="73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</row>
    <row r="565" spans="1:26" ht="16.5" customHeight="1">
      <c r="A565" s="73"/>
      <c r="B565" s="73"/>
      <c r="C565" s="73"/>
      <c r="D565" s="73"/>
      <c r="E565" s="73"/>
      <c r="F565" s="73"/>
      <c r="G565" s="73"/>
      <c r="H565" s="73"/>
      <c r="I565" s="73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</row>
    <row r="566" spans="1:26" ht="16.5" customHeight="1">
      <c r="A566" s="73"/>
      <c r="B566" s="73"/>
      <c r="C566" s="73"/>
      <c r="D566" s="73"/>
      <c r="E566" s="73"/>
      <c r="F566" s="73"/>
      <c r="G566" s="73"/>
      <c r="H566" s="73"/>
      <c r="I566" s="73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</row>
    <row r="567" spans="1:26" ht="16.5" customHeight="1">
      <c r="A567" s="73"/>
      <c r="B567" s="73"/>
      <c r="C567" s="73"/>
      <c r="D567" s="73"/>
      <c r="E567" s="73"/>
      <c r="F567" s="73"/>
      <c r="G567" s="73"/>
      <c r="H567" s="73"/>
      <c r="I567" s="73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</row>
    <row r="568" spans="1:26" ht="16.5" customHeight="1">
      <c r="A568" s="73"/>
      <c r="B568" s="73"/>
      <c r="C568" s="73"/>
      <c r="D568" s="73"/>
      <c r="E568" s="73"/>
      <c r="F568" s="73"/>
      <c r="G568" s="73"/>
      <c r="H568" s="73"/>
      <c r="I568" s="73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</row>
    <row r="569" spans="1:26" ht="16.5" customHeight="1">
      <c r="A569" s="73"/>
      <c r="B569" s="73"/>
      <c r="C569" s="73"/>
      <c r="D569" s="73"/>
      <c r="E569" s="73"/>
      <c r="F569" s="73"/>
      <c r="G569" s="73"/>
      <c r="H569" s="73"/>
      <c r="I569" s="73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</row>
    <row r="570" spans="1:26" ht="16.5" customHeight="1">
      <c r="A570" s="73"/>
      <c r="B570" s="73"/>
      <c r="C570" s="73"/>
      <c r="D570" s="73"/>
      <c r="E570" s="73"/>
      <c r="F570" s="73"/>
      <c r="G570" s="73"/>
      <c r="H570" s="73"/>
      <c r="I570" s="73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</row>
    <row r="571" spans="1:26" ht="16.5" customHeight="1">
      <c r="A571" s="73"/>
      <c r="B571" s="73"/>
      <c r="C571" s="73"/>
      <c r="D571" s="73"/>
      <c r="E571" s="73"/>
      <c r="F571" s="73"/>
      <c r="G571" s="73"/>
      <c r="H571" s="73"/>
      <c r="I571" s="73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</row>
    <row r="572" spans="1:26" ht="16.5" customHeight="1">
      <c r="A572" s="73"/>
      <c r="B572" s="73"/>
      <c r="C572" s="73"/>
      <c r="D572" s="73"/>
      <c r="E572" s="73"/>
      <c r="F572" s="73"/>
      <c r="G572" s="73"/>
      <c r="H572" s="73"/>
      <c r="I572" s="73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</row>
    <row r="573" spans="1:26" ht="16.5" customHeight="1">
      <c r="A573" s="73"/>
      <c r="B573" s="73"/>
      <c r="C573" s="73"/>
      <c r="D573" s="73"/>
      <c r="E573" s="73"/>
      <c r="F573" s="73"/>
      <c r="G573" s="73"/>
      <c r="H573" s="73"/>
      <c r="I573" s="73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</row>
    <row r="574" spans="1:26" ht="16.5" customHeight="1">
      <c r="A574" s="73"/>
      <c r="B574" s="73"/>
      <c r="C574" s="73"/>
      <c r="D574" s="73"/>
      <c r="E574" s="73"/>
      <c r="F574" s="73"/>
      <c r="G574" s="73"/>
      <c r="H574" s="73"/>
      <c r="I574" s="73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</row>
    <row r="575" spans="1:26" ht="16.5" customHeight="1">
      <c r="A575" s="73"/>
      <c r="B575" s="73"/>
      <c r="C575" s="73"/>
      <c r="D575" s="73"/>
      <c r="E575" s="73"/>
      <c r="F575" s="73"/>
      <c r="G575" s="73"/>
      <c r="H575" s="73"/>
      <c r="I575" s="73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</row>
    <row r="576" spans="1:26" ht="16.5" customHeight="1">
      <c r="A576" s="73"/>
      <c r="B576" s="73"/>
      <c r="C576" s="73"/>
      <c r="D576" s="73"/>
      <c r="E576" s="73"/>
      <c r="F576" s="73"/>
      <c r="G576" s="73"/>
      <c r="H576" s="73"/>
      <c r="I576" s="73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</row>
    <row r="577" spans="1:26" ht="16.5" customHeight="1">
      <c r="A577" s="73"/>
      <c r="B577" s="73"/>
      <c r="C577" s="73"/>
      <c r="D577" s="73"/>
      <c r="E577" s="73"/>
      <c r="F577" s="73"/>
      <c r="G577" s="73"/>
      <c r="H577" s="73"/>
      <c r="I577" s="73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</row>
    <row r="578" spans="1:26" ht="16.5" customHeight="1">
      <c r="A578" s="73"/>
      <c r="B578" s="73"/>
      <c r="C578" s="73"/>
      <c r="D578" s="73"/>
      <c r="E578" s="73"/>
      <c r="F578" s="73"/>
      <c r="G578" s="73"/>
      <c r="H578" s="73"/>
      <c r="I578" s="73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</row>
    <row r="579" spans="1:26" ht="16.5" customHeight="1">
      <c r="A579" s="73"/>
      <c r="B579" s="73"/>
      <c r="C579" s="73"/>
      <c r="D579" s="73"/>
      <c r="E579" s="73"/>
      <c r="F579" s="73"/>
      <c r="G579" s="73"/>
      <c r="H579" s="73"/>
      <c r="I579" s="73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</row>
    <row r="580" spans="1:26" ht="16.5" customHeight="1">
      <c r="A580" s="73"/>
      <c r="B580" s="73"/>
      <c r="C580" s="73"/>
      <c r="D580" s="73"/>
      <c r="E580" s="73"/>
      <c r="F580" s="73"/>
      <c r="G580" s="73"/>
      <c r="H580" s="73"/>
      <c r="I580" s="73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</row>
    <row r="581" spans="1:26" ht="16.5" customHeight="1">
      <c r="A581" s="73"/>
      <c r="B581" s="73"/>
      <c r="C581" s="73"/>
      <c r="D581" s="73"/>
      <c r="E581" s="73"/>
      <c r="F581" s="73"/>
      <c r="G581" s="73"/>
      <c r="H581" s="73"/>
      <c r="I581" s="73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</row>
    <row r="582" spans="1:26" ht="16.5" customHeight="1">
      <c r="A582" s="73"/>
      <c r="B582" s="73"/>
      <c r="C582" s="73"/>
      <c r="D582" s="73"/>
      <c r="E582" s="73"/>
      <c r="F582" s="73"/>
      <c r="G582" s="73"/>
      <c r="H582" s="73"/>
      <c r="I582" s="73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</row>
    <row r="583" spans="1:26" ht="16.5" customHeight="1">
      <c r="A583" s="73"/>
      <c r="B583" s="73"/>
      <c r="C583" s="73"/>
      <c r="D583" s="73"/>
      <c r="E583" s="73"/>
      <c r="F583" s="73"/>
      <c r="G583" s="73"/>
      <c r="H583" s="73"/>
      <c r="I583" s="73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</row>
    <row r="584" spans="1:26" ht="16.5" customHeight="1">
      <c r="A584" s="73"/>
      <c r="B584" s="73"/>
      <c r="C584" s="73"/>
      <c r="D584" s="73"/>
      <c r="E584" s="73"/>
      <c r="F584" s="73"/>
      <c r="G584" s="73"/>
      <c r="H584" s="73"/>
      <c r="I584" s="73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</row>
    <row r="585" spans="1:26" ht="16.5" customHeight="1">
      <c r="A585" s="73"/>
      <c r="B585" s="73"/>
      <c r="C585" s="73"/>
      <c r="D585" s="73"/>
      <c r="E585" s="73"/>
      <c r="F585" s="73"/>
      <c r="G585" s="73"/>
      <c r="H585" s="73"/>
      <c r="I585" s="73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</row>
    <row r="586" spans="1:26" ht="16.5" customHeight="1">
      <c r="A586" s="73"/>
      <c r="B586" s="73"/>
      <c r="C586" s="73"/>
      <c r="D586" s="73"/>
      <c r="E586" s="73"/>
      <c r="F586" s="73"/>
      <c r="G586" s="73"/>
      <c r="H586" s="73"/>
      <c r="I586" s="73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</row>
    <row r="587" spans="1:26" ht="16.5" customHeight="1">
      <c r="A587" s="73"/>
      <c r="B587" s="73"/>
      <c r="C587" s="73"/>
      <c r="D587" s="73"/>
      <c r="E587" s="73"/>
      <c r="F587" s="73"/>
      <c r="G587" s="73"/>
      <c r="H587" s="73"/>
      <c r="I587" s="73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</row>
    <row r="588" spans="1:26" ht="16.5" customHeight="1">
      <c r="A588" s="73"/>
      <c r="B588" s="73"/>
      <c r="C588" s="73"/>
      <c r="D588" s="73"/>
      <c r="E588" s="73"/>
      <c r="F588" s="73"/>
      <c r="G588" s="73"/>
      <c r="H588" s="73"/>
      <c r="I588" s="73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</row>
    <row r="589" spans="1:26" ht="16.5" customHeight="1">
      <c r="A589" s="73"/>
      <c r="B589" s="73"/>
      <c r="C589" s="73"/>
      <c r="D589" s="73"/>
      <c r="E589" s="73"/>
      <c r="F589" s="73"/>
      <c r="G589" s="73"/>
      <c r="H589" s="73"/>
      <c r="I589" s="73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</row>
    <row r="590" spans="1:26" ht="16.5" customHeight="1">
      <c r="A590" s="73"/>
      <c r="B590" s="73"/>
      <c r="C590" s="73"/>
      <c r="D590" s="73"/>
      <c r="E590" s="73"/>
      <c r="F590" s="73"/>
      <c r="G590" s="73"/>
      <c r="H590" s="73"/>
      <c r="I590" s="73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</row>
    <row r="591" spans="1:26" ht="16.5" customHeight="1">
      <c r="A591" s="73"/>
      <c r="B591" s="73"/>
      <c r="C591" s="73"/>
      <c r="D591" s="73"/>
      <c r="E591" s="73"/>
      <c r="F591" s="73"/>
      <c r="G591" s="73"/>
      <c r="H591" s="73"/>
      <c r="I591" s="73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</row>
    <row r="592" spans="1:26" ht="16.5" customHeight="1">
      <c r="A592" s="73"/>
      <c r="B592" s="73"/>
      <c r="C592" s="73"/>
      <c r="D592" s="73"/>
      <c r="E592" s="73"/>
      <c r="F592" s="73"/>
      <c r="G592" s="73"/>
      <c r="H592" s="73"/>
      <c r="I592" s="73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</row>
    <row r="593" spans="1:26" ht="16.5" customHeight="1">
      <c r="A593" s="73"/>
      <c r="B593" s="73"/>
      <c r="C593" s="73"/>
      <c r="D593" s="73"/>
      <c r="E593" s="73"/>
      <c r="F593" s="73"/>
      <c r="G593" s="73"/>
      <c r="H593" s="73"/>
      <c r="I593" s="73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</row>
    <row r="594" spans="1:26" ht="16.5" customHeight="1">
      <c r="A594" s="73"/>
      <c r="B594" s="73"/>
      <c r="C594" s="73"/>
      <c r="D594" s="73"/>
      <c r="E594" s="73"/>
      <c r="F594" s="73"/>
      <c r="G594" s="73"/>
      <c r="H594" s="73"/>
      <c r="I594" s="73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</row>
    <row r="595" spans="1:26" ht="16.5" customHeight="1">
      <c r="A595" s="73"/>
      <c r="B595" s="73"/>
      <c r="C595" s="73"/>
      <c r="D595" s="73"/>
      <c r="E595" s="73"/>
      <c r="F595" s="73"/>
      <c r="G595" s="73"/>
      <c r="H595" s="73"/>
      <c r="I595" s="73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</row>
    <row r="596" spans="1:26" ht="16.5" customHeight="1">
      <c r="A596" s="73"/>
      <c r="B596" s="73"/>
      <c r="C596" s="73"/>
      <c r="D596" s="73"/>
      <c r="E596" s="73"/>
      <c r="F596" s="73"/>
      <c r="G596" s="73"/>
      <c r="H596" s="73"/>
      <c r="I596" s="73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</row>
    <row r="597" spans="1:26" ht="16.5" customHeight="1">
      <c r="A597" s="73"/>
      <c r="B597" s="73"/>
      <c r="C597" s="73"/>
      <c r="D597" s="73"/>
      <c r="E597" s="73"/>
      <c r="F597" s="73"/>
      <c r="G597" s="73"/>
      <c r="H597" s="73"/>
      <c r="I597" s="73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</row>
    <row r="598" spans="1:26" ht="16.5" customHeight="1">
      <c r="A598" s="73"/>
      <c r="B598" s="73"/>
      <c r="C598" s="73"/>
      <c r="D598" s="73"/>
      <c r="E598" s="73"/>
      <c r="F598" s="73"/>
      <c r="G598" s="73"/>
      <c r="H598" s="73"/>
      <c r="I598" s="73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</row>
    <row r="599" spans="1:26" ht="16.5" customHeight="1">
      <c r="A599" s="73"/>
      <c r="B599" s="73"/>
      <c r="C599" s="73"/>
      <c r="D599" s="73"/>
      <c r="E599" s="73"/>
      <c r="F599" s="73"/>
      <c r="G599" s="73"/>
      <c r="H599" s="73"/>
      <c r="I599" s="73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</row>
    <row r="600" spans="1:26" ht="16.5" customHeight="1">
      <c r="A600" s="73"/>
      <c r="B600" s="73"/>
      <c r="C600" s="73"/>
      <c r="D600" s="73"/>
      <c r="E600" s="73"/>
      <c r="F600" s="73"/>
      <c r="G600" s="73"/>
      <c r="H600" s="73"/>
      <c r="I600" s="73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</row>
    <row r="601" spans="1:26" ht="16.5" customHeight="1">
      <c r="A601" s="73"/>
      <c r="B601" s="73"/>
      <c r="C601" s="73"/>
      <c r="D601" s="73"/>
      <c r="E601" s="73"/>
      <c r="F601" s="73"/>
      <c r="G601" s="73"/>
      <c r="H601" s="73"/>
      <c r="I601" s="73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</row>
    <row r="602" spans="1:26" ht="16.5" customHeight="1">
      <c r="A602" s="73"/>
      <c r="B602" s="73"/>
      <c r="C602" s="73"/>
      <c r="D602" s="73"/>
      <c r="E602" s="73"/>
      <c r="F602" s="73"/>
      <c r="G602" s="73"/>
      <c r="H602" s="73"/>
      <c r="I602" s="73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</row>
    <row r="603" spans="1:26" ht="16.5" customHeight="1">
      <c r="A603" s="73"/>
      <c r="B603" s="73"/>
      <c r="C603" s="73"/>
      <c r="D603" s="73"/>
      <c r="E603" s="73"/>
      <c r="F603" s="73"/>
      <c r="G603" s="73"/>
      <c r="H603" s="73"/>
      <c r="I603" s="73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</row>
    <row r="604" spans="1:26" ht="16.5" customHeight="1">
      <c r="A604" s="73"/>
      <c r="B604" s="73"/>
      <c r="C604" s="73"/>
      <c r="D604" s="73"/>
      <c r="E604" s="73"/>
      <c r="F604" s="73"/>
      <c r="G604" s="73"/>
      <c r="H604" s="73"/>
      <c r="I604" s="73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</row>
    <row r="605" spans="1:26" ht="16.5" customHeight="1">
      <c r="A605" s="73"/>
      <c r="B605" s="73"/>
      <c r="C605" s="73"/>
      <c r="D605" s="73"/>
      <c r="E605" s="73"/>
      <c r="F605" s="73"/>
      <c r="G605" s="73"/>
      <c r="H605" s="73"/>
      <c r="I605" s="73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</row>
    <row r="606" spans="1:26" ht="16.5" customHeight="1">
      <c r="A606" s="73"/>
      <c r="B606" s="73"/>
      <c r="C606" s="73"/>
      <c r="D606" s="73"/>
      <c r="E606" s="73"/>
      <c r="F606" s="73"/>
      <c r="G606" s="73"/>
      <c r="H606" s="73"/>
      <c r="I606" s="73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</row>
    <row r="607" spans="1:26" ht="16.5" customHeight="1">
      <c r="A607" s="73"/>
      <c r="B607" s="73"/>
      <c r="C607" s="73"/>
      <c r="D607" s="73"/>
      <c r="E607" s="73"/>
      <c r="F607" s="73"/>
      <c r="G607" s="73"/>
      <c r="H607" s="73"/>
      <c r="I607" s="73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</row>
    <row r="608" spans="1:26" ht="16.5" customHeight="1">
      <c r="A608" s="73"/>
      <c r="B608" s="73"/>
      <c r="C608" s="73"/>
      <c r="D608" s="73"/>
      <c r="E608" s="73"/>
      <c r="F608" s="73"/>
      <c r="G608" s="73"/>
      <c r="H608" s="73"/>
      <c r="I608" s="73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</row>
    <row r="609" spans="1:26" ht="16.5" customHeight="1">
      <c r="A609" s="73"/>
      <c r="B609" s="73"/>
      <c r="C609" s="73"/>
      <c r="D609" s="73"/>
      <c r="E609" s="73"/>
      <c r="F609" s="73"/>
      <c r="G609" s="73"/>
      <c r="H609" s="73"/>
      <c r="I609" s="73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</row>
    <row r="610" spans="1:26" ht="16.5" customHeight="1">
      <c r="A610" s="73"/>
      <c r="B610" s="73"/>
      <c r="C610" s="73"/>
      <c r="D610" s="73"/>
      <c r="E610" s="73"/>
      <c r="F610" s="73"/>
      <c r="G610" s="73"/>
      <c r="H610" s="73"/>
      <c r="I610" s="73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</row>
    <row r="611" spans="1:26" ht="16.5" customHeight="1">
      <c r="A611" s="73"/>
      <c r="B611" s="73"/>
      <c r="C611" s="73"/>
      <c r="D611" s="73"/>
      <c r="E611" s="73"/>
      <c r="F611" s="73"/>
      <c r="G611" s="73"/>
      <c r="H611" s="73"/>
      <c r="I611" s="73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</row>
    <row r="612" spans="1:26" ht="16.5" customHeight="1">
      <c r="A612" s="73"/>
      <c r="B612" s="73"/>
      <c r="C612" s="73"/>
      <c r="D612" s="73"/>
      <c r="E612" s="73"/>
      <c r="F612" s="73"/>
      <c r="G612" s="73"/>
      <c r="H612" s="73"/>
      <c r="I612" s="73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</row>
    <row r="613" spans="1:26" ht="16.5" customHeight="1">
      <c r="A613" s="73"/>
      <c r="B613" s="73"/>
      <c r="C613" s="73"/>
      <c r="D613" s="73"/>
      <c r="E613" s="73"/>
      <c r="F613" s="73"/>
      <c r="G613" s="73"/>
      <c r="H613" s="73"/>
      <c r="I613" s="73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</row>
    <row r="614" spans="1:26" ht="16.5" customHeight="1">
      <c r="A614" s="73"/>
      <c r="B614" s="73"/>
      <c r="C614" s="73"/>
      <c r="D614" s="73"/>
      <c r="E614" s="73"/>
      <c r="F614" s="73"/>
      <c r="G614" s="73"/>
      <c r="H614" s="73"/>
      <c r="I614" s="73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</row>
    <row r="615" spans="1:26" ht="16.5" customHeight="1">
      <c r="A615" s="73"/>
      <c r="B615" s="73"/>
      <c r="C615" s="73"/>
      <c r="D615" s="73"/>
      <c r="E615" s="73"/>
      <c r="F615" s="73"/>
      <c r="G615" s="73"/>
      <c r="H615" s="73"/>
      <c r="I615" s="73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</row>
    <row r="616" spans="1:26" ht="16.5" customHeight="1">
      <c r="A616" s="73"/>
      <c r="B616" s="73"/>
      <c r="C616" s="73"/>
      <c r="D616" s="73"/>
      <c r="E616" s="73"/>
      <c r="F616" s="73"/>
      <c r="G616" s="73"/>
      <c r="H616" s="73"/>
      <c r="I616" s="73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</row>
    <row r="617" spans="1:26" ht="16.5" customHeight="1">
      <c r="A617" s="73"/>
      <c r="B617" s="73"/>
      <c r="C617" s="73"/>
      <c r="D617" s="73"/>
      <c r="E617" s="73"/>
      <c r="F617" s="73"/>
      <c r="G617" s="73"/>
      <c r="H617" s="73"/>
      <c r="I617" s="73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</row>
    <row r="618" spans="1:26" ht="16.5" customHeight="1">
      <c r="A618" s="73"/>
      <c r="B618" s="73"/>
      <c r="C618" s="73"/>
      <c r="D618" s="73"/>
      <c r="E618" s="73"/>
      <c r="F618" s="73"/>
      <c r="G618" s="73"/>
      <c r="H618" s="73"/>
      <c r="I618" s="73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</row>
    <row r="619" spans="1:26" ht="16.5" customHeight="1">
      <c r="A619" s="73"/>
      <c r="B619" s="73"/>
      <c r="C619" s="73"/>
      <c r="D619" s="73"/>
      <c r="E619" s="73"/>
      <c r="F619" s="73"/>
      <c r="G619" s="73"/>
      <c r="H619" s="73"/>
      <c r="I619" s="73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</row>
    <row r="620" spans="1:26" ht="16.5" customHeight="1">
      <c r="A620" s="73"/>
      <c r="B620" s="73"/>
      <c r="C620" s="73"/>
      <c r="D620" s="73"/>
      <c r="E620" s="73"/>
      <c r="F620" s="73"/>
      <c r="G620" s="73"/>
      <c r="H620" s="73"/>
      <c r="I620" s="73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</row>
    <row r="621" spans="1:26" ht="16.5" customHeight="1">
      <c r="A621" s="73"/>
      <c r="B621" s="73"/>
      <c r="C621" s="73"/>
      <c r="D621" s="73"/>
      <c r="E621" s="73"/>
      <c r="F621" s="73"/>
      <c r="G621" s="73"/>
      <c r="H621" s="73"/>
      <c r="I621" s="73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</row>
    <row r="622" spans="1:26" ht="16.5" customHeight="1">
      <c r="A622" s="73"/>
      <c r="B622" s="73"/>
      <c r="C622" s="73"/>
      <c r="D622" s="73"/>
      <c r="E622" s="73"/>
      <c r="F622" s="73"/>
      <c r="G622" s="73"/>
      <c r="H622" s="73"/>
      <c r="I622" s="73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</row>
    <row r="623" spans="1:26" ht="16.5" customHeight="1">
      <c r="A623" s="73"/>
      <c r="B623" s="73"/>
      <c r="C623" s="73"/>
      <c r="D623" s="73"/>
      <c r="E623" s="73"/>
      <c r="F623" s="73"/>
      <c r="G623" s="73"/>
      <c r="H623" s="73"/>
      <c r="I623" s="73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</row>
    <row r="624" spans="1:26" ht="16.5" customHeight="1">
      <c r="A624" s="73"/>
      <c r="B624" s="73"/>
      <c r="C624" s="73"/>
      <c r="D624" s="73"/>
      <c r="E624" s="73"/>
      <c r="F624" s="73"/>
      <c r="G624" s="73"/>
      <c r="H624" s="73"/>
      <c r="I624" s="73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</row>
    <row r="625" spans="1:26" ht="16.5" customHeight="1">
      <c r="A625" s="73"/>
      <c r="B625" s="73"/>
      <c r="C625" s="73"/>
      <c r="D625" s="73"/>
      <c r="E625" s="73"/>
      <c r="F625" s="73"/>
      <c r="G625" s="73"/>
      <c r="H625" s="73"/>
      <c r="I625" s="73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</row>
    <row r="626" spans="1:26" ht="16.5" customHeight="1">
      <c r="A626" s="73"/>
      <c r="B626" s="73"/>
      <c r="C626" s="73"/>
      <c r="D626" s="73"/>
      <c r="E626" s="73"/>
      <c r="F626" s="73"/>
      <c r="G626" s="73"/>
      <c r="H626" s="73"/>
      <c r="I626" s="73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</row>
    <row r="627" spans="1:26" ht="16.5" customHeight="1">
      <c r="A627" s="73"/>
      <c r="B627" s="73"/>
      <c r="C627" s="73"/>
      <c r="D627" s="73"/>
      <c r="E627" s="73"/>
      <c r="F627" s="73"/>
      <c r="G627" s="73"/>
      <c r="H627" s="73"/>
      <c r="I627" s="73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</row>
    <row r="628" spans="1:26" ht="16.5" customHeight="1">
      <c r="A628" s="73"/>
      <c r="B628" s="73"/>
      <c r="C628" s="73"/>
      <c r="D628" s="73"/>
      <c r="E628" s="73"/>
      <c r="F628" s="73"/>
      <c r="G628" s="73"/>
      <c r="H628" s="73"/>
      <c r="I628" s="73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</row>
    <row r="629" spans="1:26" ht="16.5" customHeight="1">
      <c r="A629" s="73"/>
      <c r="B629" s="73"/>
      <c r="C629" s="73"/>
      <c r="D629" s="73"/>
      <c r="E629" s="73"/>
      <c r="F629" s="73"/>
      <c r="G629" s="73"/>
      <c r="H629" s="73"/>
      <c r="I629" s="73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</row>
    <row r="630" spans="1:26" ht="16.5" customHeight="1">
      <c r="A630" s="73"/>
      <c r="B630" s="73"/>
      <c r="C630" s="73"/>
      <c r="D630" s="73"/>
      <c r="E630" s="73"/>
      <c r="F630" s="73"/>
      <c r="G630" s="73"/>
      <c r="H630" s="73"/>
      <c r="I630" s="73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</row>
    <row r="631" spans="1:26" ht="16.5" customHeight="1">
      <c r="A631" s="73"/>
      <c r="B631" s="73"/>
      <c r="C631" s="73"/>
      <c r="D631" s="73"/>
      <c r="E631" s="73"/>
      <c r="F631" s="73"/>
      <c r="G631" s="73"/>
      <c r="H631" s="73"/>
      <c r="I631" s="73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</row>
    <row r="632" spans="1:26" ht="16.5" customHeight="1">
      <c r="A632" s="73"/>
      <c r="B632" s="73"/>
      <c r="C632" s="73"/>
      <c r="D632" s="73"/>
      <c r="E632" s="73"/>
      <c r="F632" s="73"/>
      <c r="G632" s="73"/>
      <c r="H632" s="73"/>
      <c r="I632" s="73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</row>
    <row r="633" spans="1:26" ht="16.5" customHeight="1">
      <c r="A633" s="73"/>
      <c r="B633" s="73"/>
      <c r="C633" s="73"/>
      <c r="D633" s="73"/>
      <c r="E633" s="73"/>
      <c r="F633" s="73"/>
      <c r="G633" s="73"/>
      <c r="H633" s="73"/>
      <c r="I633" s="73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</row>
    <row r="634" spans="1:26" ht="16.5" customHeight="1">
      <c r="A634" s="73"/>
      <c r="B634" s="73"/>
      <c r="C634" s="73"/>
      <c r="D634" s="73"/>
      <c r="E634" s="73"/>
      <c r="F634" s="73"/>
      <c r="G634" s="73"/>
      <c r="H634" s="73"/>
      <c r="I634" s="73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</row>
    <row r="635" spans="1:26" ht="16.5" customHeight="1">
      <c r="A635" s="73"/>
      <c r="B635" s="73"/>
      <c r="C635" s="73"/>
      <c r="D635" s="73"/>
      <c r="E635" s="73"/>
      <c r="F635" s="73"/>
      <c r="G635" s="73"/>
      <c r="H635" s="73"/>
      <c r="I635" s="73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</row>
    <row r="636" spans="1:26" ht="16.5" customHeight="1">
      <c r="A636" s="73"/>
      <c r="B636" s="73"/>
      <c r="C636" s="73"/>
      <c r="D636" s="73"/>
      <c r="E636" s="73"/>
      <c r="F636" s="73"/>
      <c r="G636" s="73"/>
      <c r="H636" s="73"/>
      <c r="I636" s="73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</row>
    <row r="637" spans="1:26" ht="16.5" customHeight="1">
      <c r="A637" s="73"/>
      <c r="B637" s="73"/>
      <c r="C637" s="73"/>
      <c r="D637" s="73"/>
      <c r="E637" s="73"/>
      <c r="F637" s="73"/>
      <c r="G637" s="73"/>
      <c r="H637" s="73"/>
      <c r="I637" s="73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</row>
    <row r="638" spans="1:26" ht="16.5" customHeight="1">
      <c r="A638" s="73"/>
      <c r="B638" s="73"/>
      <c r="C638" s="73"/>
      <c r="D638" s="73"/>
      <c r="E638" s="73"/>
      <c r="F638" s="73"/>
      <c r="G638" s="73"/>
      <c r="H638" s="73"/>
      <c r="I638" s="73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</row>
    <row r="639" spans="1:26" ht="16.5" customHeight="1">
      <c r="A639" s="73"/>
      <c r="B639" s="73"/>
      <c r="C639" s="73"/>
      <c r="D639" s="73"/>
      <c r="E639" s="73"/>
      <c r="F639" s="73"/>
      <c r="G639" s="73"/>
      <c r="H639" s="73"/>
      <c r="I639" s="73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</row>
    <row r="640" spans="1:26" ht="16.5" customHeight="1">
      <c r="A640" s="73"/>
      <c r="B640" s="73"/>
      <c r="C640" s="73"/>
      <c r="D640" s="73"/>
      <c r="E640" s="73"/>
      <c r="F640" s="73"/>
      <c r="G640" s="73"/>
      <c r="H640" s="73"/>
      <c r="I640" s="73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</row>
    <row r="641" spans="1:26" ht="16.5" customHeight="1">
      <c r="A641" s="73"/>
      <c r="B641" s="73"/>
      <c r="C641" s="73"/>
      <c r="D641" s="73"/>
      <c r="E641" s="73"/>
      <c r="F641" s="73"/>
      <c r="G641" s="73"/>
      <c r="H641" s="73"/>
      <c r="I641" s="73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</row>
    <row r="642" spans="1:26" ht="16.5" customHeight="1">
      <c r="A642" s="73"/>
      <c r="B642" s="73"/>
      <c r="C642" s="73"/>
      <c r="D642" s="73"/>
      <c r="E642" s="73"/>
      <c r="F642" s="73"/>
      <c r="G642" s="73"/>
      <c r="H642" s="73"/>
      <c r="I642" s="73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</row>
    <row r="643" spans="1:26" ht="16.5" customHeight="1">
      <c r="A643" s="73"/>
      <c r="B643" s="73"/>
      <c r="C643" s="73"/>
      <c r="D643" s="73"/>
      <c r="E643" s="73"/>
      <c r="F643" s="73"/>
      <c r="G643" s="73"/>
      <c r="H643" s="73"/>
      <c r="I643" s="73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</row>
    <row r="644" spans="1:26" ht="16.5" customHeight="1">
      <c r="A644" s="73"/>
      <c r="B644" s="73"/>
      <c r="C644" s="73"/>
      <c r="D644" s="73"/>
      <c r="E644" s="73"/>
      <c r="F644" s="73"/>
      <c r="G644" s="73"/>
      <c r="H644" s="73"/>
      <c r="I644" s="73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</row>
    <row r="645" spans="1:26" ht="16.5" customHeight="1">
      <c r="A645" s="73"/>
      <c r="B645" s="73"/>
      <c r="C645" s="73"/>
      <c r="D645" s="73"/>
      <c r="E645" s="73"/>
      <c r="F645" s="73"/>
      <c r="G645" s="73"/>
      <c r="H645" s="73"/>
      <c r="I645" s="73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</row>
    <row r="646" spans="1:26" ht="16.5" customHeight="1">
      <c r="A646" s="73"/>
      <c r="B646" s="73"/>
      <c r="C646" s="73"/>
      <c r="D646" s="73"/>
      <c r="E646" s="73"/>
      <c r="F646" s="73"/>
      <c r="G646" s="73"/>
      <c r="H646" s="73"/>
      <c r="I646" s="73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</row>
    <row r="647" spans="1:26" ht="16.5" customHeight="1">
      <c r="A647" s="73"/>
      <c r="B647" s="73"/>
      <c r="C647" s="73"/>
      <c r="D647" s="73"/>
      <c r="E647" s="73"/>
      <c r="F647" s="73"/>
      <c r="G647" s="73"/>
      <c r="H647" s="73"/>
      <c r="I647" s="73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</row>
    <row r="648" spans="1:26" ht="16.5" customHeight="1">
      <c r="A648" s="73"/>
      <c r="B648" s="73"/>
      <c r="C648" s="73"/>
      <c r="D648" s="73"/>
      <c r="E648" s="73"/>
      <c r="F648" s="73"/>
      <c r="G648" s="73"/>
      <c r="H648" s="73"/>
      <c r="I648" s="73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</row>
    <row r="649" spans="1:26" ht="16.5" customHeight="1">
      <c r="A649" s="73"/>
      <c r="B649" s="73"/>
      <c r="C649" s="73"/>
      <c r="D649" s="73"/>
      <c r="E649" s="73"/>
      <c r="F649" s="73"/>
      <c r="G649" s="73"/>
      <c r="H649" s="73"/>
      <c r="I649" s="73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</row>
    <row r="650" spans="1:26" ht="16.5" customHeight="1">
      <c r="A650" s="73"/>
      <c r="B650" s="73"/>
      <c r="C650" s="73"/>
      <c r="D650" s="73"/>
      <c r="E650" s="73"/>
      <c r="F650" s="73"/>
      <c r="G650" s="73"/>
      <c r="H650" s="73"/>
      <c r="I650" s="73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</row>
    <row r="651" spans="1:26" ht="16.5" customHeight="1">
      <c r="A651" s="73"/>
      <c r="B651" s="73"/>
      <c r="C651" s="73"/>
      <c r="D651" s="73"/>
      <c r="E651" s="73"/>
      <c r="F651" s="73"/>
      <c r="G651" s="73"/>
      <c r="H651" s="73"/>
      <c r="I651" s="73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</row>
    <row r="652" spans="1:26" ht="16.5" customHeight="1">
      <c r="A652" s="73"/>
      <c r="B652" s="73"/>
      <c r="C652" s="73"/>
      <c r="D652" s="73"/>
      <c r="E652" s="73"/>
      <c r="F652" s="73"/>
      <c r="G652" s="73"/>
      <c r="H652" s="73"/>
      <c r="I652" s="73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</row>
    <row r="653" spans="1:26" ht="16.5" customHeight="1">
      <c r="A653" s="73"/>
      <c r="B653" s="73"/>
      <c r="C653" s="73"/>
      <c r="D653" s="73"/>
      <c r="E653" s="73"/>
      <c r="F653" s="73"/>
      <c r="G653" s="73"/>
      <c r="H653" s="73"/>
      <c r="I653" s="73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</row>
    <row r="654" spans="1:26" ht="16.5" customHeight="1">
      <c r="A654" s="73"/>
      <c r="B654" s="73"/>
      <c r="C654" s="73"/>
      <c r="D654" s="73"/>
      <c r="E654" s="73"/>
      <c r="F654" s="73"/>
      <c r="G654" s="73"/>
      <c r="H654" s="73"/>
      <c r="I654" s="73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</row>
    <row r="655" spans="1:26" ht="16.5" customHeight="1">
      <c r="A655" s="73"/>
      <c r="B655" s="73"/>
      <c r="C655" s="73"/>
      <c r="D655" s="73"/>
      <c r="E655" s="73"/>
      <c r="F655" s="73"/>
      <c r="G655" s="73"/>
      <c r="H655" s="73"/>
      <c r="I655" s="73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</row>
    <row r="656" spans="1:26" ht="16.5" customHeight="1">
      <c r="A656" s="73"/>
      <c r="B656" s="73"/>
      <c r="C656" s="73"/>
      <c r="D656" s="73"/>
      <c r="E656" s="73"/>
      <c r="F656" s="73"/>
      <c r="G656" s="73"/>
      <c r="H656" s="73"/>
      <c r="I656" s="73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</row>
    <row r="657" spans="1:26" ht="16.5" customHeight="1">
      <c r="A657" s="73"/>
      <c r="B657" s="73"/>
      <c r="C657" s="73"/>
      <c r="D657" s="73"/>
      <c r="E657" s="73"/>
      <c r="F657" s="73"/>
      <c r="G657" s="73"/>
      <c r="H657" s="73"/>
      <c r="I657" s="73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</row>
    <row r="658" spans="1:26" ht="16.5" customHeight="1">
      <c r="A658" s="73"/>
      <c r="B658" s="73"/>
      <c r="C658" s="73"/>
      <c r="D658" s="73"/>
      <c r="E658" s="73"/>
      <c r="F658" s="73"/>
      <c r="G658" s="73"/>
      <c r="H658" s="73"/>
      <c r="I658" s="73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</row>
    <row r="659" spans="1:26" ht="16.5" customHeight="1">
      <c r="A659" s="73"/>
      <c r="B659" s="73"/>
      <c r="C659" s="73"/>
      <c r="D659" s="73"/>
      <c r="E659" s="73"/>
      <c r="F659" s="73"/>
      <c r="G659" s="73"/>
      <c r="H659" s="73"/>
      <c r="I659" s="73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</row>
    <row r="660" spans="1:26" ht="16.5" customHeight="1">
      <c r="A660" s="73"/>
      <c r="B660" s="73"/>
      <c r="C660" s="73"/>
      <c r="D660" s="73"/>
      <c r="E660" s="73"/>
      <c r="F660" s="73"/>
      <c r="G660" s="73"/>
      <c r="H660" s="73"/>
      <c r="I660" s="73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</row>
    <row r="661" spans="1:26" ht="16.5" customHeight="1">
      <c r="A661" s="73"/>
      <c r="B661" s="73"/>
      <c r="C661" s="73"/>
      <c r="D661" s="73"/>
      <c r="E661" s="73"/>
      <c r="F661" s="73"/>
      <c r="G661" s="73"/>
      <c r="H661" s="73"/>
      <c r="I661" s="73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</row>
    <row r="662" spans="1:26" ht="16.5" customHeight="1">
      <c r="A662" s="73"/>
      <c r="B662" s="73"/>
      <c r="C662" s="73"/>
      <c r="D662" s="73"/>
      <c r="E662" s="73"/>
      <c r="F662" s="73"/>
      <c r="G662" s="73"/>
      <c r="H662" s="73"/>
      <c r="I662" s="73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</row>
    <row r="663" spans="1:26" ht="16.5" customHeight="1">
      <c r="A663" s="73"/>
      <c r="B663" s="73"/>
      <c r="C663" s="73"/>
      <c r="D663" s="73"/>
      <c r="E663" s="73"/>
      <c r="F663" s="73"/>
      <c r="G663" s="73"/>
      <c r="H663" s="73"/>
      <c r="I663" s="73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</row>
    <row r="664" spans="1:26" ht="16.5" customHeight="1">
      <c r="A664" s="73"/>
      <c r="B664" s="73"/>
      <c r="C664" s="73"/>
      <c r="D664" s="73"/>
      <c r="E664" s="73"/>
      <c r="F664" s="73"/>
      <c r="G664" s="73"/>
      <c r="H664" s="73"/>
      <c r="I664" s="73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</row>
    <row r="665" spans="1:26" ht="16.5" customHeight="1">
      <c r="A665" s="73"/>
      <c r="B665" s="73"/>
      <c r="C665" s="73"/>
      <c r="D665" s="73"/>
      <c r="E665" s="73"/>
      <c r="F665" s="73"/>
      <c r="G665" s="73"/>
      <c r="H665" s="73"/>
      <c r="I665" s="73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</row>
    <row r="666" spans="1:26" ht="16.5" customHeight="1">
      <c r="A666" s="73"/>
      <c r="B666" s="73"/>
      <c r="C666" s="73"/>
      <c r="D666" s="73"/>
      <c r="E666" s="73"/>
      <c r="F666" s="73"/>
      <c r="G666" s="73"/>
      <c r="H666" s="73"/>
      <c r="I666" s="73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</row>
    <row r="667" spans="1:26" ht="16.5" customHeight="1">
      <c r="A667" s="73"/>
      <c r="B667" s="73"/>
      <c r="C667" s="73"/>
      <c r="D667" s="73"/>
      <c r="E667" s="73"/>
      <c r="F667" s="73"/>
      <c r="G667" s="73"/>
      <c r="H667" s="73"/>
      <c r="I667" s="73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</row>
    <row r="668" spans="1:26" ht="16.5" customHeight="1">
      <c r="A668" s="73"/>
      <c r="B668" s="73"/>
      <c r="C668" s="73"/>
      <c r="D668" s="73"/>
      <c r="E668" s="73"/>
      <c r="F668" s="73"/>
      <c r="G668" s="73"/>
      <c r="H668" s="73"/>
      <c r="I668" s="73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</row>
    <row r="669" spans="1:26" ht="16.5" customHeight="1">
      <c r="A669" s="73"/>
      <c r="B669" s="73"/>
      <c r="C669" s="73"/>
      <c r="D669" s="73"/>
      <c r="E669" s="73"/>
      <c r="F669" s="73"/>
      <c r="G669" s="73"/>
      <c r="H669" s="73"/>
      <c r="I669" s="73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</row>
    <row r="670" spans="1:26" ht="16.5" customHeight="1">
      <c r="A670" s="73"/>
      <c r="B670" s="73"/>
      <c r="C670" s="73"/>
      <c r="D670" s="73"/>
      <c r="E670" s="73"/>
      <c r="F670" s="73"/>
      <c r="G670" s="73"/>
      <c r="H670" s="73"/>
      <c r="I670" s="73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</row>
    <row r="671" spans="1:26" ht="16.5" customHeight="1">
      <c r="A671" s="73"/>
      <c r="B671" s="73"/>
      <c r="C671" s="73"/>
      <c r="D671" s="73"/>
      <c r="E671" s="73"/>
      <c r="F671" s="73"/>
      <c r="G671" s="73"/>
      <c r="H671" s="73"/>
      <c r="I671" s="73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</row>
    <row r="672" spans="1:26" ht="16.5" customHeight="1">
      <c r="A672" s="73"/>
      <c r="B672" s="73"/>
      <c r="C672" s="73"/>
      <c r="D672" s="73"/>
      <c r="E672" s="73"/>
      <c r="F672" s="73"/>
      <c r="G672" s="73"/>
      <c r="H672" s="73"/>
      <c r="I672" s="73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</row>
    <row r="673" spans="1:26" ht="16.5" customHeight="1">
      <c r="A673" s="73"/>
      <c r="B673" s="73"/>
      <c r="C673" s="73"/>
      <c r="D673" s="73"/>
      <c r="E673" s="73"/>
      <c r="F673" s="73"/>
      <c r="G673" s="73"/>
      <c r="H673" s="73"/>
      <c r="I673" s="73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</row>
    <row r="674" spans="1:26" ht="16.5" customHeight="1">
      <c r="A674" s="73"/>
      <c r="B674" s="73"/>
      <c r="C674" s="73"/>
      <c r="D674" s="73"/>
      <c r="E674" s="73"/>
      <c r="F674" s="73"/>
      <c r="G674" s="73"/>
      <c r="H674" s="73"/>
      <c r="I674" s="73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</row>
    <row r="675" spans="1:26" ht="16.5" customHeight="1">
      <c r="A675" s="73"/>
      <c r="B675" s="73"/>
      <c r="C675" s="73"/>
      <c r="D675" s="73"/>
      <c r="E675" s="73"/>
      <c r="F675" s="73"/>
      <c r="G675" s="73"/>
      <c r="H675" s="73"/>
      <c r="I675" s="73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</row>
    <row r="676" spans="1:26" ht="16.5" customHeight="1">
      <c r="A676" s="73"/>
      <c r="B676" s="73"/>
      <c r="C676" s="73"/>
      <c r="D676" s="73"/>
      <c r="E676" s="73"/>
      <c r="F676" s="73"/>
      <c r="G676" s="73"/>
      <c r="H676" s="73"/>
      <c r="I676" s="73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</row>
    <row r="677" spans="1:26" ht="16.5" customHeight="1">
      <c r="A677" s="73"/>
      <c r="B677" s="73"/>
      <c r="C677" s="73"/>
      <c r="D677" s="73"/>
      <c r="E677" s="73"/>
      <c r="F677" s="73"/>
      <c r="G677" s="73"/>
      <c r="H677" s="73"/>
      <c r="I677" s="73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</row>
    <row r="678" spans="1:26" ht="16.5" customHeight="1">
      <c r="A678" s="73"/>
      <c r="B678" s="73"/>
      <c r="C678" s="73"/>
      <c r="D678" s="73"/>
      <c r="E678" s="73"/>
      <c r="F678" s="73"/>
      <c r="G678" s="73"/>
      <c r="H678" s="73"/>
      <c r="I678" s="73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</row>
    <row r="679" spans="1:26" ht="16.5" customHeight="1">
      <c r="A679" s="73"/>
      <c r="B679" s="73"/>
      <c r="C679" s="73"/>
      <c r="D679" s="73"/>
      <c r="E679" s="73"/>
      <c r="F679" s="73"/>
      <c r="G679" s="73"/>
      <c r="H679" s="73"/>
      <c r="I679" s="73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</row>
    <row r="680" spans="1:26" ht="16.5" customHeight="1">
      <c r="A680" s="73"/>
      <c r="B680" s="73"/>
      <c r="C680" s="73"/>
      <c r="D680" s="73"/>
      <c r="E680" s="73"/>
      <c r="F680" s="73"/>
      <c r="G680" s="73"/>
      <c r="H680" s="73"/>
      <c r="I680" s="73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</row>
    <row r="681" spans="1:26" ht="16.5" customHeight="1">
      <c r="A681" s="73"/>
      <c r="B681" s="73"/>
      <c r="C681" s="73"/>
      <c r="D681" s="73"/>
      <c r="E681" s="73"/>
      <c r="F681" s="73"/>
      <c r="G681" s="73"/>
      <c r="H681" s="73"/>
      <c r="I681" s="73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</row>
    <row r="682" spans="1:26" ht="16.5" customHeight="1">
      <c r="A682" s="73"/>
      <c r="B682" s="73"/>
      <c r="C682" s="73"/>
      <c r="D682" s="73"/>
      <c r="E682" s="73"/>
      <c r="F682" s="73"/>
      <c r="G682" s="73"/>
      <c r="H682" s="73"/>
      <c r="I682" s="73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</row>
    <row r="683" spans="1:26" ht="16.5" customHeight="1">
      <c r="A683" s="73"/>
      <c r="B683" s="73"/>
      <c r="C683" s="73"/>
      <c r="D683" s="73"/>
      <c r="E683" s="73"/>
      <c r="F683" s="73"/>
      <c r="G683" s="73"/>
      <c r="H683" s="73"/>
      <c r="I683" s="73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</row>
    <row r="684" spans="1:26" ht="16.5" customHeight="1">
      <c r="A684" s="73"/>
      <c r="B684" s="73"/>
      <c r="C684" s="73"/>
      <c r="D684" s="73"/>
      <c r="E684" s="73"/>
      <c r="F684" s="73"/>
      <c r="G684" s="73"/>
      <c r="H684" s="73"/>
      <c r="I684" s="73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</row>
    <row r="685" spans="1:26" ht="16.5" customHeight="1">
      <c r="A685" s="73"/>
      <c r="B685" s="73"/>
      <c r="C685" s="73"/>
      <c r="D685" s="73"/>
      <c r="E685" s="73"/>
      <c r="F685" s="73"/>
      <c r="G685" s="73"/>
      <c r="H685" s="73"/>
      <c r="I685" s="73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</row>
    <row r="686" spans="1:26" ht="16.5" customHeight="1">
      <c r="A686" s="73"/>
      <c r="B686" s="73"/>
      <c r="C686" s="73"/>
      <c r="D686" s="73"/>
      <c r="E686" s="73"/>
      <c r="F686" s="73"/>
      <c r="G686" s="73"/>
      <c r="H686" s="73"/>
      <c r="I686" s="73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</row>
    <row r="687" spans="1:26" ht="16.5" customHeight="1">
      <c r="A687" s="73"/>
      <c r="B687" s="73"/>
      <c r="C687" s="73"/>
      <c r="D687" s="73"/>
      <c r="E687" s="73"/>
      <c r="F687" s="73"/>
      <c r="G687" s="73"/>
      <c r="H687" s="73"/>
      <c r="I687" s="73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</row>
    <row r="688" spans="1:26" ht="16.5" customHeight="1">
      <c r="A688" s="73"/>
      <c r="B688" s="73"/>
      <c r="C688" s="73"/>
      <c r="D688" s="73"/>
      <c r="E688" s="73"/>
      <c r="F688" s="73"/>
      <c r="G688" s="73"/>
      <c r="H688" s="73"/>
      <c r="I688" s="73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</row>
    <row r="689" spans="1:26" ht="16.5" customHeight="1">
      <c r="A689" s="73"/>
      <c r="B689" s="73"/>
      <c r="C689" s="73"/>
      <c r="D689" s="73"/>
      <c r="E689" s="73"/>
      <c r="F689" s="73"/>
      <c r="G689" s="73"/>
      <c r="H689" s="73"/>
      <c r="I689" s="73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</row>
    <row r="690" spans="1:26" ht="16.5" customHeight="1">
      <c r="A690" s="73"/>
      <c r="B690" s="73"/>
      <c r="C690" s="73"/>
      <c r="D690" s="73"/>
      <c r="E690" s="73"/>
      <c r="F690" s="73"/>
      <c r="G690" s="73"/>
      <c r="H690" s="73"/>
      <c r="I690" s="73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</row>
    <row r="691" spans="1:26" ht="16.5" customHeight="1">
      <c r="A691" s="73"/>
      <c r="B691" s="73"/>
      <c r="C691" s="73"/>
      <c r="D691" s="73"/>
      <c r="E691" s="73"/>
      <c r="F691" s="73"/>
      <c r="G691" s="73"/>
      <c r="H691" s="73"/>
      <c r="I691" s="73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</row>
    <row r="692" spans="1:26" ht="16.5" customHeight="1">
      <c r="A692" s="73"/>
      <c r="B692" s="73"/>
      <c r="C692" s="73"/>
      <c r="D692" s="73"/>
      <c r="E692" s="73"/>
      <c r="F692" s="73"/>
      <c r="G692" s="73"/>
      <c r="H692" s="73"/>
      <c r="I692" s="73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</row>
    <row r="693" spans="1:26" ht="16.5" customHeight="1">
      <c r="A693" s="73"/>
      <c r="B693" s="73"/>
      <c r="C693" s="73"/>
      <c r="D693" s="73"/>
      <c r="E693" s="73"/>
      <c r="F693" s="73"/>
      <c r="G693" s="73"/>
      <c r="H693" s="73"/>
      <c r="I693" s="73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</row>
    <row r="694" spans="1:26" ht="16.5" customHeight="1">
      <c r="A694" s="73"/>
      <c r="B694" s="73"/>
      <c r="C694" s="73"/>
      <c r="D694" s="73"/>
      <c r="E694" s="73"/>
      <c r="F694" s="73"/>
      <c r="G694" s="73"/>
      <c r="H694" s="73"/>
      <c r="I694" s="73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</row>
    <row r="695" spans="1:26" ht="16.5" customHeight="1">
      <c r="A695" s="73"/>
      <c r="B695" s="73"/>
      <c r="C695" s="73"/>
      <c r="D695" s="73"/>
      <c r="E695" s="73"/>
      <c r="F695" s="73"/>
      <c r="G695" s="73"/>
      <c r="H695" s="73"/>
      <c r="I695" s="73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</row>
    <row r="696" spans="1:26" ht="16.5" customHeight="1">
      <c r="A696" s="73"/>
      <c r="B696" s="73"/>
      <c r="C696" s="73"/>
      <c r="D696" s="73"/>
      <c r="E696" s="73"/>
      <c r="F696" s="73"/>
      <c r="G696" s="73"/>
      <c r="H696" s="73"/>
      <c r="I696" s="73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</row>
    <row r="697" spans="1:26" ht="16.5" customHeight="1">
      <c r="A697" s="73"/>
      <c r="B697" s="73"/>
      <c r="C697" s="73"/>
      <c r="D697" s="73"/>
      <c r="E697" s="73"/>
      <c r="F697" s="73"/>
      <c r="G697" s="73"/>
      <c r="H697" s="73"/>
      <c r="I697" s="73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</row>
    <row r="698" spans="1:26" ht="16.5" customHeight="1">
      <c r="A698" s="73"/>
      <c r="B698" s="73"/>
      <c r="C698" s="73"/>
      <c r="D698" s="73"/>
      <c r="E698" s="73"/>
      <c r="F698" s="73"/>
      <c r="G698" s="73"/>
      <c r="H698" s="73"/>
      <c r="I698" s="73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</row>
    <row r="699" spans="1:26" ht="16.5" customHeight="1">
      <c r="A699" s="73"/>
      <c r="B699" s="73"/>
      <c r="C699" s="73"/>
      <c r="D699" s="73"/>
      <c r="E699" s="73"/>
      <c r="F699" s="73"/>
      <c r="G699" s="73"/>
      <c r="H699" s="73"/>
      <c r="I699" s="73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</row>
    <row r="700" spans="1:26" ht="16.5" customHeight="1">
      <c r="A700" s="73"/>
      <c r="B700" s="73"/>
      <c r="C700" s="73"/>
      <c r="D700" s="73"/>
      <c r="E700" s="73"/>
      <c r="F700" s="73"/>
      <c r="G700" s="73"/>
      <c r="H700" s="73"/>
      <c r="I700" s="73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</row>
    <row r="701" spans="1:26" ht="16.5" customHeight="1">
      <c r="A701" s="73"/>
      <c r="B701" s="73"/>
      <c r="C701" s="73"/>
      <c r="D701" s="73"/>
      <c r="E701" s="73"/>
      <c r="F701" s="73"/>
      <c r="G701" s="73"/>
      <c r="H701" s="73"/>
      <c r="I701" s="73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</row>
    <row r="702" spans="1:26" ht="16.5" customHeight="1">
      <c r="A702" s="73"/>
      <c r="B702" s="73"/>
      <c r="C702" s="73"/>
      <c r="D702" s="73"/>
      <c r="E702" s="73"/>
      <c r="F702" s="73"/>
      <c r="G702" s="73"/>
      <c r="H702" s="73"/>
      <c r="I702" s="73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</row>
    <row r="703" spans="1:26" ht="16.5" customHeight="1">
      <c r="A703" s="73"/>
      <c r="B703" s="73"/>
      <c r="C703" s="73"/>
      <c r="D703" s="73"/>
      <c r="E703" s="73"/>
      <c r="F703" s="73"/>
      <c r="G703" s="73"/>
      <c r="H703" s="73"/>
      <c r="I703" s="73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</row>
    <row r="704" spans="1:26" ht="16.5" customHeight="1">
      <c r="A704" s="73"/>
      <c r="B704" s="73"/>
      <c r="C704" s="73"/>
      <c r="D704" s="73"/>
      <c r="E704" s="73"/>
      <c r="F704" s="73"/>
      <c r="G704" s="73"/>
      <c r="H704" s="73"/>
      <c r="I704" s="73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</row>
    <row r="705" spans="1:26" ht="16.5" customHeight="1">
      <c r="A705" s="73"/>
      <c r="B705" s="73"/>
      <c r="C705" s="73"/>
      <c r="D705" s="73"/>
      <c r="E705" s="73"/>
      <c r="F705" s="73"/>
      <c r="G705" s="73"/>
      <c r="H705" s="73"/>
      <c r="I705" s="73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</row>
    <row r="706" spans="1:26" ht="16.5" customHeight="1">
      <c r="A706" s="73"/>
      <c r="B706" s="73"/>
      <c r="C706" s="73"/>
      <c r="D706" s="73"/>
      <c r="E706" s="73"/>
      <c r="F706" s="73"/>
      <c r="G706" s="73"/>
      <c r="H706" s="73"/>
      <c r="I706" s="73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</row>
    <row r="707" spans="1:26" ht="16.5" customHeight="1">
      <c r="A707" s="73"/>
      <c r="B707" s="73"/>
      <c r="C707" s="73"/>
      <c r="D707" s="73"/>
      <c r="E707" s="73"/>
      <c r="F707" s="73"/>
      <c r="G707" s="73"/>
      <c r="H707" s="73"/>
      <c r="I707" s="73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</row>
    <row r="708" spans="1:26" ht="16.5" customHeight="1">
      <c r="A708" s="73"/>
      <c r="B708" s="73"/>
      <c r="C708" s="73"/>
      <c r="D708" s="73"/>
      <c r="E708" s="73"/>
      <c r="F708" s="73"/>
      <c r="G708" s="73"/>
      <c r="H708" s="73"/>
      <c r="I708" s="73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</row>
    <row r="709" spans="1:26" ht="16.5" customHeight="1">
      <c r="A709" s="73"/>
      <c r="B709" s="73"/>
      <c r="C709" s="73"/>
      <c r="D709" s="73"/>
      <c r="E709" s="73"/>
      <c r="F709" s="73"/>
      <c r="G709" s="73"/>
      <c r="H709" s="73"/>
      <c r="I709" s="73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</row>
    <row r="710" spans="1:26" ht="16.5" customHeight="1">
      <c r="A710" s="73"/>
      <c r="B710" s="73"/>
      <c r="C710" s="73"/>
      <c r="D710" s="73"/>
      <c r="E710" s="73"/>
      <c r="F710" s="73"/>
      <c r="G710" s="73"/>
      <c r="H710" s="73"/>
      <c r="I710" s="73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</row>
    <row r="711" spans="1:26" ht="16.5" customHeight="1">
      <c r="A711" s="73"/>
      <c r="B711" s="73"/>
      <c r="C711" s="73"/>
      <c r="D711" s="73"/>
      <c r="E711" s="73"/>
      <c r="F711" s="73"/>
      <c r="G711" s="73"/>
      <c r="H711" s="73"/>
      <c r="I711" s="73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</row>
    <row r="712" spans="1:26" ht="16.5" customHeight="1">
      <c r="A712" s="73"/>
      <c r="B712" s="73"/>
      <c r="C712" s="73"/>
      <c r="D712" s="73"/>
      <c r="E712" s="73"/>
      <c r="F712" s="73"/>
      <c r="G712" s="73"/>
      <c r="H712" s="73"/>
      <c r="I712" s="73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</row>
    <row r="713" spans="1:26" ht="16.5" customHeight="1">
      <c r="A713" s="73"/>
      <c r="B713" s="73"/>
      <c r="C713" s="73"/>
      <c r="D713" s="73"/>
      <c r="E713" s="73"/>
      <c r="F713" s="73"/>
      <c r="G713" s="73"/>
      <c r="H713" s="73"/>
      <c r="I713" s="73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</row>
    <row r="714" spans="1:26" ht="16.5" customHeight="1">
      <c r="A714" s="73"/>
      <c r="B714" s="73"/>
      <c r="C714" s="73"/>
      <c r="D714" s="73"/>
      <c r="E714" s="73"/>
      <c r="F714" s="73"/>
      <c r="G714" s="73"/>
      <c r="H714" s="73"/>
      <c r="I714" s="73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</row>
    <row r="715" spans="1:26" ht="16.5" customHeight="1">
      <c r="A715" s="73"/>
      <c r="B715" s="73"/>
      <c r="C715" s="73"/>
      <c r="D715" s="73"/>
      <c r="E715" s="73"/>
      <c r="F715" s="73"/>
      <c r="G715" s="73"/>
      <c r="H715" s="73"/>
      <c r="I715" s="73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</row>
    <row r="716" spans="1:26" ht="16.5" customHeight="1">
      <c r="A716" s="73"/>
      <c r="B716" s="73"/>
      <c r="C716" s="73"/>
      <c r="D716" s="73"/>
      <c r="E716" s="73"/>
      <c r="F716" s="73"/>
      <c r="G716" s="73"/>
      <c r="H716" s="73"/>
      <c r="I716" s="73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</row>
    <row r="717" spans="1:26" ht="16.5" customHeight="1">
      <c r="A717" s="73"/>
      <c r="B717" s="73"/>
      <c r="C717" s="73"/>
      <c r="D717" s="73"/>
      <c r="E717" s="73"/>
      <c r="F717" s="73"/>
      <c r="G717" s="73"/>
      <c r="H717" s="73"/>
      <c r="I717" s="73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</row>
    <row r="718" spans="1:26" ht="16.5" customHeight="1">
      <c r="A718" s="73"/>
      <c r="B718" s="73"/>
      <c r="C718" s="73"/>
      <c r="D718" s="73"/>
      <c r="E718" s="73"/>
      <c r="F718" s="73"/>
      <c r="G718" s="73"/>
      <c r="H718" s="73"/>
      <c r="I718" s="73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</row>
    <row r="719" spans="1:26" ht="16.5" customHeight="1">
      <c r="A719" s="73"/>
      <c r="B719" s="73"/>
      <c r="C719" s="73"/>
      <c r="D719" s="73"/>
      <c r="E719" s="73"/>
      <c r="F719" s="73"/>
      <c r="G719" s="73"/>
      <c r="H719" s="73"/>
      <c r="I719" s="73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</row>
    <row r="720" spans="1:26" ht="16.5" customHeight="1">
      <c r="A720" s="73"/>
      <c r="B720" s="73"/>
      <c r="C720" s="73"/>
      <c r="D720" s="73"/>
      <c r="E720" s="73"/>
      <c r="F720" s="73"/>
      <c r="G720" s="73"/>
      <c r="H720" s="73"/>
      <c r="I720" s="73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</row>
    <row r="721" spans="1:26" ht="16.5" customHeight="1">
      <c r="A721" s="73"/>
      <c r="B721" s="73"/>
      <c r="C721" s="73"/>
      <c r="D721" s="73"/>
      <c r="E721" s="73"/>
      <c r="F721" s="73"/>
      <c r="G721" s="73"/>
      <c r="H721" s="73"/>
      <c r="I721" s="73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</row>
    <row r="722" spans="1:26" ht="16.5" customHeight="1">
      <c r="A722" s="73"/>
      <c r="B722" s="73"/>
      <c r="C722" s="73"/>
      <c r="D722" s="73"/>
      <c r="E722" s="73"/>
      <c r="F722" s="73"/>
      <c r="G722" s="73"/>
      <c r="H722" s="73"/>
      <c r="I722" s="73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</row>
    <row r="723" spans="1:26" ht="16.5" customHeight="1">
      <c r="A723" s="73"/>
      <c r="B723" s="73"/>
      <c r="C723" s="73"/>
      <c r="D723" s="73"/>
      <c r="E723" s="73"/>
      <c r="F723" s="73"/>
      <c r="G723" s="73"/>
      <c r="H723" s="73"/>
      <c r="I723" s="73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</row>
    <row r="724" spans="1:26" ht="16.5" customHeight="1">
      <c r="A724" s="73"/>
      <c r="B724" s="73"/>
      <c r="C724" s="73"/>
      <c r="D724" s="73"/>
      <c r="E724" s="73"/>
      <c r="F724" s="73"/>
      <c r="G724" s="73"/>
      <c r="H724" s="73"/>
      <c r="I724" s="73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</row>
    <row r="725" spans="1:26" ht="16.5" customHeight="1">
      <c r="A725" s="73"/>
      <c r="B725" s="73"/>
      <c r="C725" s="73"/>
      <c r="D725" s="73"/>
      <c r="E725" s="73"/>
      <c r="F725" s="73"/>
      <c r="G725" s="73"/>
      <c r="H725" s="73"/>
      <c r="I725" s="73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</row>
    <row r="726" spans="1:26" ht="16.5" customHeight="1">
      <c r="A726" s="73"/>
      <c r="B726" s="73"/>
      <c r="C726" s="73"/>
      <c r="D726" s="73"/>
      <c r="E726" s="73"/>
      <c r="F726" s="73"/>
      <c r="G726" s="73"/>
      <c r="H726" s="73"/>
      <c r="I726" s="73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</row>
    <row r="727" spans="1:26" ht="16.5" customHeight="1">
      <c r="A727" s="73"/>
      <c r="B727" s="73"/>
      <c r="C727" s="73"/>
      <c r="D727" s="73"/>
      <c r="E727" s="73"/>
      <c r="F727" s="73"/>
      <c r="G727" s="73"/>
      <c r="H727" s="73"/>
      <c r="I727" s="73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</row>
    <row r="728" spans="1:26" ht="16.5" customHeight="1">
      <c r="A728" s="73"/>
      <c r="B728" s="73"/>
      <c r="C728" s="73"/>
      <c r="D728" s="73"/>
      <c r="E728" s="73"/>
      <c r="F728" s="73"/>
      <c r="G728" s="73"/>
      <c r="H728" s="73"/>
      <c r="I728" s="73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</row>
    <row r="729" spans="1:26" ht="16.5" customHeight="1">
      <c r="A729" s="73"/>
      <c r="B729" s="73"/>
      <c r="C729" s="73"/>
      <c r="D729" s="73"/>
      <c r="E729" s="73"/>
      <c r="F729" s="73"/>
      <c r="G729" s="73"/>
      <c r="H729" s="73"/>
      <c r="I729" s="73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</row>
    <row r="730" spans="1:26" ht="16.5" customHeight="1">
      <c r="A730" s="73"/>
      <c r="B730" s="73"/>
      <c r="C730" s="73"/>
      <c r="D730" s="73"/>
      <c r="E730" s="73"/>
      <c r="F730" s="73"/>
      <c r="G730" s="73"/>
      <c r="H730" s="73"/>
      <c r="I730" s="73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</row>
    <row r="731" spans="1:26" ht="16.5" customHeight="1">
      <c r="A731" s="73"/>
      <c r="B731" s="73"/>
      <c r="C731" s="73"/>
      <c r="D731" s="73"/>
      <c r="E731" s="73"/>
      <c r="F731" s="73"/>
      <c r="G731" s="73"/>
      <c r="H731" s="73"/>
      <c r="I731" s="73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</row>
    <row r="732" spans="1:26" ht="16.5" customHeight="1">
      <c r="A732" s="73"/>
      <c r="B732" s="73"/>
      <c r="C732" s="73"/>
      <c r="D732" s="73"/>
      <c r="E732" s="73"/>
      <c r="F732" s="73"/>
      <c r="G732" s="73"/>
      <c r="H732" s="73"/>
      <c r="I732" s="73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</row>
    <row r="733" spans="1:26" ht="16.5" customHeight="1">
      <c r="A733" s="73"/>
      <c r="B733" s="73"/>
      <c r="C733" s="73"/>
      <c r="D733" s="73"/>
      <c r="E733" s="73"/>
      <c r="F733" s="73"/>
      <c r="G733" s="73"/>
      <c r="H733" s="73"/>
      <c r="I733" s="73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</row>
    <row r="734" spans="1:26" ht="16.5" customHeight="1">
      <c r="A734" s="73"/>
      <c r="B734" s="73"/>
      <c r="C734" s="73"/>
      <c r="D734" s="73"/>
      <c r="E734" s="73"/>
      <c r="F734" s="73"/>
      <c r="G734" s="73"/>
      <c r="H734" s="73"/>
      <c r="I734" s="73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</row>
    <row r="735" spans="1:26" ht="16.5" customHeight="1">
      <c r="A735" s="73"/>
      <c r="B735" s="73"/>
      <c r="C735" s="73"/>
      <c r="D735" s="73"/>
      <c r="E735" s="73"/>
      <c r="F735" s="73"/>
      <c r="G735" s="73"/>
      <c r="H735" s="73"/>
      <c r="I735" s="73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</row>
    <row r="736" spans="1:26" ht="16.5" customHeight="1">
      <c r="A736" s="73"/>
      <c r="B736" s="73"/>
      <c r="C736" s="73"/>
      <c r="D736" s="73"/>
      <c r="E736" s="73"/>
      <c r="F736" s="73"/>
      <c r="G736" s="73"/>
      <c r="H736" s="73"/>
      <c r="I736" s="73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</row>
    <row r="737" spans="1:26" ht="16.5" customHeight="1">
      <c r="A737" s="73"/>
      <c r="B737" s="73"/>
      <c r="C737" s="73"/>
      <c r="D737" s="73"/>
      <c r="E737" s="73"/>
      <c r="F737" s="73"/>
      <c r="G737" s="73"/>
      <c r="H737" s="73"/>
      <c r="I737" s="73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</row>
    <row r="738" spans="1:26" ht="16.5" customHeight="1">
      <c r="A738" s="73"/>
      <c r="B738" s="73"/>
      <c r="C738" s="73"/>
      <c r="D738" s="73"/>
      <c r="E738" s="73"/>
      <c r="F738" s="73"/>
      <c r="G738" s="73"/>
      <c r="H738" s="73"/>
      <c r="I738" s="73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</row>
    <row r="739" spans="1:26" ht="16.5" customHeight="1">
      <c r="A739" s="73"/>
      <c r="B739" s="73"/>
      <c r="C739" s="73"/>
      <c r="D739" s="73"/>
      <c r="E739" s="73"/>
      <c r="F739" s="73"/>
      <c r="G739" s="73"/>
      <c r="H739" s="73"/>
      <c r="I739" s="73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</row>
    <row r="740" spans="1:26" ht="16.5" customHeight="1">
      <c r="A740" s="73"/>
      <c r="B740" s="73"/>
      <c r="C740" s="73"/>
      <c r="D740" s="73"/>
      <c r="E740" s="73"/>
      <c r="F740" s="73"/>
      <c r="G740" s="73"/>
      <c r="H740" s="73"/>
      <c r="I740" s="73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</row>
    <row r="741" spans="1:26" ht="16.5" customHeight="1">
      <c r="A741" s="73"/>
      <c r="B741" s="73"/>
      <c r="C741" s="73"/>
      <c r="D741" s="73"/>
      <c r="E741" s="73"/>
      <c r="F741" s="73"/>
      <c r="G741" s="73"/>
      <c r="H741" s="73"/>
      <c r="I741" s="73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</row>
    <row r="742" spans="1:26" ht="16.5" customHeight="1">
      <c r="A742" s="73"/>
      <c r="B742" s="73"/>
      <c r="C742" s="73"/>
      <c r="D742" s="73"/>
      <c r="E742" s="73"/>
      <c r="F742" s="73"/>
      <c r="G742" s="73"/>
      <c r="H742" s="73"/>
      <c r="I742" s="73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</row>
    <row r="743" spans="1:26" ht="16.5" customHeight="1">
      <c r="A743" s="73"/>
      <c r="B743" s="73"/>
      <c r="C743" s="73"/>
      <c r="D743" s="73"/>
      <c r="E743" s="73"/>
      <c r="F743" s="73"/>
      <c r="G743" s="73"/>
      <c r="H743" s="73"/>
      <c r="I743" s="73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</row>
    <row r="744" spans="1:26" ht="16.5" customHeight="1">
      <c r="A744" s="73"/>
      <c r="B744" s="73"/>
      <c r="C744" s="73"/>
      <c r="D744" s="73"/>
      <c r="E744" s="73"/>
      <c r="F744" s="73"/>
      <c r="G744" s="73"/>
      <c r="H744" s="73"/>
      <c r="I744" s="73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</row>
    <row r="745" spans="1:26" ht="16.5" customHeight="1">
      <c r="A745" s="73"/>
      <c r="B745" s="73"/>
      <c r="C745" s="73"/>
      <c r="D745" s="73"/>
      <c r="E745" s="73"/>
      <c r="F745" s="73"/>
      <c r="G745" s="73"/>
      <c r="H745" s="73"/>
      <c r="I745" s="73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</row>
    <row r="746" spans="1:26" ht="16.5" customHeight="1">
      <c r="A746" s="73"/>
      <c r="B746" s="73"/>
      <c r="C746" s="73"/>
      <c r="D746" s="73"/>
      <c r="E746" s="73"/>
      <c r="F746" s="73"/>
      <c r="G746" s="73"/>
      <c r="H746" s="73"/>
      <c r="I746" s="73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</row>
    <row r="747" spans="1:26" ht="16.5" customHeight="1">
      <c r="A747" s="73"/>
      <c r="B747" s="73"/>
      <c r="C747" s="73"/>
      <c r="D747" s="73"/>
      <c r="E747" s="73"/>
      <c r="F747" s="73"/>
      <c r="G747" s="73"/>
      <c r="H747" s="73"/>
      <c r="I747" s="73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</row>
    <row r="748" spans="1:26" ht="16.5" customHeight="1">
      <c r="A748" s="73"/>
      <c r="B748" s="73"/>
      <c r="C748" s="73"/>
      <c r="D748" s="73"/>
      <c r="E748" s="73"/>
      <c r="F748" s="73"/>
      <c r="G748" s="73"/>
      <c r="H748" s="73"/>
      <c r="I748" s="73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</row>
    <row r="749" spans="1:26" ht="16.5" customHeight="1">
      <c r="A749" s="73"/>
      <c r="B749" s="73"/>
      <c r="C749" s="73"/>
      <c r="D749" s="73"/>
      <c r="E749" s="73"/>
      <c r="F749" s="73"/>
      <c r="G749" s="73"/>
      <c r="H749" s="73"/>
      <c r="I749" s="73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</row>
    <row r="750" spans="1:26" ht="16.5" customHeight="1">
      <c r="A750" s="73"/>
      <c r="B750" s="73"/>
      <c r="C750" s="73"/>
      <c r="D750" s="73"/>
      <c r="E750" s="73"/>
      <c r="F750" s="73"/>
      <c r="G750" s="73"/>
      <c r="H750" s="73"/>
      <c r="I750" s="73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</row>
    <row r="751" spans="1:26" ht="16.5" customHeight="1">
      <c r="A751" s="73"/>
      <c r="B751" s="73"/>
      <c r="C751" s="73"/>
      <c r="D751" s="73"/>
      <c r="E751" s="73"/>
      <c r="F751" s="73"/>
      <c r="G751" s="73"/>
      <c r="H751" s="73"/>
      <c r="I751" s="73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</row>
    <row r="752" spans="1:26" ht="16.5" customHeight="1">
      <c r="A752" s="73"/>
      <c r="B752" s="73"/>
      <c r="C752" s="73"/>
      <c r="D752" s="73"/>
      <c r="E752" s="73"/>
      <c r="F752" s="73"/>
      <c r="G752" s="73"/>
      <c r="H752" s="73"/>
      <c r="I752" s="73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</row>
    <row r="753" spans="1:26" ht="16.5" customHeight="1">
      <c r="A753" s="73"/>
      <c r="B753" s="73"/>
      <c r="C753" s="73"/>
      <c r="D753" s="73"/>
      <c r="E753" s="73"/>
      <c r="F753" s="73"/>
      <c r="G753" s="73"/>
      <c r="H753" s="73"/>
      <c r="I753" s="73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</row>
    <row r="754" spans="1:26" ht="16.5" customHeight="1">
      <c r="A754" s="73"/>
      <c r="B754" s="73"/>
      <c r="C754" s="73"/>
      <c r="D754" s="73"/>
      <c r="E754" s="73"/>
      <c r="F754" s="73"/>
      <c r="G754" s="73"/>
      <c r="H754" s="73"/>
      <c r="I754" s="73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</row>
    <row r="755" spans="1:26" ht="16.5" customHeight="1">
      <c r="A755" s="73"/>
      <c r="B755" s="73"/>
      <c r="C755" s="73"/>
      <c r="D755" s="73"/>
      <c r="E755" s="73"/>
      <c r="F755" s="73"/>
      <c r="G755" s="73"/>
      <c r="H755" s="73"/>
      <c r="I755" s="73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</row>
    <row r="756" spans="1:26" ht="16.5" customHeight="1">
      <c r="A756" s="73"/>
      <c r="B756" s="73"/>
      <c r="C756" s="73"/>
      <c r="D756" s="73"/>
      <c r="E756" s="73"/>
      <c r="F756" s="73"/>
      <c r="G756" s="73"/>
      <c r="H756" s="73"/>
      <c r="I756" s="73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</row>
    <row r="757" spans="1:26" ht="16.5" customHeight="1">
      <c r="A757" s="73"/>
      <c r="B757" s="73"/>
      <c r="C757" s="73"/>
      <c r="D757" s="73"/>
      <c r="E757" s="73"/>
      <c r="F757" s="73"/>
      <c r="G757" s="73"/>
      <c r="H757" s="73"/>
      <c r="I757" s="73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</row>
    <row r="758" spans="1:26" ht="16.5" customHeight="1">
      <c r="A758" s="73"/>
      <c r="B758" s="73"/>
      <c r="C758" s="73"/>
      <c r="D758" s="73"/>
      <c r="E758" s="73"/>
      <c r="F758" s="73"/>
      <c r="G758" s="73"/>
      <c r="H758" s="73"/>
      <c r="I758" s="73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</row>
    <row r="759" spans="1:26" ht="16.5" customHeight="1">
      <c r="A759" s="73"/>
      <c r="B759" s="73"/>
      <c r="C759" s="73"/>
      <c r="D759" s="73"/>
      <c r="E759" s="73"/>
      <c r="F759" s="73"/>
      <c r="G759" s="73"/>
      <c r="H759" s="73"/>
      <c r="I759" s="73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</row>
    <row r="760" spans="1:26" ht="16.5" customHeight="1">
      <c r="A760" s="73"/>
      <c r="B760" s="73"/>
      <c r="C760" s="73"/>
      <c r="D760" s="73"/>
      <c r="E760" s="73"/>
      <c r="F760" s="73"/>
      <c r="G760" s="73"/>
      <c r="H760" s="73"/>
      <c r="I760" s="73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</row>
    <row r="761" spans="1:26" ht="16.5" customHeight="1">
      <c r="A761" s="73"/>
      <c r="B761" s="73"/>
      <c r="C761" s="73"/>
      <c r="D761" s="73"/>
      <c r="E761" s="73"/>
      <c r="F761" s="73"/>
      <c r="G761" s="73"/>
      <c r="H761" s="73"/>
      <c r="I761" s="73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</row>
    <row r="762" spans="1:26" ht="16.5" customHeight="1">
      <c r="A762" s="73"/>
      <c r="B762" s="73"/>
      <c r="C762" s="73"/>
      <c r="D762" s="73"/>
      <c r="E762" s="73"/>
      <c r="F762" s="73"/>
      <c r="G762" s="73"/>
      <c r="H762" s="73"/>
      <c r="I762" s="73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</row>
    <row r="763" spans="1:26" ht="16.5" customHeight="1">
      <c r="A763" s="73"/>
      <c r="B763" s="73"/>
      <c r="C763" s="73"/>
      <c r="D763" s="73"/>
      <c r="E763" s="73"/>
      <c r="F763" s="73"/>
      <c r="G763" s="73"/>
      <c r="H763" s="73"/>
      <c r="I763" s="73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</row>
    <row r="764" spans="1:26" ht="16.5" customHeight="1">
      <c r="A764" s="73"/>
      <c r="B764" s="73"/>
      <c r="C764" s="73"/>
      <c r="D764" s="73"/>
      <c r="E764" s="73"/>
      <c r="F764" s="73"/>
      <c r="G764" s="73"/>
      <c r="H764" s="73"/>
      <c r="I764" s="73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</row>
    <row r="765" spans="1:26" ht="16.5" customHeight="1">
      <c r="A765" s="73"/>
      <c r="B765" s="73"/>
      <c r="C765" s="73"/>
      <c r="D765" s="73"/>
      <c r="E765" s="73"/>
      <c r="F765" s="73"/>
      <c r="G765" s="73"/>
      <c r="H765" s="73"/>
      <c r="I765" s="73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</row>
    <row r="766" spans="1:26" ht="16.5" customHeight="1">
      <c r="A766" s="73"/>
      <c r="B766" s="73"/>
      <c r="C766" s="73"/>
      <c r="D766" s="73"/>
      <c r="E766" s="73"/>
      <c r="F766" s="73"/>
      <c r="G766" s="73"/>
      <c r="H766" s="73"/>
      <c r="I766" s="73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</row>
    <row r="767" spans="1:26" ht="16.5" customHeight="1">
      <c r="A767" s="73"/>
      <c r="B767" s="73"/>
      <c r="C767" s="73"/>
      <c r="D767" s="73"/>
      <c r="E767" s="73"/>
      <c r="F767" s="73"/>
      <c r="G767" s="73"/>
      <c r="H767" s="73"/>
      <c r="I767" s="73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</row>
    <row r="768" spans="1:26" ht="16.5" customHeight="1">
      <c r="A768" s="73"/>
      <c r="B768" s="73"/>
      <c r="C768" s="73"/>
      <c r="D768" s="73"/>
      <c r="E768" s="73"/>
      <c r="F768" s="73"/>
      <c r="G768" s="73"/>
      <c r="H768" s="73"/>
      <c r="I768" s="73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</row>
    <row r="769" spans="1:26" ht="16.5" customHeight="1">
      <c r="A769" s="73"/>
      <c r="B769" s="73"/>
      <c r="C769" s="73"/>
      <c r="D769" s="73"/>
      <c r="E769" s="73"/>
      <c r="F769" s="73"/>
      <c r="G769" s="73"/>
      <c r="H769" s="73"/>
      <c r="I769" s="73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</row>
    <row r="770" spans="1:26" ht="16.5" customHeight="1">
      <c r="A770" s="73"/>
      <c r="B770" s="73"/>
      <c r="C770" s="73"/>
      <c r="D770" s="73"/>
      <c r="E770" s="73"/>
      <c r="F770" s="73"/>
      <c r="G770" s="73"/>
      <c r="H770" s="73"/>
      <c r="I770" s="73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</row>
    <row r="771" spans="1:26" ht="16.5" customHeight="1">
      <c r="A771" s="73"/>
      <c r="B771" s="73"/>
      <c r="C771" s="73"/>
      <c r="D771" s="73"/>
      <c r="E771" s="73"/>
      <c r="F771" s="73"/>
      <c r="G771" s="73"/>
      <c r="H771" s="73"/>
      <c r="I771" s="73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</row>
    <row r="772" spans="1:26" ht="16.5" customHeight="1">
      <c r="A772" s="73"/>
      <c r="B772" s="73"/>
      <c r="C772" s="73"/>
      <c r="D772" s="73"/>
      <c r="E772" s="73"/>
      <c r="F772" s="73"/>
      <c r="G772" s="73"/>
      <c r="H772" s="73"/>
      <c r="I772" s="73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</row>
    <row r="773" spans="1:26" ht="16.5" customHeight="1">
      <c r="A773" s="73"/>
      <c r="B773" s="73"/>
      <c r="C773" s="73"/>
      <c r="D773" s="73"/>
      <c r="E773" s="73"/>
      <c r="F773" s="73"/>
      <c r="G773" s="73"/>
      <c r="H773" s="73"/>
      <c r="I773" s="73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</row>
    <row r="774" spans="1:26" ht="16.5" customHeight="1">
      <c r="A774" s="73"/>
      <c r="B774" s="73"/>
      <c r="C774" s="73"/>
      <c r="D774" s="73"/>
      <c r="E774" s="73"/>
      <c r="F774" s="73"/>
      <c r="G774" s="73"/>
      <c r="H774" s="73"/>
      <c r="I774" s="73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</row>
    <row r="775" spans="1:26" ht="16.5" customHeight="1">
      <c r="A775" s="73"/>
      <c r="B775" s="73"/>
      <c r="C775" s="73"/>
      <c r="D775" s="73"/>
      <c r="E775" s="73"/>
      <c r="F775" s="73"/>
      <c r="G775" s="73"/>
      <c r="H775" s="73"/>
      <c r="I775" s="73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</row>
    <row r="776" spans="1:26" ht="16.5" customHeight="1">
      <c r="A776" s="73"/>
      <c r="B776" s="73"/>
      <c r="C776" s="73"/>
      <c r="D776" s="73"/>
      <c r="E776" s="73"/>
      <c r="F776" s="73"/>
      <c r="G776" s="73"/>
      <c r="H776" s="73"/>
      <c r="I776" s="73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</row>
    <row r="777" spans="1:26" ht="16.5" customHeight="1">
      <c r="A777" s="73"/>
      <c r="B777" s="73"/>
      <c r="C777" s="73"/>
      <c r="D777" s="73"/>
      <c r="E777" s="73"/>
      <c r="F777" s="73"/>
      <c r="G777" s="73"/>
      <c r="H777" s="73"/>
      <c r="I777" s="73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</row>
    <row r="778" spans="1:26" ht="16.5" customHeight="1">
      <c r="A778" s="73"/>
      <c r="B778" s="73"/>
      <c r="C778" s="73"/>
      <c r="D778" s="73"/>
      <c r="E778" s="73"/>
      <c r="F778" s="73"/>
      <c r="G778" s="73"/>
      <c r="H778" s="73"/>
      <c r="I778" s="73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</row>
    <row r="779" spans="1:26" ht="16.5" customHeight="1">
      <c r="A779" s="73"/>
      <c r="B779" s="73"/>
      <c r="C779" s="73"/>
      <c r="D779" s="73"/>
      <c r="E779" s="73"/>
      <c r="F779" s="73"/>
      <c r="G779" s="73"/>
      <c r="H779" s="73"/>
      <c r="I779" s="73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</row>
    <row r="780" spans="1:26" ht="16.5" customHeight="1">
      <c r="A780" s="73"/>
      <c r="B780" s="73"/>
      <c r="C780" s="73"/>
      <c r="D780" s="73"/>
      <c r="E780" s="73"/>
      <c r="F780" s="73"/>
      <c r="G780" s="73"/>
      <c r="H780" s="73"/>
      <c r="I780" s="73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</row>
    <row r="781" spans="1:26" ht="16.5" customHeight="1">
      <c r="A781" s="73"/>
      <c r="B781" s="73"/>
      <c r="C781" s="73"/>
      <c r="D781" s="73"/>
      <c r="E781" s="73"/>
      <c r="F781" s="73"/>
      <c r="G781" s="73"/>
      <c r="H781" s="73"/>
      <c r="I781" s="73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</row>
    <row r="782" spans="1:26" ht="16.5" customHeight="1">
      <c r="A782" s="73"/>
      <c r="B782" s="73"/>
      <c r="C782" s="73"/>
      <c r="D782" s="73"/>
      <c r="E782" s="73"/>
      <c r="F782" s="73"/>
      <c r="G782" s="73"/>
      <c r="H782" s="73"/>
      <c r="I782" s="73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</row>
    <row r="783" spans="1:26" ht="16.5" customHeight="1">
      <c r="A783" s="73"/>
      <c r="B783" s="73"/>
      <c r="C783" s="73"/>
      <c r="D783" s="73"/>
      <c r="E783" s="73"/>
      <c r="F783" s="73"/>
      <c r="G783" s="73"/>
      <c r="H783" s="73"/>
      <c r="I783" s="73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</row>
    <row r="784" spans="1:26" ht="16.5" customHeight="1">
      <c r="A784" s="73"/>
      <c r="B784" s="73"/>
      <c r="C784" s="73"/>
      <c r="D784" s="73"/>
      <c r="E784" s="73"/>
      <c r="F784" s="73"/>
      <c r="G784" s="73"/>
      <c r="H784" s="73"/>
      <c r="I784" s="73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</row>
    <row r="785" spans="1:26" ht="16.5" customHeight="1">
      <c r="A785" s="73"/>
      <c r="B785" s="73"/>
      <c r="C785" s="73"/>
      <c r="D785" s="73"/>
      <c r="E785" s="73"/>
      <c r="F785" s="73"/>
      <c r="G785" s="73"/>
      <c r="H785" s="73"/>
      <c r="I785" s="73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</row>
    <row r="786" spans="1:26" ht="16.5" customHeight="1">
      <c r="A786" s="73"/>
      <c r="B786" s="73"/>
      <c r="C786" s="73"/>
      <c r="D786" s="73"/>
      <c r="E786" s="73"/>
      <c r="F786" s="73"/>
      <c r="G786" s="73"/>
      <c r="H786" s="73"/>
      <c r="I786" s="73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</row>
    <row r="787" spans="1:26" ht="16.5" customHeight="1">
      <c r="A787" s="73"/>
      <c r="B787" s="73"/>
      <c r="C787" s="73"/>
      <c r="D787" s="73"/>
      <c r="E787" s="73"/>
      <c r="F787" s="73"/>
      <c r="G787" s="73"/>
      <c r="H787" s="73"/>
      <c r="I787" s="73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</row>
    <row r="788" spans="1:26" ht="16.5" customHeight="1">
      <c r="A788" s="73"/>
      <c r="B788" s="73"/>
      <c r="C788" s="73"/>
      <c r="D788" s="73"/>
      <c r="E788" s="73"/>
      <c r="F788" s="73"/>
      <c r="G788" s="73"/>
      <c r="H788" s="73"/>
      <c r="I788" s="73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</row>
    <row r="789" spans="1:26" ht="16.5" customHeight="1">
      <c r="A789" s="73"/>
      <c r="B789" s="73"/>
      <c r="C789" s="73"/>
      <c r="D789" s="73"/>
      <c r="E789" s="73"/>
      <c r="F789" s="73"/>
      <c r="G789" s="73"/>
      <c r="H789" s="73"/>
      <c r="I789" s="73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</row>
    <row r="790" spans="1:26" ht="16.5" customHeight="1">
      <c r="A790" s="73"/>
      <c r="B790" s="73"/>
      <c r="C790" s="73"/>
      <c r="D790" s="73"/>
      <c r="E790" s="73"/>
      <c r="F790" s="73"/>
      <c r="G790" s="73"/>
      <c r="H790" s="73"/>
      <c r="I790" s="73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</row>
    <row r="791" spans="1:26" ht="16.5" customHeight="1">
      <c r="A791" s="73"/>
      <c r="B791" s="73"/>
      <c r="C791" s="73"/>
      <c r="D791" s="73"/>
      <c r="E791" s="73"/>
      <c r="F791" s="73"/>
      <c r="G791" s="73"/>
      <c r="H791" s="73"/>
      <c r="I791" s="73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</row>
    <row r="792" spans="1:26" ht="16.5" customHeight="1">
      <c r="A792" s="73"/>
      <c r="B792" s="73"/>
      <c r="C792" s="73"/>
      <c r="D792" s="73"/>
      <c r="E792" s="73"/>
      <c r="F792" s="73"/>
      <c r="G792" s="73"/>
      <c r="H792" s="73"/>
      <c r="I792" s="73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</row>
    <row r="793" spans="1:26" ht="16.5" customHeight="1">
      <c r="A793" s="73"/>
      <c r="B793" s="73"/>
      <c r="C793" s="73"/>
      <c r="D793" s="73"/>
      <c r="E793" s="73"/>
      <c r="F793" s="73"/>
      <c r="G793" s="73"/>
      <c r="H793" s="73"/>
      <c r="I793" s="73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</row>
    <row r="794" spans="1:26" ht="16.5" customHeight="1">
      <c r="A794" s="73"/>
      <c r="B794" s="73"/>
      <c r="C794" s="73"/>
      <c r="D794" s="73"/>
      <c r="E794" s="73"/>
      <c r="F794" s="73"/>
      <c r="G794" s="73"/>
      <c r="H794" s="73"/>
      <c r="I794" s="73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</row>
    <row r="795" spans="1:26" ht="16.5" customHeight="1">
      <c r="A795" s="73"/>
      <c r="B795" s="73"/>
      <c r="C795" s="73"/>
      <c r="D795" s="73"/>
      <c r="E795" s="73"/>
      <c r="F795" s="73"/>
      <c r="G795" s="73"/>
      <c r="H795" s="73"/>
      <c r="I795" s="73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</row>
    <row r="796" spans="1:26" ht="16.5" customHeight="1">
      <c r="A796" s="73"/>
      <c r="B796" s="73"/>
      <c r="C796" s="73"/>
      <c r="D796" s="73"/>
      <c r="E796" s="73"/>
      <c r="F796" s="73"/>
      <c r="G796" s="73"/>
      <c r="H796" s="73"/>
      <c r="I796" s="73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</row>
    <row r="797" spans="1:26" ht="16.5" customHeight="1">
      <c r="A797" s="73"/>
      <c r="B797" s="73"/>
      <c r="C797" s="73"/>
      <c r="D797" s="73"/>
      <c r="E797" s="73"/>
      <c r="F797" s="73"/>
      <c r="G797" s="73"/>
      <c r="H797" s="73"/>
      <c r="I797" s="73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</row>
    <row r="798" spans="1:26" ht="16.5" customHeight="1">
      <c r="A798" s="73"/>
      <c r="B798" s="73"/>
      <c r="C798" s="73"/>
      <c r="D798" s="73"/>
      <c r="E798" s="73"/>
      <c r="F798" s="73"/>
      <c r="G798" s="73"/>
      <c r="H798" s="73"/>
      <c r="I798" s="73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</row>
    <row r="799" spans="1:26" ht="16.5" customHeight="1">
      <c r="A799" s="73"/>
      <c r="B799" s="73"/>
      <c r="C799" s="73"/>
      <c r="D799" s="73"/>
      <c r="E799" s="73"/>
      <c r="F799" s="73"/>
      <c r="G799" s="73"/>
      <c r="H799" s="73"/>
      <c r="I799" s="73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</row>
    <row r="800" spans="1:26" ht="16.5" customHeight="1">
      <c r="A800" s="73"/>
      <c r="B800" s="73"/>
      <c r="C800" s="73"/>
      <c r="D800" s="73"/>
      <c r="E800" s="73"/>
      <c r="F800" s="73"/>
      <c r="G800" s="73"/>
      <c r="H800" s="73"/>
      <c r="I800" s="73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</row>
    <row r="801" spans="1:26" ht="16.5" customHeight="1">
      <c r="A801" s="73"/>
      <c r="B801" s="73"/>
      <c r="C801" s="73"/>
      <c r="D801" s="73"/>
      <c r="E801" s="73"/>
      <c r="F801" s="73"/>
      <c r="G801" s="73"/>
      <c r="H801" s="73"/>
      <c r="I801" s="73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</row>
    <row r="802" spans="1:26" ht="16.5" customHeight="1">
      <c r="A802" s="73"/>
      <c r="B802" s="73"/>
      <c r="C802" s="73"/>
      <c r="D802" s="73"/>
      <c r="E802" s="73"/>
      <c r="F802" s="73"/>
      <c r="G802" s="73"/>
      <c r="H802" s="73"/>
      <c r="I802" s="73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</row>
    <row r="803" spans="1:26" ht="16.5" customHeight="1">
      <c r="A803" s="73"/>
      <c r="B803" s="73"/>
      <c r="C803" s="73"/>
      <c r="D803" s="73"/>
      <c r="E803" s="73"/>
      <c r="F803" s="73"/>
      <c r="G803" s="73"/>
      <c r="H803" s="73"/>
      <c r="I803" s="73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</row>
    <row r="804" spans="1:26" ht="16.5" customHeight="1">
      <c r="A804" s="73"/>
      <c r="B804" s="73"/>
      <c r="C804" s="73"/>
      <c r="D804" s="73"/>
      <c r="E804" s="73"/>
      <c r="F804" s="73"/>
      <c r="G804" s="73"/>
      <c r="H804" s="73"/>
      <c r="I804" s="73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</row>
    <row r="805" spans="1:26" ht="16.5" customHeight="1">
      <c r="A805" s="73"/>
      <c r="B805" s="73"/>
      <c r="C805" s="73"/>
      <c r="D805" s="73"/>
      <c r="E805" s="73"/>
      <c r="F805" s="73"/>
      <c r="G805" s="73"/>
      <c r="H805" s="73"/>
      <c r="I805" s="73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</row>
    <row r="806" spans="1:26" ht="16.5" customHeight="1">
      <c r="A806" s="73"/>
      <c r="B806" s="73"/>
      <c r="C806" s="73"/>
      <c r="D806" s="73"/>
      <c r="E806" s="73"/>
      <c r="F806" s="73"/>
      <c r="G806" s="73"/>
      <c r="H806" s="73"/>
      <c r="I806" s="73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</row>
    <row r="807" spans="1:26" ht="16.5" customHeight="1">
      <c r="A807" s="73"/>
      <c r="B807" s="73"/>
      <c r="C807" s="73"/>
      <c r="D807" s="73"/>
      <c r="E807" s="73"/>
      <c r="F807" s="73"/>
      <c r="G807" s="73"/>
      <c r="H807" s="73"/>
      <c r="I807" s="73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</row>
    <row r="808" spans="1:26" ht="16.5" customHeight="1">
      <c r="A808" s="73"/>
      <c r="B808" s="73"/>
      <c r="C808" s="73"/>
      <c r="D808" s="73"/>
      <c r="E808" s="73"/>
      <c r="F808" s="73"/>
      <c r="G808" s="73"/>
      <c r="H808" s="73"/>
      <c r="I808" s="73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</row>
    <row r="809" spans="1:26" ht="16.5" customHeight="1">
      <c r="A809" s="73"/>
      <c r="B809" s="73"/>
      <c r="C809" s="73"/>
      <c r="D809" s="73"/>
      <c r="E809" s="73"/>
      <c r="F809" s="73"/>
      <c r="G809" s="73"/>
      <c r="H809" s="73"/>
      <c r="I809" s="73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</row>
    <row r="810" spans="1:26" ht="16.5" customHeight="1">
      <c r="A810" s="73"/>
      <c r="B810" s="73"/>
      <c r="C810" s="73"/>
      <c r="D810" s="73"/>
      <c r="E810" s="73"/>
      <c r="F810" s="73"/>
      <c r="G810" s="73"/>
      <c r="H810" s="73"/>
      <c r="I810" s="73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</row>
    <row r="811" spans="1:26" ht="16.5" customHeight="1">
      <c r="A811" s="73"/>
      <c r="B811" s="73"/>
      <c r="C811" s="73"/>
      <c r="D811" s="73"/>
      <c r="E811" s="73"/>
      <c r="F811" s="73"/>
      <c r="G811" s="73"/>
      <c r="H811" s="73"/>
      <c r="I811" s="73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</row>
    <row r="812" spans="1:26" ht="16.5" customHeight="1">
      <c r="A812" s="73"/>
      <c r="B812" s="73"/>
      <c r="C812" s="73"/>
      <c r="D812" s="73"/>
      <c r="E812" s="73"/>
      <c r="F812" s="73"/>
      <c r="G812" s="73"/>
      <c r="H812" s="73"/>
      <c r="I812" s="73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</row>
    <row r="813" spans="1:26" ht="16.5" customHeight="1">
      <c r="A813" s="73"/>
      <c r="B813" s="73"/>
      <c r="C813" s="73"/>
      <c r="D813" s="73"/>
      <c r="E813" s="73"/>
      <c r="F813" s="73"/>
      <c r="G813" s="73"/>
      <c r="H813" s="73"/>
      <c r="I813" s="73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</row>
    <row r="814" spans="1:26" ht="16.5" customHeight="1">
      <c r="A814" s="73"/>
      <c r="B814" s="73"/>
      <c r="C814" s="73"/>
      <c r="D814" s="73"/>
      <c r="E814" s="73"/>
      <c r="F814" s="73"/>
      <c r="G814" s="73"/>
      <c r="H814" s="73"/>
      <c r="I814" s="73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</row>
    <row r="815" spans="1:26" ht="16.5" customHeight="1">
      <c r="A815" s="73"/>
      <c r="B815" s="73"/>
      <c r="C815" s="73"/>
      <c r="D815" s="73"/>
      <c r="E815" s="73"/>
      <c r="F815" s="73"/>
      <c r="G815" s="73"/>
      <c r="H815" s="73"/>
      <c r="I815" s="73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</row>
    <row r="816" spans="1:26" ht="16.5" customHeight="1">
      <c r="A816" s="73"/>
      <c r="B816" s="73"/>
      <c r="C816" s="73"/>
      <c r="D816" s="73"/>
      <c r="E816" s="73"/>
      <c r="F816" s="73"/>
      <c r="G816" s="73"/>
      <c r="H816" s="73"/>
      <c r="I816" s="73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</row>
    <row r="817" spans="1:26" ht="16.5" customHeight="1">
      <c r="A817" s="73"/>
      <c r="B817" s="73"/>
      <c r="C817" s="73"/>
      <c r="D817" s="73"/>
      <c r="E817" s="73"/>
      <c r="F817" s="73"/>
      <c r="G817" s="73"/>
      <c r="H817" s="73"/>
      <c r="I817" s="73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</row>
    <row r="818" spans="1:26" ht="16.5" customHeight="1">
      <c r="A818" s="73"/>
      <c r="B818" s="73"/>
      <c r="C818" s="73"/>
      <c r="D818" s="73"/>
      <c r="E818" s="73"/>
      <c r="F818" s="73"/>
      <c r="G818" s="73"/>
      <c r="H818" s="73"/>
      <c r="I818" s="73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</row>
    <row r="819" spans="1:26" ht="16.5" customHeight="1">
      <c r="A819" s="73"/>
      <c r="B819" s="73"/>
      <c r="C819" s="73"/>
      <c r="D819" s="73"/>
      <c r="E819" s="73"/>
      <c r="F819" s="73"/>
      <c r="G819" s="73"/>
      <c r="H819" s="73"/>
      <c r="I819" s="73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</row>
    <row r="820" spans="1:26" ht="16.5" customHeight="1">
      <c r="A820" s="73"/>
      <c r="B820" s="73"/>
      <c r="C820" s="73"/>
      <c r="D820" s="73"/>
      <c r="E820" s="73"/>
      <c r="F820" s="73"/>
      <c r="G820" s="73"/>
      <c r="H820" s="73"/>
      <c r="I820" s="73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</row>
    <row r="821" spans="1:26" ht="16.5" customHeight="1">
      <c r="A821" s="73"/>
      <c r="B821" s="73"/>
      <c r="C821" s="73"/>
      <c r="D821" s="73"/>
      <c r="E821" s="73"/>
      <c r="F821" s="73"/>
      <c r="G821" s="73"/>
      <c r="H821" s="73"/>
      <c r="I821" s="73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</row>
    <row r="822" spans="1:26" ht="16.5" customHeight="1">
      <c r="A822" s="73"/>
      <c r="B822" s="73"/>
      <c r="C822" s="73"/>
      <c r="D822" s="73"/>
      <c r="E822" s="73"/>
      <c r="F822" s="73"/>
      <c r="G822" s="73"/>
      <c r="H822" s="73"/>
      <c r="I822" s="73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</row>
    <row r="823" spans="1:26" ht="16.5" customHeight="1">
      <c r="A823" s="73"/>
      <c r="B823" s="73"/>
      <c r="C823" s="73"/>
      <c r="D823" s="73"/>
      <c r="E823" s="73"/>
      <c r="F823" s="73"/>
      <c r="G823" s="73"/>
      <c r="H823" s="73"/>
      <c r="I823" s="73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</row>
    <row r="824" spans="1:26" ht="16.5" customHeight="1">
      <c r="A824" s="73"/>
      <c r="B824" s="73"/>
      <c r="C824" s="73"/>
      <c r="D824" s="73"/>
      <c r="E824" s="73"/>
      <c r="F824" s="73"/>
      <c r="G824" s="73"/>
      <c r="H824" s="73"/>
      <c r="I824" s="73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</row>
    <row r="825" spans="1:26" ht="16.5" customHeight="1">
      <c r="A825" s="73"/>
      <c r="B825" s="73"/>
      <c r="C825" s="73"/>
      <c r="D825" s="73"/>
      <c r="E825" s="73"/>
      <c r="F825" s="73"/>
      <c r="G825" s="73"/>
      <c r="H825" s="73"/>
      <c r="I825" s="73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</row>
    <row r="826" spans="1:26" ht="16.5" customHeight="1">
      <c r="A826" s="73"/>
      <c r="B826" s="73"/>
      <c r="C826" s="73"/>
      <c r="D826" s="73"/>
      <c r="E826" s="73"/>
      <c r="F826" s="73"/>
      <c r="G826" s="73"/>
      <c r="H826" s="73"/>
      <c r="I826" s="73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</row>
    <row r="827" spans="1:26" ht="16.5" customHeight="1">
      <c r="A827" s="73"/>
      <c r="B827" s="73"/>
      <c r="C827" s="73"/>
      <c r="D827" s="73"/>
      <c r="E827" s="73"/>
      <c r="F827" s="73"/>
      <c r="G827" s="73"/>
      <c r="H827" s="73"/>
      <c r="I827" s="73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</row>
    <row r="828" spans="1:26" ht="16.5" customHeight="1">
      <c r="A828" s="73"/>
      <c r="B828" s="73"/>
      <c r="C828" s="73"/>
      <c r="D828" s="73"/>
      <c r="E828" s="73"/>
      <c r="F828" s="73"/>
      <c r="G828" s="73"/>
      <c r="H828" s="73"/>
      <c r="I828" s="73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</row>
    <row r="829" spans="1:26" ht="16.5" customHeight="1">
      <c r="A829" s="73"/>
      <c r="B829" s="73"/>
      <c r="C829" s="73"/>
      <c r="D829" s="73"/>
      <c r="E829" s="73"/>
      <c r="F829" s="73"/>
      <c r="G829" s="73"/>
      <c r="H829" s="73"/>
      <c r="I829" s="73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</row>
    <row r="830" spans="1:26" ht="16.5" customHeight="1">
      <c r="A830" s="73"/>
      <c r="B830" s="73"/>
      <c r="C830" s="73"/>
      <c r="D830" s="73"/>
      <c r="E830" s="73"/>
      <c r="F830" s="73"/>
      <c r="G830" s="73"/>
      <c r="H830" s="73"/>
      <c r="I830" s="73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</row>
    <row r="831" spans="1:26" ht="16.5" customHeight="1">
      <c r="A831" s="73"/>
      <c r="B831" s="73"/>
      <c r="C831" s="73"/>
      <c r="D831" s="73"/>
      <c r="E831" s="73"/>
      <c r="F831" s="73"/>
      <c r="G831" s="73"/>
      <c r="H831" s="73"/>
      <c r="I831" s="73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</row>
    <row r="832" spans="1:26" ht="16.5" customHeight="1">
      <c r="A832" s="73"/>
      <c r="B832" s="73"/>
      <c r="C832" s="73"/>
      <c r="D832" s="73"/>
      <c r="E832" s="73"/>
      <c r="F832" s="73"/>
      <c r="G832" s="73"/>
      <c r="H832" s="73"/>
      <c r="I832" s="73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</row>
    <row r="833" spans="1:26" ht="16.5" customHeight="1">
      <c r="A833" s="73"/>
      <c r="B833" s="73"/>
      <c r="C833" s="73"/>
      <c r="D833" s="73"/>
      <c r="E833" s="73"/>
      <c r="F833" s="73"/>
      <c r="G833" s="73"/>
      <c r="H833" s="73"/>
      <c r="I833" s="73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</row>
    <row r="834" spans="1:26" ht="16.5" customHeight="1">
      <c r="A834" s="73"/>
      <c r="B834" s="73"/>
      <c r="C834" s="73"/>
      <c r="D834" s="73"/>
      <c r="E834" s="73"/>
      <c r="F834" s="73"/>
      <c r="G834" s="73"/>
      <c r="H834" s="73"/>
      <c r="I834" s="73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</row>
    <row r="835" spans="1:26" ht="16.5" customHeight="1">
      <c r="A835" s="73"/>
      <c r="B835" s="73"/>
      <c r="C835" s="73"/>
      <c r="D835" s="73"/>
      <c r="E835" s="73"/>
      <c r="F835" s="73"/>
      <c r="G835" s="73"/>
      <c r="H835" s="73"/>
      <c r="I835" s="73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</row>
    <row r="836" spans="1:26" ht="16.5" customHeight="1">
      <c r="A836" s="73"/>
      <c r="B836" s="73"/>
      <c r="C836" s="73"/>
      <c r="D836" s="73"/>
      <c r="E836" s="73"/>
      <c r="F836" s="73"/>
      <c r="G836" s="73"/>
      <c r="H836" s="73"/>
      <c r="I836" s="73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</row>
    <row r="837" spans="1:26" ht="16.5" customHeight="1">
      <c r="A837" s="73"/>
      <c r="B837" s="73"/>
      <c r="C837" s="73"/>
      <c r="D837" s="73"/>
      <c r="E837" s="73"/>
      <c r="F837" s="73"/>
      <c r="G837" s="73"/>
      <c r="H837" s="73"/>
      <c r="I837" s="73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</row>
    <row r="838" spans="1:26" ht="16.5" customHeight="1">
      <c r="A838" s="73"/>
      <c r="B838" s="73"/>
      <c r="C838" s="73"/>
      <c r="D838" s="73"/>
      <c r="E838" s="73"/>
      <c r="F838" s="73"/>
      <c r="G838" s="73"/>
      <c r="H838" s="73"/>
      <c r="I838" s="73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</row>
    <row r="839" spans="1:26" ht="16.5" customHeight="1">
      <c r="A839" s="73"/>
      <c r="B839" s="73"/>
      <c r="C839" s="73"/>
      <c r="D839" s="73"/>
      <c r="E839" s="73"/>
      <c r="F839" s="73"/>
      <c r="G839" s="73"/>
      <c r="H839" s="73"/>
      <c r="I839" s="73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</row>
    <row r="840" spans="1:26" ht="16.5" customHeight="1">
      <c r="A840" s="73"/>
      <c r="B840" s="73"/>
      <c r="C840" s="73"/>
      <c r="D840" s="73"/>
      <c r="E840" s="73"/>
      <c r="F840" s="73"/>
      <c r="G840" s="73"/>
      <c r="H840" s="73"/>
      <c r="I840" s="73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</row>
    <row r="841" spans="1:26" ht="16.5" customHeight="1">
      <c r="A841" s="73"/>
      <c r="B841" s="73"/>
      <c r="C841" s="73"/>
      <c r="D841" s="73"/>
      <c r="E841" s="73"/>
      <c r="F841" s="73"/>
      <c r="G841" s="73"/>
      <c r="H841" s="73"/>
      <c r="I841" s="73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</row>
    <row r="842" spans="1:26" ht="16.5" customHeight="1">
      <c r="A842" s="73"/>
      <c r="B842" s="73"/>
      <c r="C842" s="73"/>
      <c r="D842" s="73"/>
      <c r="E842" s="73"/>
      <c r="F842" s="73"/>
      <c r="G842" s="73"/>
      <c r="H842" s="73"/>
      <c r="I842" s="73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</row>
    <row r="843" spans="1:26" ht="16.5" customHeight="1">
      <c r="A843" s="73"/>
      <c r="B843" s="73"/>
      <c r="C843" s="73"/>
      <c r="D843" s="73"/>
      <c r="E843" s="73"/>
      <c r="F843" s="73"/>
      <c r="G843" s="73"/>
      <c r="H843" s="73"/>
      <c r="I843" s="73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</row>
    <row r="844" spans="1:26" ht="16.5" customHeight="1">
      <c r="A844" s="73"/>
      <c r="B844" s="73"/>
      <c r="C844" s="73"/>
      <c r="D844" s="73"/>
      <c r="E844" s="73"/>
      <c r="F844" s="73"/>
      <c r="G844" s="73"/>
      <c r="H844" s="73"/>
      <c r="I844" s="73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</row>
    <row r="845" spans="1:26" ht="16.5" customHeight="1">
      <c r="A845" s="73"/>
      <c r="B845" s="73"/>
      <c r="C845" s="73"/>
      <c r="D845" s="73"/>
      <c r="E845" s="73"/>
      <c r="F845" s="73"/>
      <c r="G845" s="73"/>
      <c r="H845" s="73"/>
      <c r="I845" s="73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</row>
    <row r="846" spans="1:26" ht="16.5" customHeight="1">
      <c r="A846" s="73"/>
      <c r="B846" s="73"/>
      <c r="C846" s="73"/>
      <c r="D846" s="73"/>
      <c r="E846" s="73"/>
      <c r="F846" s="73"/>
      <c r="G846" s="73"/>
      <c r="H846" s="73"/>
      <c r="I846" s="73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</row>
    <row r="847" spans="1:26" ht="16.5" customHeight="1">
      <c r="A847" s="73"/>
      <c r="B847" s="73"/>
      <c r="C847" s="73"/>
      <c r="D847" s="73"/>
      <c r="E847" s="73"/>
      <c r="F847" s="73"/>
      <c r="G847" s="73"/>
      <c r="H847" s="73"/>
      <c r="I847" s="73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</row>
    <row r="848" spans="1:26" ht="16.5" customHeight="1">
      <c r="A848" s="73"/>
      <c r="B848" s="73"/>
      <c r="C848" s="73"/>
      <c r="D848" s="73"/>
      <c r="E848" s="73"/>
      <c r="F848" s="73"/>
      <c r="G848" s="73"/>
      <c r="H848" s="73"/>
      <c r="I848" s="73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</row>
    <row r="849" spans="1:26" ht="16.5" customHeight="1">
      <c r="A849" s="73"/>
      <c r="B849" s="73"/>
      <c r="C849" s="73"/>
      <c r="D849" s="73"/>
      <c r="E849" s="73"/>
      <c r="F849" s="73"/>
      <c r="G849" s="73"/>
      <c r="H849" s="73"/>
      <c r="I849" s="73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</row>
    <row r="850" spans="1:26" ht="16.5" customHeight="1">
      <c r="A850" s="73"/>
      <c r="B850" s="73"/>
      <c r="C850" s="73"/>
      <c r="D850" s="73"/>
      <c r="E850" s="73"/>
      <c r="F850" s="73"/>
      <c r="G850" s="73"/>
      <c r="H850" s="73"/>
      <c r="I850" s="73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</row>
    <row r="851" spans="1:26" ht="16.5" customHeight="1">
      <c r="A851" s="73"/>
      <c r="B851" s="73"/>
      <c r="C851" s="73"/>
      <c r="D851" s="73"/>
      <c r="E851" s="73"/>
      <c r="F851" s="73"/>
      <c r="G851" s="73"/>
      <c r="H851" s="73"/>
      <c r="I851" s="73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</row>
    <row r="852" spans="1:26" ht="16.5" customHeight="1">
      <c r="A852" s="73"/>
      <c r="B852" s="73"/>
      <c r="C852" s="73"/>
      <c r="D852" s="73"/>
      <c r="E852" s="73"/>
      <c r="F852" s="73"/>
      <c r="G852" s="73"/>
      <c r="H852" s="73"/>
      <c r="I852" s="73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</row>
    <row r="853" spans="1:26" ht="16.5" customHeight="1">
      <c r="A853" s="73"/>
      <c r="B853" s="73"/>
      <c r="C853" s="73"/>
      <c r="D853" s="73"/>
      <c r="E853" s="73"/>
      <c r="F853" s="73"/>
      <c r="G853" s="73"/>
      <c r="H853" s="73"/>
      <c r="I853" s="73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</row>
    <row r="854" spans="1:26" ht="16.5" customHeight="1">
      <c r="A854" s="73"/>
      <c r="B854" s="73"/>
      <c r="C854" s="73"/>
      <c r="D854" s="73"/>
      <c r="E854" s="73"/>
      <c r="F854" s="73"/>
      <c r="G854" s="73"/>
      <c r="H854" s="73"/>
      <c r="I854" s="73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</row>
    <row r="855" spans="1:26" ht="16.5" customHeight="1">
      <c r="A855" s="73"/>
      <c r="B855" s="73"/>
      <c r="C855" s="73"/>
      <c r="D855" s="73"/>
      <c r="E855" s="73"/>
      <c r="F855" s="73"/>
      <c r="G855" s="73"/>
      <c r="H855" s="73"/>
      <c r="I855" s="73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</row>
    <row r="856" spans="1:26" ht="16.5" customHeight="1">
      <c r="A856" s="73"/>
      <c r="B856" s="73"/>
      <c r="C856" s="73"/>
      <c r="D856" s="73"/>
      <c r="E856" s="73"/>
      <c r="F856" s="73"/>
      <c r="G856" s="73"/>
      <c r="H856" s="73"/>
      <c r="I856" s="73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</row>
    <row r="857" spans="1:26" ht="16.5" customHeight="1">
      <c r="A857" s="73"/>
      <c r="B857" s="73"/>
      <c r="C857" s="73"/>
      <c r="D857" s="73"/>
      <c r="E857" s="73"/>
      <c r="F857" s="73"/>
      <c r="G857" s="73"/>
      <c r="H857" s="73"/>
      <c r="I857" s="73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</row>
    <row r="858" spans="1:26" ht="16.5" customHeight="1">
      <c r="A858" s="73"/>
      <c r="B858" s="73"/>
      <c r="C858" s="73"/>
      <c r="D858" s="73"/>
      <c r="E858" s="73"/>
      <c r="F858" s="73"/>
      <c r="G858" s="73"/>
      <c r="H858" s="73"/>
      <c r="I858" s="73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</row>
    <row r="859" spans="1:26" ht="16.5" customHeight="1">
      <c r="A859" s="73"/>
      <c r="B859" s="73"/>
      <c r="C859" s="73"/>
      <c r="D859" s="73"/>
      <c r="E859" s="73"/>
      <c r="F859" s="73"/>
      <c r="G859" s="73"/>
      <c r="H859" s="73"/>
      <c r="I859" s="73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</row>
    <row r="860" spans="1:26" ht="16.5" customHeight="1">
      <c r="A860" s="73"/>
      <c r="B860" s="73"/>
      <c r="C860" s="73"/>
      <c r="D860" s="73"/>
      <c r="E860" s="73"/>
      <c r="F860" s="73"/>
      <c r="G860" s="73"/>
      <c r="H860" s="73"/>
      <c r="I860" s="73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</row>
    <row r="861" spans="1:26" ht="16.5" customHeight="1">
      <c r="A861" s="73"/>
      <c r="B861" s="73"/>
      <c r="C861" s="73"/>
      <c r="D861" s="73"/>
      <c r="E861" s="73"/>
      <c r="F861" s="73"/>
      <c r="G861" s="73"/>
      <c r="H861" s="73"/>
      <c r="I861" s="73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</row>
    <row r="862" spans="1:26" ht="16.5" customHeight="1">
      <c r="A862" s="73"/>
      <c r="B862" s="73"/>
      <c r="C862" s="73"/>
      <c r="D862" s="73"/>
      <c r="E862" s="73"/>
      <c r="F862" s="73"/>
      <c r="G862" s="73"/>
      <c r="H862" s="73"/>
      <c r="I862" s="73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</row>
    <row r="863" spans="1:26" ht="16.5" customHeight="1">
      <c r="A863" s="73"/>
      <c r="B863" s="73"/>
      <c r="C863" s="73"/>
      <c r="D863" s="73"/>
      <c r="E863" s="73"/>
      <c r="F863" s="73"/>
      <c r="G863" s="73"/>
      <c r="H863" s="73"/>
      <c r="I863" s="73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</row>
    <row r="864" spans="1:26" ht="16.5" customHeight="1">
      <c r="A864" s="73"/>
      <c r="B864" s="73"/>
      <c r="C864" s="73"/>
      <c r="D864" s="73"/>
      <c r="E864" s="73"/>
      <c r="F864" s="73"/>
      <c r="G864" s="73"/>
      <c r="H864" s="73"/>
      <c r="I864" s="73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</row>
    <row r="865" spans="1:26" ht="16.5" customHeight="1">
      <c r="A865" s="73"/>
      <c r="B865" s="73"/>
      <c r="C865" s="73"/>
      <c r="D865" s="73"/>
      <c r="E865" s="73"/>
      <c r="F865" s="73"/>
      <c r="G865" s="73"/>
      <c r="H865" s="73"/>
      <c r="I865" s="73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</row>
    <row r="866" spans="1:26" ht="16.5" customHeight="1">
      <c r="A866" s="73"/>
      <c r="B866" s="73"/>
      <c r="C866" s="73"/>
      <c r="D866" s="73"/>
      <c r="E866" s="73"/>
      <c r="F866" s="73"/>
      <c r="G866" s="73"/>
      <c r="H866" s="73"/>
      <c r="I866" s="73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</row>
    <row r="867" spans="1:26" ht="16.5" customHeight="1">
      <c r="A867" s="73"/>
      <c r="B867" s="73"/>
      <c r="C867" s="73"/>
      <c r="D867" s="73"/>
      <c r="E867" s="73"/>
      <c r="F867" s="73"/>
      <c r="G867" s="73"/>
      <c r="H867" s="73"/>
      <c r="I867" s="73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</row>
    <row r="868" spans="1:26" ht="16.5" customHeight="1">
      <c r="A868" s="73"/>
      <c r="B868" s="73"/>
      <c r="C868" s="73"/>
      <c r="D868" s="73"/>
      <c r="E868" s="73"/>
      <c r="F868" s="73"/>
      <c r="G868" s="73"/>
      <c r="H868" s="73"/>
      <c r="I868" s="73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</row>
    <row r="869" spans="1:26" ht="16.5" customHeight="1">
      <c r="A869" s="73"/>
      <c r="B869" s="73"/>
      <c r="C869" s="73"/>
      <c r="D869" s="73"/>
      <c r="E869" s="73"/>
      <c r="F869" s="73"/>
      <c r="G869" s="73"/>
      <c r="H869" s="73"/>
      <c r="I869" s="73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</row>
    <row r="870" spans="1:26" ht="16.5" customHeight="1">
      <c r="A870" s="73"/>
      <c r="B870" s="73"/>
      <c r="C870" s="73"/>
      <c r="D870" s="73"/>
      <c r="E870" s="73"/>
      <c r="F870" s="73"/>
      <c r="G870" s="73"/>
      <c r="H870" s="73"/>
      <c r="I870" s="73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</row>
    <row r="871" spans="1:26" ht="16.5" customHeight="1">
      <c r="A871" s="73"/>
      <c r="B871" s="73"/>
      <c r="C871" s="73"/>
      <c r="D871" s="73"/>
      <c r="E871" s="73"/>
      <c r="F871" s="73"/>
      <c r="G871" s="73"/>
      <c r="H871" s="73"/>
      <c r="I871" s="73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</row>
    <row r="872" spans="1:26" ht="16.5" customHeight="1">
      <c r="A872" s="73"/>
      <c r="B872" s="73"/>
      <c r="C872" s="73"/>
      <c r="D872" s="73"/>
      <c r="E872" s="73"/>
      <c r="F872" s="73"/>
      <c r="G872" s="73"/>
      <c r="H872" s="73"/>
      <c r="I872" s="73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</row>
    <row r="873" spans="1:26" ht="16.5" customHeight="1">
      <c r="A873" s="73"/>
      <c r="B873" s="73"/>
      <c r="C873" s="73"/>
      <c r="D873" s="73"/>
      <c r="E873" s="73"/>
      <c r="F873" s="73"/>
      <c r="G873" s="73"/>
      <c r="H873" s="73"/>
      <c r="I873" s="73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</row>
    <row r="874" spans="1:26" ht="16.5" customHeight="1">
      <c r="A874" s="73"/>
      <c r="B874" s="73"/>
      <c r="C874" s="73"/>
      <c r="D874" s="73"/>
      <c r="E874" s="73"/>
      <c r="F874" s="73"/>
      <c r="G874" s="73"/>
      <c r="H874" s="73"/>
      <c r="I874" s="73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</row>
    <row r="875" spans="1:26" ht="16.5" customHeight="1">
      <c r="A875" s="73"/>
      <c r="B875" s="73"/>
      <c r="C875" s="73"/>
      <c r="D875" s="73"/>
      <c r="E875" s="73"/>
      <c r="F875" s="73"/>
      <c r="G875" s="73"/>
      <c r="H875" s="73"/>
      <c r="I875" s="73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</row>
    <row r="876" spans="1:26" ht="16.5" customHeight="1">
      <c r="A876" s="73"/>
      <c r="B876" s="73"/>
      <c r="C876" s="73"/>
      <c r="D876" s="73"/>
      <c r="E876" s="73"/>
      <c r="F876" s="73"/>
      <c r="G876" s="73"/>
      <c r="H876" s="73"/>
      <c r="I876" s="73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</row>
    <row r="877" spans="1:26" ht="16.5" customHeight="1">
      <c r="A877" s="73"/>
      <c r="B877" s="73"/>
      <c r="C877" s="73"/>
      <c r="D877" s="73"/>
      <c r="E877" s="73"/>
      <c r="F877" s="73"/>
      <c r="G877" s="73"/>
      <c r="H877" s="73"/>
      <c r="I877" s="73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</row>
    <row r="878" spans="1:26" ht="16.5" customHeight="1">
      <c r="A878" s="73"/>
      <c r="B878" s="73"/>
      <c r="C878" s="73"/>
      <c r="D878" s="73"/>
      <c r="E878" s="73"/>
      <c r="F878" s="73"/>
      <c r="G878" s="73"/>
      <c r="H878" s="73"/>
      <c r="I878" s="73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</row>
    <row r="879" spans="1:26" ht="16.5" customHeight="1">
      <c r="A879" s="73"/>
      <c r="B879" s="73"/>
      <c r="C879" s="73"/>
      <c r="D879" s="73"/>
      <c r="E879" s="73"/>
      <c r="F879" s="73"/>
      <c r="G879" s="73"/>
      <c r="H879" s="73"/>
      <c r="I879" s="73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</row>
    <row r="880" spans="1:26" ht="16.5" customHeight="1">
      <c r="A880" s="73"/>
      <c r="B880" s="73"/>
      <c r="C880" s="73"/>
      <c r="D880" s="73"/>
      <c r="E880" s="73"/>
      <c r="F880" s="73"/>
      <c r="G880" s="73"/>
      <c r="H880" s="73"/>
      <c r="I880" s="73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</row>
    <row r="881" spans="1:26" ht="16.5" customHeight="1">
      <c r="A881" s="73"/>
      <c r="B881" s="73"/>
      <c r="C881" s="73"/>
      <c r="D881" s="73"/>
      <c r="E881" s="73"/>
      <c r="F881" s="73"/>
      <c r="G881" s="73"/>
      <c r="H881" s="73"/>
      <c r="I881" s="73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</row>
    <row r="882" spans="1:26" ht="16.5" customHeight="1">
      <c r="A882" s="73"/>
      <c r="B882" s="73"/>
      <c r="C882" s="73"/>
      <c r="D882" s="73"/>
      <c r="E882" s="73"/>
      <c r="F882" s="73"/>
      <c r="G882" s="73"/>
      <c r="H882" s="73"/>
      <c r="I882" s="73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</row>
    <row r="883" spans="1:26" ht="16.5" customHeight="1">
      <c r="A883" s="73"/>
      <c r="B883" s="73"/>
      <c r="C883" s="73"/>
      <c r="D883" s="73"/>
      <c r="E883" s="73"/>
      <c r="F883" s="73"/>
      <c r="G883" s="73"/>
      <c r="H883" s="73"/>
      <c r="I883" s="73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</row>
    <row r="884" spans="1:26" ht="16.5" customHeight="1">
      <c r="A884" s="73"/>
      <c r="B884" s="73"/>
      <c r="C884" s="73"/>
      <c r="D884" s="73"/>
      <c r="E884" s="73"/>
      <c r="F884" s="73"/>
      <c r="G884" s="73"/>
      <c r="H884" s="73"/>
      <c r="I884" s="73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</row>
    <row r="885" spans="1:26" ht="16.5" customHeight="1">
      <c r="A885" s="73"/>
      <c r="B885" s="73"/>
      <c r="C885" s="73"/>
      <c r="D885" s="73"/>
      <c r="E885" s="73"/>
      <c r="F885" s="73"/>
      <c r="G885" s="73"/>
      <c r="H885" s="73"/>
      <c r="I885" s="73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</row>
    <row r="886" spans="1:26" ht="16.5" customHeight="1">
      <c r="A886" s="73"/>
      <c r="B886" s="73"/>
      <c r="C886" s="73"/>
      <c r="D886" s="73"/>
      <c r="E886" s="73"/>
      <c r="F886" s="73"/>
      <c r="G886" s="73"/>
      <c r="H886" s="73"/>
      <c r="I886" s="73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</row>
    <row r="887" spans="1:26" ht="16.5" customHeight="1">
      <c r="A887" s="73"/>
      <c r="B887" s="73"/>
      <c r="C887" s="73"/>
      <c r="D887" s="73"/>
      <c r="E887" s="73"/>
      <c r="F887" s="73"/>
      <c r="G887" s="73"/>
      <c r="H887" s="73"/>
      <c r="I887" s="73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</row>
    <row r="888" spans="1:26" ht="16.5" customHeight="1">
      <c r="A888" s="73"/>
      <c r="B888" s="73"/>
      <c r="C888" s="73"/>
      <c r="D888" s="73"/>
      <c r="E888" s="73"/>
      <c r="F888" s="73"/>
      <c r="G888" s="73"/>
      <c r="H888" s="73"/>
      <c r="I888" s="73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</row>
    <row r="889" spans="1:26" ht="16.5" customHeight="1">
      <c r="A889" s="73"/>
      <c r="B889" s="73"/>
      <c r="C889" s="73"/>
      <c r="D889" s="73"/>
      <c r="E889" s="73"/>
      <c r="F889" s="73"/>
      <c r="G889" s="73"/>
      <c r="H889" s="73"/>
      <c r="I889" s="73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</row>
    <row r="890" spans="1:26" ht="16.5" customHeight="1">
      <c r="A890" s="73"/>
      <c r="B890" s="73"/>
      <c r="C890" s="73"/>
      <c r="D890" s="73"/>
      <c r="E890" s="73"/>
      <c r="F890" s="73"/>
      <c r="G890" s="73"/>
      <c r="H890" s="73"/>
      <c r="I890" s="73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</row>
    <row r="891" spans="1:26" ht="16.5" customHeight="1">
      <c r="A891" s="73"/>
      <c r="B891" s="73"/>
      <c r="C891" s="73"/>
      <c r="D891" s="73"/>
      <c r="E891" s="73"/>
      <c r="F891" s="73"/>
      <c r="G891" s="73"/>
      <c r="H891" s="73"/>
      <c r="I891" s="73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</row>
    <row r="892" spans="1:26" ht="16.5" customHeight="1">
      <c r="A892" s="73"/>
      <c r="B892" s="73"/>
      <c r="C892" s="73"/>
      <c r="D892" s="73"/>
      <c r="E892" s="73"/>
      <c r="F892" s="73"/>
      <c r="G892" s="73"/>
      <c r="H892" s="73"/>
      <c r="I892" s="73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</row>
    <row r="893" spans="1:26" ht="16.5" customHeight="1">
      <c r="A893" s="73"/>
      <c r="B893" s="73"/>
      <c r="C893" s="73"/>
      <c r="D893" s="73"/>
      <c r="E893" s="73"/>
      <c r="F893" s="73"/>
      <c r="G893" s="73"/>
      <c r="H893" s="73"/>
      <c r="I893" s="73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</row>
    <row r="894" spans="1:26" ht="16.5" customHeight="1">
      <c r="A894" s="73"/>
      <c r="B894" s="73"/>
      <c r="C894" s="73"/>
      <c r="D894" s="73"/>
      <c r="E894" s="73"/>
      <c r="F894" s="73"/>
      <c r="G894" s="73"/>
      <c r="H894" s="73"/>
      <c r="I894" s="73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</row>
    <row r="895" spans="1:26" ht="16.5" customHeight="1">
      <c r="A895" s="73"/>
      <c r="B895" s="73"/>
      <c r="C895" s="73"/>
      <c r="D895" s="73"/>
      <c r="E895" s="73"/>
      <c r="F895" s="73"/>
      <c r="G895" s="73"/>
      <c r="H895" s="73"/>
      <c r="I895" s="73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</row>
    <row r="896" spans="1:26" ht="16.5" customHeight="1">
      <c r="A896" s="73"/>
      <c r="B896" s="73"/>
      <c r="C896" s="73"/>
      <c r="D896" s="73"/>
      <c r="E896" s="73"/>
      <c r="F896" s="73"/>
      <c r="G896" s="73"/>
      <c r="H896" s="73"/>
      <c r="I896" s="73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</row>
    <row r="897" spans="1:26" ht="16.5" customHeight="1">
      <c r="A897" s="73"/>
      <c r="B897" s="73"/>
      <c r="C897" s="73"/>
      <c r="D897" s="73"/>
      <c r="E897" s="73"/>
      <c r="F897" s="73"/>
      <c r="G897" s="73"/>
      <c r="H897" s="73"/>
      <c r="I897" s="73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</row>
    <row r="898" spans="1:26" ht="16.5" customHeight="1">
      <c r="A898" s="73"/>
      <c r="B898" s="73"/>
      <c r="C898" s="73"/>
      <c r="D898" s="73"/>
      <c r="E898" s="73"/>
      <c r="F898" s="73"/>
      <c r="G898" s="73"/>
      <c r="H898" s="73"/>
      <c r="I898" s="73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</row>
    <row r="899" spans="1:26" ht="16.5" customHeight="1">
      <c r="A899" s="73"/>
      <c r="B899" s="73"/>
      <c r="C899" s="73"/>
      <c r="D899" s="73"/>
      <c r="E899" s="73"/>
      <c r="F899" s="73"/>
      <c r="G899" s="73"/>
      <c r="H899" s="73"/>
      <c r="I899" s="73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</row>
    <row r="900" spans="1:26" ht="16.5" customHeight="1">
      <c r="A900" s="73"/>
      <c r="B900" s="73"/>
      <c r="C900" s="73"/>
      <c r="D900" s="73"/>
      <c r="E900" s="73"/>
      <c r="F900" s="73"/>
      <c r="G900" s="73"/>
      <c r="H900" s="73"/>
      <c r="I900" s="73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</row>
    <row r="901" spans="1:26" ht="16.5" customHeight="1">
      <c r="A901" s="73"/>
      <c r="B901" s="73"/>
      <c r="C901" s="73"/>
      <c r="D901" s="73"/>
      <c r="E901" s="73"/>
      <c r="F901" s="73"/>
      <c r="G901" s="73"/>
      <c r="H901" s="73"/>
      <c r="I901" s="73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</row>
    <row r="902" spans="1:26" ht="16.5" customHeight="1">
      <c r="A902" s="73"/>
      <c r="B902" s="73"/>
      <c r="C902" s="73"/>
      <c r="D902" s="73"/>
      <c r="E902" s="73"/>
      <c r="F902" s="73"/>
      <c r="G902" s="73"/>
      <c r="H902" s="73"/>
      <c r="I902" s="73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</row>
    <row r="903" spans="1:26" ht="16.5" customHeight="1">
      <c r="A903" s="73"/>
      <c r="B903" s="73"/>
      <c r="C903" s="73"/>
      <c r="D903" s="73"/>
      <c r="E903" s="73"/>
      <c r="F903" s="73"/>
      <c r="G903" s="73"/>
      <c r="H903" s="73"/>
      <c r="I903" s="73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</row>
    <row r="904" spans="1:26" ht="16.5" customHeight="1">
      <c r="A904" s="73"/>
      <c r="B904" s="73"/>
      <c r="C904" s="73"/>
      <c r="D904" s="73"/>
      <c r="E904" s="73"/>
      <c r="F904" s="73"/>
      <c r="G904" s="73"/>
      <c r="H904" s="73"/>
      <c r="I904" s="73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</row>
    <row r="905" spans="1:26" ht="16.5" customHeight="1">
      <c r="A905" s="73"/>
      <c r="B905" s="73"/>
      <c r="C905" s="73"/>
      <c r="D905" s="73"/>
      <c r="E905" s="73"/>
      <c r="F905" s="73"/>
      <c r="G905" s="73"/>
      <c r="H905" s="73"/>
      <c r="I905" s="73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</row>
    <row r="906" spans="1:26" ht="16.5" customHeight="1">
      <c r="A906" s="73"/>
      <c r="B906" s="73"/>
      <c r="C906" s="73"/>
      <c r="D906" s="73"/>
      <c r="E906" s="73"/>
      <c r="F906" s="73"/>
      <c r="G906" s="73"/>
      <c r="H906" s="73"/>
      <c r="I906" s="73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</row>
    <row r="907" spans="1:26" ht="16.5" customHeight="1">
      <c r="A907" s="73"/>
      <c r="B907" s="73"/>
      <c r="C907" s="73"/>
      <c r="D907" s="73"/>
      <c r="E907" s="73"/>
      <c r="F907" s="73"/>
      <c r="G907" s="73"/>
      <c r="H907" s="73"/>
      <c r="I907" s="73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</row>
    <row r="908" spans="1:26" ht="16.5" customHeight="1">
      <c r="A908" s="73"/>
      <c r="B908" s="73"/>
      <c r="C908" s="73"/>
      <c r="D908" s="73"/>
      <c r="E908" s="73"/>
      <c r="F908" s="73"/>
      <c r="G908" s="73"/>
      <c r="H908" s="73"/>
      <c r="I908" s="73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</row>
    <row r="909" spans="1:26" ht="16.5" customHeight="1">
      <c r="A909" s="73"/>
      <c r="B909" s="73"/>
      <c r="C909" s="73"/>
      <c r="D909" s="73"/>
      <c r="E909" s="73"/>
      <c r="F909" s="73"/>
      <c r="G909" s="73"/>
      <c r="H909" s="73"/>
      <c r="I909" s="73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</row>
    <row r="910" spans="1:26" ht="16.5" customHeight="1">
      <c r="A910" s="73"/>
      <c r="B910" s="73"/>
      <c r="C910" s="73"/>
      <c r="D910" s="73"/>
      <c r="E910" s="73"/>
      <c r="F910" s="73"/>
      <c r="G910" s="73"/>
      <c r="H910" s="73"/>
      <c r="I910" s="73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</row>
    <row r="911" spans="1:26" ht="16.5" customHeight="1">
      <c r="A911" s="73"/>
      <c r="B911" s="73"/>
      <c r="C911" s="73"/>
      <c r="D911" s="73"/>
      <c r="E911" s="73"/>
      <c r="F911" s="73"/>
      <c r="G911" s="73"/>
      <c r="H911" s="73"/>
      <c r="I911" s="73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</row>
    <row r="912" spans="1:26" ht="16.5" customHeight="1">
      <c r="A912" s="73"/>
      <c r="B912" s="73"/>
      <c r="C912" s="73"/>
      <c r="D912" s="73"/>
      <c r="E912" s="73"/>
      <c r="F912" s="73"/>
      <c r="G912" s="73"/>
      <c r="H912" s="73"/>
      <c r="I912" s="73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</row>
    <row r="913" spans="1:26" ht="16.5" customHeight="1">
      <c r="A913" s="73"/>
      <c r="B913" s="73"/>
      <c r="C913" s="73"/>
      <c r="D913" s="73"/>
      <c r="E913" s="73"/>
      <c r="F913" s="73"/>
      <c r="G913" s="73"/>
      <c r="H913" s="73"/>
      <c r="I913" s="73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</row>
    <row r="914" spans="1:26" ht="16.5" customHeight="1">
      <c r="A914" s="73"/>
      <c r="B914" s="73"/>
      <c r="C914" s="73"/>
      <c r="D914" s="73"/>
      <c r="E914" s="73"/>
      <c r="F914" s="73"/>
      <c r="G914" s="73"/>
      <c r="H914" s="73"/>
      <c r="I914" s="73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</row>
    <row r="915" spans="1:26" ht="16.5" customHeight="1">
      <c r="A915" s="73"/>
      <c r="B915" s="73"/>
      <c r="C915" s="73"/>
      <c r="D915" s="73"/>
      <c r="E915" s="73"/>
      <c r="F915" s="73"/>
      <c r="G915" s="73"/>
      <c r="H915" s="73"/>
      <c r="I915" s="73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</row>
    <row r="916" spans="1:26" ht="16.5" customHeight="1">
      <c r="A916" s="73"/>
      <c r="B916" s="73"/>
      <c r="C916" s="73"/>
      <c r="D916" s="73"/>
      <c r="E916" s="73"/>
      <c r="F916" s="73"/>
      <c r="G916" s="73"/>
      <c r="H916" s="73"/>
      <c r="I916" s="73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</row>
    <row r="917" spans="1:26" ht="16.5" customHeight="1">
      <c r="A917" s="73"/>
      <c r="B917" s="73"/>
      <c r="C917" s="73"/>
      <c r="D917" s="73"/>
      <c r="E917" s="73"/>
      <c r="F917" s="73"/>
      <c r="G917" s="73"/>
      <c r="H917" s="73"/>
      <c r="I917" s="73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</row>
    <row r="918" spans="1:26" ht="16.5" customHeight="1">
      <c r="A918" s="73"/>
      <c r="B918" s="73"/>
      <c r="C918" s="73"/>
      <c r="D918" s="73"/>
      <c r="E918" s="73"/>
      <c r="F918" s="73"/>
      <c r="G918" s="73"/>
      <c r="H918" s="73"/>
      <c r="I918" s="73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</row>
    <row r="919" spans="1:26" ht="16.5" customHeight="1">
      <c r="A919" s="73"/>
      <c r="B919" s="73"/>
      <c r="C919" s="73"/>
      <c r="D919" s="73"/>
      <c r="E919" s="73"/>
      <c r="F919" s="73"/>
      <c r="G919" s="73"/>
      <c r="H919" s="73"/>
      <c r="I919" s="73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</row>
    <row r="920" spans="1:26" ht="16.5" customHeight="1">
      <c r="A920" s="73"/>
      <c r="B920" s="73"/>
      <c r="C920" s="73"/>
      <c r="D920" s="73"/>
      <c r="E920" s="73"/>
      <c r="F920" s="73"/>
      <c r="G920" s="73"/>
      <c r="H920" s="73"/>
      <c r="I920" s="73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</row>
    <row r="921" spans="1:26" ht="16.5" customHeight="1">
      <c r="A921" s="73"/>
      <c r="B921" s="73"/>
      <c r="C921" s="73"/>
      <c r="D921" s="73"/>
      <c r="E921" s="73"/>
      <c r="F921" s="73"/>
      <c r="G921" s="73"/>
      <c r="H921" s="73"/>
      <c r="I921" s="73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</row>
    <row r="922" spans="1:26" ht="16.5" customHeight="1">
      <c r="A922" s="73"/>
      <c r="B922" s="73"/>
      <c r="C922" s="73"/>
      <c r="D922" s="73"/>
      <c r="E922" s="73"/>
      <c r="F922" s="73"/>
      <c r="G922" s="73"/>
      <c r="H922" s="73"/>
      <c r="I922" s="73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</row>
    <row r="923" spans="1:26" ht="16.5" customHeight="1">
      <c r="A923" s="73"/>
      <c r="B923" s="73"/>
      <c r="C923" s="73"/>
      <c r="D923" s="73"/>
      <c r="E923" s="73"/>
      <c r="F923" s="73"/>
      <c r="G923" s="73"/>
      <c r="H923" s="73"/>
      <c r="I923" s="73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</row>
    <row r="924" spans="1:26" ht="16.5" customHeight="1">
      <c r="A924" s="73"/>
      <c r="B924" s="73"/>
      <c r="C924" s="73"/>
      <c r="D924" s="73"/>
      <c r="E924" s="73"/>
      <c r="F924" s="73"/>
      <c r="G924" s="73"/>
      <c r="H924" s="73"/>
      <c r="I924" s="73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</row>
    <row r="925" spans="1:26" ht="16.5" customHeight="1">
      <c r="A925" s="73"/>
      <c r="B925" s="73"/>
      <c r="C925" s="73"/>
      <c r="D925" s="73"/>
      <c r="E925" s="73"/>
      <c r="F925" s="73"/>
      <c r="G925" s="73"/>
      <c r="H925" s="73"/>
      <c r="I925" s="73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</row>
    <row r="926" spans="1:26" ht="16.5" customHeight="1">
      <c r="A926" s="73"/>
      <c r="B926" s="73"/>
      <c r="C926" s="73"/>
      <c r="D926" s="73"/>
      <c r="E926" s="73"/>
      <c r="F926" s="73"/>
      <c r="G926" s="73"/>
      <c r="H926" s="73"/>
      <c r="I926" s="73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</row>
    <row r="927" spans="1:26" ht="16.5" customHeight="1">
      <c r="A927" s="73"/>
      <c r="B927" s="73"/>
      <c r="C927" s="73"/>
      <c r="D927" s="73"/>
      <c r="E927" s="73"/>
      <c r="F927" s="73"/>
      <c r="G927" s="73"/>
      <c r="H927" s="73"/>
      <c r="I927" s="73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</row>
    <row r="928" spans="1:26" ht="16.5" customHeight="1">
      <c r="A928" s="73"/>
      <c r="B928" s="73"/>
      <c r="C928" s="73"/>
      <c r="D928" s="73"/>
      <c r="E928" s="73"/>
      <c r="F928" s="73"/>
      <c r="G928" s="73"/>
      <c r="H928" s="73"/>
      <c r="I928" s="73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</row>
    <row r="929" spans="1:26" ht="16.5" customHeight="1">
      <c r="A929" s="73"/>
      <c r="B929" s="73"/>
      <c r="C929" s="73"/>
      <c r="D929" s="73"/>
      <c r="E929" s="73"/>
      <c r="F929" s="73"/>
      <c r="G929" s="73"/>
      <c r="H929" s="73"/>
      <c r="I929" s="73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</row>
    <row r="930" spans="1:26" ht="16.5" customHeight="1">
      <c r="A930" s="73"/>
      <c r="B930" s="73"/>
      <c r="C930" s="73"/>
      <c r="D930" s="73"/>
      <c r="E930" s="73"/>
      <c r="F930" s="73"/>
      <c r="G930" s="73"/>
      <c r="H930" s="73"/>
      <c r="I930" s="73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</row>
    <row r="931" spans="1:26" ht="16.5" customHeight="1">
      <c r="A931" s="73"/>
      <c r="B931" s="73"/>
      <c r="C931" s="73"/>
      <c r="D931" s="73"/>
      <c r="E931" s="73"/>
      <c r="F931" s="73"/>
      <c r="G931" s="73"/>
      <c r="H931" s="73"/>
      <c r="I931" s="73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</row>
    <row r="932" spans="1:26" ht="16.5" customHeight="1">
      <c r="A932" s="73"/>
      <c r="B932" s="73"/>
      <c r="C932" s="73"/>
      <c r="D932" s="73"/>
      <c r="E932" s="73"/>
      <c r="F932" s="73"/>
      <c r="G932" s="73"/>
      <c r="H932" s="73"/>
      <c r="I932" s="73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</row>
    <row r="933" spans="1:26" ht="16.5" customHeight="1">
      <c r="A933" s="73"/>
      <c r="B933" s="73"/>
      <c r="C933" s="73"/>
      <c r="D933" s="73"/>
      <c r="E933" s="73"/>
      <c r="F933" s="73"/>
      <c r="G933" s="73"/>
      <c r="H933" s="73"/>
      <c r="I933" s="73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</row>
    <row r="934" spans="1:26" ht="16.5" customHeight="1">
      <c r="A934" s="73"/>
      <c r="B934" s="73"/>
      <c r="C934" s="73"/>
      <c r="D934" s="73"/>
      <c r="E934" s="73"/>
      <c r="F934" s="73"/>
      <c r="G934" s="73"/>
      <c r="H934" s="73"/>
      <c r="I934" s="73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</row>
    <row r="935" spans="1:26" ht="16.5" customHeight="1">
      <c r="A935" s="73"/>
      <c r="B935" s="73"/>
      <c r="C935" s="73"/>
      <c r="D935" s="73"/>
      <c r="E935" s="73"/>
      <c r="F935" s="73"/>
      <c r="G935" s="73"/>
      <c r="H935" s="73"/>
      <c r="I935" s="73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</row>
    <row r="936" spans="1:26" ht="16.5" customHeight="1">
      <c r="A936" s="73"/>
      <c r="B936" s="73"/>
      <c r="C936" s="73"/>
      <c r="D936" s="73"/>
      <c r="E936" s="73"/>
      <c r="F936" s="73"/>
      <c r="G936" s="73"/>
      <c r="H936" s="73"/>
      <c r="I936" s="73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</row>
    <row r="937" spans="1:26" ht="16.5" customHeight="1">
      <c r="A937" s="73"/>
      <c r="B937" s="73"/>
      <c r="C937" s="73"/>
      <c r="D937" s="73"/>
      <c r="E937" s="73"/>
      <c r="F937" s="73"/>
      <c r="G937" s="73"/>
      <c r="H937" s="73"/>
      <c r="I937" s="73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</row>
    <row r="938" spans="1:26" ht="16.5" customHeight="1">
      <c r="A938" s="73"/>
      <c r="B938" s="73"/>
      <c r="C938" s="73"/>
      <c r="D938" s="73"/>
      <c r="E938" s="73"/>
      <c r="F938" s="73"/>
      <c r="G938" s="73"/>
      <c r="H938" s="73"/>
      <c r="I938" s="73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</row>
    <row r="939" spans="1:26" ht="16.5" customHeight="1">
      <c r="A939" s="73"/>
      <c r="B939" s="73"/>
      <c r="C939" s="73"/>
      <c r="D939" s="73"/>
      <c r="E939" s="73"/>
      <c r="F939" s="73"/>
      <c r="G939" s="73"/>
      <c r="H939" s="73"/>
      <c r="I939" s="73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</row>
    <row r="940" spans="1:26" ht="16.5" customHeight="1">
      <c r="A940" s="73"/>
      <c r="B940" s="73"/>
      <c r="C940" s="73"/>
      <c r="D940" s="73"/>
      <c r="E940" s="73"/>
      <c r="F940" s="73"/>
      <c r="G940" s="73"/>
      <c r="H940" s="73"/>
      <c r="I940" s="73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</row>
    <row r="941" spans="1:26" ht="16.5" customHeight="1">
      <c r="A941" s="73"/>
      <c r="B941" s="73"/>
      <c r="C941" s="73"/>
      <c r="D941" s="73"/>
      <c r="E941" s="73"/>
      <c r="F941" s="73"/>
      <c r="G941" s="73"/>
      <c r="H941" s="73"/>
      <c r="I941" s="73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</row>
    <row r="942" spans="1:26" ht="16.5" customHeight="1">
      <c r="A942" s="73"/>
      <c r="B942" s="73"/>
      <c r="C942" s="73"/>
      <c r="D942" s="73"/>
      <c r="E942" s="73"/>
      <c r="F942" s="73"/>
      <c r="G942" s="73"/>
      <c r="H942" s="73"/>
      <c r="I942" s="73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</row>
    <row r="943" spans="1:26" ht="16.5" customHeight="1">
      <c r="A943" s="73"/>
      <c r="B943" s="73"/>
      <c r="C943" s="73"/>
      <c r="D943" s="73"/>
      <c r="E943" s="73"/>
      <c r="F943" s="73"/>
      <c r="G943" s="73"/>
      <c r="H943" s="73"/>
      <c r="I943" s="73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</row>
    <row r="944" spans="1:26" ht="16.5" customHeight="1">
      <c r="A944" s="73"/>
      <c r="B944" s="73"/>
      <c r="C944" s="73"/>
      <c r="D944" s="73"/>
      <c r="E944" s="73"/>
      <c r="F944" s="73"/>
      <c r="G944" s="73"/>
      <c r="H944" s="73"/>
      <c r="I944" s="73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</row>
    <row r="945" spans="1:26" ht="16.5" customHeight="1">
      <c r="A945" s="73"/>
      <c r="B945" s="73"/>
      <c r="C945" s="73"/>
      <c r="D945" s="73"/>
      <c r="E945" s="73"/>
      <c r="F945" s="73"/>
      <c r="G945" s="73"/>
      <c r="H945" s="73"/>
      <c r="I945" s="73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</row>
    <row r="946" spans="1:26" ht="16.5" customHeight="1">
      <c r="A946" s="73"/>
      <c r="B946" s="73"/>
      <c r="C946" s="73"/>
      <c r="D946" s="73"/>
      <c r="E946" s="73"/>
      <c r="F946" s="73"/>
      <c r="G946" s="73"/>
      <c r="H946" s="73"/>
      <c r="I946" s="73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</row>
    <row r="947" spans="1:26" ht="16.5" customHeight="1">
      <c r="A947" s="73"/>
      <c r="B947" s="73"/>
      <c r="C947" s="73"/>
      <c r="D947" s="73"/>
      <c r="E947" s="73"/>
      <c r="F947" s="73"/>
      <c r="G947" s="73"/>
      <c r="H947" s="73"/>
      <c r="I947" s="73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</row>
    <row r="948" spans="1:26" ht="16.5" customHeight="1">
      <c r="A948" s="73"/>
      <c r="B948" s="73"/>
      <c r="C948" s="73"/>
      <c r="D948" s="73"/>
      <c r="E948" s="73"/>
      <c r="F948" s="73"/>
      <c r="G948" s="73"/>
      <c r="H948" s="73"/>
      <c r="I948" s="73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</row>
    <row r="949" spans="1:26" ht="16.5" customHeight="1">
      <c r="A949" s="73"/>
      <c r="B949" s="73"/>
      <c r="C949" s="73"/>
      <c r="D949" s="73"/>
      <c r="E949" s="73"/>
      <c r="F949" s="73"/>
      <c r="G949" s="73"/>
      <c r="H949" s="73"/>
      <c r="I949" s="73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</row>
    <row r="950" spans="1:26" ht="16.5" customHeight="1">
      <c r="A950" s="73"/>
      <c r="B950" s="73"/>
      <c r="C950" s="73"/>
      <c r="D950" s="73"/>
      <c r="E950" s="73"/>
      <c r="F950" s="73"/>
      <c r="G950" s="73"/>
      <c r="H950" s="73"/>
      <c r="I950" s="73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</row>
    <row r="951" spans="1:26" ht="16.5" customHeight="1">
      <c r="A951" s="73"/>
      <c r="B951" s="73"/>
      <c r="C951" s="73"/>
      <c r="D951" s="73"/>
      <c r="E951" s="73"/>
      <c r="F951" s="73"/>
      <c r="G951" s="73"/>
      <c r="H951" s="73"/>
      <c r="I951" s="73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</row>
    <row r="952" spans="1:26" ht="16.5" customHeight="1">
      <c r="A952" s="73"/>
      <c r="B952" s="73"/>
      <c r="C952" s="73"/>
      <c r="D952" s="73"/>
      <c r="E952" s="73"/>
      <c r="F952" s="73"/>
      <c r="G952" s="73"/>
      <c r="H952" s="73"/>
      <c r="I952" s="73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</row>
    <row r="953" spans="1:26" ht="16.5" customHeight="1">
      <c r="A953" s="73"/>
      <c r="B953" s="73"/>
      <c r="C953" s="73"/>
      <c r="D953" s="73"/>
      <c r="E953" s="73"/>
      <c r="F953" s="73"/>
      <c r="G953" s="73"/>
      <c r="H953" s="73"/>
      <c r="I953" s="73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</row>
    <row r="954" spans="1:26" ht="16.5" customHeight="1">
      <c r="A954" s="73"/>
      <c r="B954" s="73"/>
      <c r="C954" s="73"/>
      <c r="D954" s="73"/>
      <c r="E954" s="73"/>
      <c r="F954" s="73"/>
      <c r="G954" s="73"/>
      <c r="H954" s="73"/>
      <c r="I954" s="73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</row>
    <row r="955" spans="1:26" ht="16.5" customHeight="1">
      <c r="A955" s="73"/>
      <c r="B955" s="73"/>
      <c r="C955" s="73"/>
      <c r="D955" s="73"/>
      <c r="E955" s="73"/>
      <c r="F955" s="73"/>
      <c r="G955" s="73"/>
      <c r="H955" s="73"/>
      <c r="I955" s="73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</row>
    <row r="956" spans="1:26" ht="16.5" customHeight="1">
      <c r="A956" s="73"/>
      <c r="B956" s="73"/>
      <c r="C956" s="73"/>
      <c r="D956" s="73"/>
      <c r="E956" s="73"/>
      <c r="F956" s="73"/>
      <c r="G956" s="73"/>
      <c r="H956" s="73"/>
      <c r="I956" s="73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</row>
    <row r="957" spans="1:26" ht="16.5" customHeight="1">
      <c r="A957" s="73"/>
      <c r="B957" s="73"/>
      <c r="C957" s="73"/>
      <c r="D957" s="73"/>
      <c r="E957" s="73"/>
      <c r="F957" s="73"/>
      <c r="G957" s="73"/>
      <c r="H957" s="73"/>
      <c r="I957" s="73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</row>
    <row r="958" spans="1:26" ht="16.5" customHeight="1">
      <c r="A958" s="73"/>
      <c r="B958" s="73"/>
      <c r="C958" s="73"/>
      <c r="D958" s="73"/>
      <c r="E958" s="73"/>
      <c r="F958" s="73"/>
      <c r="G958" s="73"/>
      <c r="H958" s="73"/>
      <c r="I958" s="73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</row>
    <row r="959" spans="1:26" ht="16.5" customHeight="1">
      <c r="A959" s="73"/>
      <c r="B959" s="73"/>
      <c r="C959" s="73"/>
      <c r="D959" s="73"/>
      <c r="E959" s="73"/>
      <c r="F959" s="73"/>
      <c r="G959" s="73"/>
      <c r="H959" s="73"/>
      <c r="I959" s="73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</row>
    <row r="960" spans="1:26" ht="16.5" customHeight="1">
      <c r="A960" s="73"/>
      <c r="B960" s="73"/>
      <c r="C960" s="73"/>
      <c r="D960" s="73"/>
      <c r="E960" s="73"/>
      <c r="F960" s="73"/>
      <c r="G960" s="73"/>
      <c r="H960" s="73"/>
      <c r="I960" s="73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</row>
    <row r="961" spans="1:26" ht="16.5" customHeight="1">
      <c r="A961" s="73"/>
      <c r="B961" s="73"/>
      <c r="C961" s="73"/>
      <c r="D961" s="73"/>
      <c r="E961" s="73"/>
      <c r="F961" s="73"/>
      <c r="G961" s="73"/>
      <c r="H961" s="73"/>
      <c r="I961" s="73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</row>
    <row r="962" spans="1:26" ht="16.5" customHeight="1">
      <c r="A962" s="73"/>
      <c r="B962" s="73"/>
      <c r="C962" s="73"/>
      <c r="D962" s="73"/>
      <c r="E962" s="73"/>
      <c r="F962" s="73"/>
      <c r="G962" s="73"/>
      <c r="H962" s="73"/>
      <c r="I962" s="73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</row>
    <row r="963" spans="1:26" ht="16.5" customHeight="1">
      <c r="A963" s="73"/>
      <c r="B963" s="73"/>
      <c r="C963" s="73"/>
      <c r="D963" s="73"/>
      <c r="E963" s="73"/>
      <c r="F963" s="73"/>
      <c r="G963" s="73"/>
      <c r="H963" s="73"/>
      <c r="I963" s="73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</row>
    <row r="964" spans="1:26" ht="16.5" customHeight="1">
      <c r="A964" s="73"/>
      <c r="B964" s="73"/>
      <c r="C964" s="73"/>
      <c r="D964" s="73"/>
      <c r="E964" s="73"/>
      <c r="F964" s="73"/>
      <c r="G964" s="73"/>
      <c r="H964" s="73"/>
      <c r="I964" s="73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</row>
    <row r="965" spans="1:26" ht="16.5" customHeight="1">
      <c r="A965" s="73"/>
      <c r="B965" s="73"/>
      <c r="C965" s="73"/>
      <c r="D965" s="73"/>
      <c r="E965" s="73"/>
      <c r="F965" s="73"/>
      <c r="G965" s="73"/>
      <c r="H965" s="73"/>
      <c r="I965" s="73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</row>
    <row r="966" spans="1:26" ht="16.5" customHeight="1">
      <c r="A966" s="73"/>
      <c r="B966" s="73"/>
      <c r="C966" s="73"/>
      <c r="D966" s="73"/>
      <c r="E966" s="73"/>
      <c r="F966" s="73"/>
      <c r="G966" s="73"/>
      <c r="H966" s="73"/>
      <c r="I966" s="73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</row>
    <row r="967" spans="1:26" ht="16.5" customHeight="1">
      <c r="A967" s="73"/>
      <c r="B967" s="73"/>
      <c r="C967" s="73"/>
      <c r="D967" s="73"/>
      <c r="E967" s="73"/>
      <c r="F967" s="73"/>
      <c r="G967" s="73"/>
      <c r="H967" s="73"/>
      <c r="I967" s="73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</row>
    <row r="968" spans="1:26" ht="16.5" customHeight="1">
      <c r="A968" s="73"/>
      <c r="B968" s="73"/>
      <c r="C968" s="73"/>
      <c r="D968" s="73"/>
      <c r="E968" s="73"/>
      <c r="F968" s="73"/>
      <c r="G968" s="73"/>
      <c r="H968" s="73"/>
      <c r="I968" s="73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</row>
    <row r="969" spans="1:26" ht="16.5" customHeight="1">
      <c r="A969" s="73"/>
      <c r="B969" s="73"/>
      <c r="C969" s="73"/>
      <c r="D969" s="73"/>
      <c r="E969" s="73"/>
      <c r="F969" s="73"/>
      <c r="G969" s="73"/>
      <c r="H969" s="73"/>
      <c r="I969" s="73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</row>
    <row r="970" spans="1:26" ht="16.5" customHeight="1">
      <c r="A970" s="73"/>
      <c r="B970" s="73"/>
      <c r="C970" s="73"/>
      <c r="D970" s="73"/>
      <c r="E970" s="73"/>
      <c r="F970" s="73"/>
      <c r="G970" s="73"/>
      <c r="H970" s="73"/>
      <c r="I970" s="73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</row>
    <row r="971" spans="1:26" ht="16.5" customHeight="1">
      <c r="A971" s="73"/>
      <c r="B971" s="73"/>
      <c r="C971" s="73"/>
      <c r="D971" s="73"/>
      <c r="E971" s="73"/>
      <c r="F971" s="73"/>
      <c r="G971" s="73"/>
      <c r="H971" s="73"/>
      <c r="I971" s="73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</row>
    <row r="972" spans="1:26" ht="16.5" customHeight="1">
      <c r="A972" s="73"/>
      <c r="B972" s="73"/>
      <c r="C972" s="73"/>
      <c r="D972" s="73"/>
      <c r="E972" s="73"/>
      <c r="F972" s="73"/>
      <c r="G972" s="73"/>
      <c r="H972" s="73"/>
      <c r="I972" s="73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</row>
    <row r="973" spans="1:26" ht="16.5" customHeight="1">
      <c r="A973" s="73"/>
      <c r="B973" s="73"/>
      <c r="C973" s="73"/>
      <c r="D973" s="73"/>
      <c r="E973" s="73"/>
      <c r="F973" s="73"/>
      <c r="G973" s="73"/>
      <c r="H973" s="73"/>
      <c r="I973" s="73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</row>
    <row r="974" spans="1:26" ht="16.5" customHeight="1">
      <c r="A974" s="73"/>
      <c r="B974" s="73"/>
      <c r="C974" s="73"/>
      <c r="D974" s="73"/>
      <c r="E974" s="73"/>
      <c r="F974" s="73"/>
      <c r="G974" s="73"/>
      <c r="H974" s="73"/>
      <c r="I974" s="73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</row>
    <row r="975" spans="1:26" ht="16.5" customHeight="1">
      <c r="A975" s="73"/>
      <c r="B975" s="73"/>
      <c r="C975" s="73"/>
      <c r="D975" s="73"/>
      <c r="E975" s="73"/>
      <c r="F975" s="73"/>
      <c r="G975" s="73"/>
      <c r="H975" s="73"/>
      <c r="I975" s="73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</row>
    <row r="976" spans="1:26" ht="16.5" customHeight="1">
      <c r="A976" s="73"/>
      <c r="B976" s="73"/>
      <c r="C976" s="73"/>
      <c r="D976" s="73"/>
      <c r="E976" s="73"/>
      <c r="F976" s="73"/>
      <c r="G976" s="73"/>
      <c r="H976" s="73"/>
      <c r="I976" s="73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</row>
    <row r="977" spans="1:26" ht="16.5" customHeight="1">
      <c r="A977" s="73"/>
      <c r="B977" s="73"/>
      <c r="C977" s="73"/>
      <c r="D977" s="73"/>
      <c r="E977" s="73"/>
      <c r="F977" s="73"/>
      <c r="G977" s="73"/>
      <c r="H977" s="73"/>
      <c r="I977" s="73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</row>
    <row r="978" spans="1:26" ht="16.5" customHeight="1">
      <c r="A978" s="73"/>
      <c r="B978" s="73"/>
      <c r="C978" s="73"/>
      <c r="D978" s="73"/>
      <c r="E978" s="73"/>
      <c r="F978" s="73"/>
      <c r="G978" s="73"/>
      <c r="H978" s="73"/>
      <c r="I978" s="73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</row>
    <row r="979" spans="1:26" ht="16.5" customHeight="1">
      <c r="A979" s="73"/>
      <c r="B979" s="73"/>
      <c r="C979" s="73"/>
      <c r="D979" s="73"/>
      <c r="E979" s="73"/>
      <c r="F979" s="73"/>
      <c r="G979" s="73"/>
      <c r="H979" s="73"/>
      <c r="I979" s="73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</row>
    <row r="980" spans="1:26" ht="16.5" customHeight="1">
      <c r="A980" s="73"/>
      <c r="B980" s="73"/>
      <c r="C980" s="73"/>
      <c r="D980" s="73"/>
      <c r="E980" s="73"/>
      <c r="F980" s="73"/>
      <c r="G980" s="73"/>
      <c r="H980" s="73"/>
      <c r="I980" s="73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</row>
    <row r="981" spans="1:26" ht="16.5" customHeight="1">
      <c r="A981" s="73"/>
      <c r="B981" s="73"/>
      <c r="C981" s="73"/>
      <c r="D981" s="73"/>
      <c r="E981" s="73"/>
      <c r="F981" s="73"/>
      <c r="G981" s="73"/>
      <c r="H981" s="73"/>
      <c r="I981" s="73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</row>
    <row r="982" spans="1:26" ht="16.5" customHeight="1">
      <c r="A982" s="73"/>
      <c r="B982" s="73"/>
      <c r="C982" s="73"/>
      <c r="D982" s="73"/>
      <c r="E982" s="73"/>
      <c r="F982" s="73"/>
      <c r="G982" s="73"/>
      <c r="H982" s="73"/>
      <c r="I982" s="73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</row>
    <row r="983" spans="1:26" ht="16.5" customHeight="1">
      <c r="A983" s="73"/>
      <c r="B983" s="73"/>
      <c r="C983" s="73"/>
      <c r="D983" s="73"/>
      <c r="E983" s="73"/>
      <c r="F983" s="73"/>
      <c r="G983" s="73"/>
      <c r="H983" s="73"/>
      <c r="I983" s="73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</row>
    <row r="984" spans="1:26" ht="16.5" customHeight="1">
      <c r="A984" s="73"/>
      <c r="B984" s="73"/>
      <c r="C984" s="73"/>
      <c r="D984" s="73"/>
      <c r="E984" s="73"/>
      <c r="F984" s="73"/>
      <c r="G984" s="73"/>
      <c r="H984" s="73"/>
      <c r="I984" s="73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</row>
    <row r="985" spans="1:26" ht="16.5" customHeight="1">
      <c r="A985" s="73"/>
      <c r="B985" s="73"/>
      <c r="C985" s="73"/>
      <c r="D985" s="73"/>
      <c r="E985" s="73"/>
      <c r="F985" s="73"/>
      <c r="G985" s="73"/>
      <c r="H985" s="73"/>
      <c r="I985" s="73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</row>
    <row r="986" spans="1:26" ht="16.5" customHeight="1">
      <c r="A986" s="73"/>
      <c r="B986" s="73"/>
      <c r="C986" s="73"/>
      <c r="D986" s="73"/>
      <c r="E986" s="73"/>
      <c r="F986" s="73"/>
      <c r="G986" s="73"/>
      <c r="H986" s="73"/>
      <c r="I986" s="73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</row>
    <row r="987" spans="1:26" ht="16.5" customHeight="1">
      <c r="A987" s="73"/>
      <c r="B987" s="73"/>
      <c r="C987" s="73"/>
      <c r="D987" s="73"/>
      <c r="E987" s="73"/>
      <c r="F987" s="73"/>
      <c r="G987" s="73"/>
      <c r="H987" s="73"/>
      <c r="I987" s="73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</row>
    <row r="988" spans="1:26" ht="16.5" customHeight="1">
      <c r="A988" s="73"/>
      <c r="B988" s="73"/>
      <c r="C988" s="73"/>
      <c r="D988" s="73"/>
      <c r="E988" s="73"/>
      <c r="F988" s="73"/>
      <c r="G988" s="73"/>
      <c r="H988" s="73"/>
      <c r="I988" s="73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</row>
    <row r="989" spans="1:26" ht="16.5" customHeight="1">
      <c r="A989" s="73"/>
      <c r="B989" s="73"/>
      <c r="C989" s="73"/>
      <c r="D989" s="73"/>
      <c r="E989" s="73"/>
      <c r="F989" s="73"/>
      <c r="G989" s="73"/>
      <c r="H989" s="73"/>
      <c r="I989" s="73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</row>
    <row r="990" spans="1:26" ht="16.5" customHeight="1">
      <c r="A990" s="73"/>
      <c r="B990" s="73"/>
      <c r="C990" s="73"/>
      <c r="D990" s="73"/>
      <c r="E990" s="73"/>
      <c r="F990" s="73"/>
      <c r="G990" s="73"/>
      <c r="H990" s="73"/>
      <c r="I990" s="73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</row>
    <row r="991" spans="1:26" ht="16.5" customHeight="1">
      <c r="A991" s="73"/>
      <c r="B991" s="73"/>
      <c r="C991" s="73"/>
      <c r="D991" s="73"/>
      <c r="E991" s="73"/>
      <c r="F991" s="73"/>
      <c r="G991" s="73"/>
      <c r="H991" s="73"/>
      <c r="I991" s="73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</row>
    <row r="992" spans="1:26" ht="16.5" customHeight="1">
      <c r="A992" s="73"/>
      <c r="B992" s="73"/>
      <c r="C992" s="73"/>
      <c r="D992" s="73"/>
      <c r="E992" s="73"/>
      <c r="F992" s="73"/>
      <c r="G992" s="73"/>
      <c r="H992" s="73"/>
      <c r="I992" s="73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</row>
    <row r="993" spans="1:26" ht="16.5" customHeight="1">
      <c r="A993" s="73"/>
      <c r="B993" s="73"/>
      <c r="C993" s="73"/>
      <c r="D993" s="73"/>
      <c r="E993" s="73"/>
      <c r="F993" s="73"/>
      <c r="G993" s="73"/>
      <c r="H993" s="73"/>
      <c r="I993" s="73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</row>
    <row r="994" spans="1:26" ht="16.5" customHeight="1">
      <c r="A994" s="73"/>
      <c r="B994" s="73"/>
      <c r="C994" s="73"/>
      <c r="D994" s="73"/>
      <c r="E994" s="73"/>
      <c r="F994" s="73"/>
      <c r="G994" s="73"/>
      <c r="H994" s="73"/>
      <c r="I994" s="73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</row>
    <row r="995" spans="1:26" ht="16.5" customHeight="1">
      <c r="A995" s="73"/>
      <c r="B995" s="73"/>
      <c r="C995" s="73"/>
      <c r="D995" s="73"/>
      <c r="E995" s="73"/>
      <c r="F995" s="73"/>
      <c r="G995" s="73"/>
      <c r="H995" s="73"/>
      <c r="I995" s="73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</row>
    <row r="996" spans="1:26" ht="16.5" customHeight="1">
      <c r="A996" s="73"/>
      <c r="B996" s="73"/>
      <c r="C996" s="73"/>
      <c r="D996" s="73"/>
      <c r="E996" s="73"/>
      <c r="F996" s="73"/>
      <c r="G996" s="73"/>
      <c r="H996" s="73"/>
      <c r="I996" s="73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</row>
    <row r="997" spans="1:26" ht="16.5" customHeight="1">
      <c r="A997" s="73"/>
      <c r="B997" s="73"/>
      <c r="C997" s="73"/>
      <c r="D997" s="73"/>
      <c r="E997" s="73"/>
      <c r="F997" s="73"/>
      <c r="G997" s="73"/>
      <c r="H997" s="73"/>
      <c r="I997" s="73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</row>
    <row r="998" spans="1:26" ht="16.5" customHeight="1">
      <c r="A998" s="73"/>
      <c r="B998" s="73"/>
      <c r="C998" s="73"/>
      <c r="D998" s="73"/>
      <c r="E998" s="73"/>
      <c r="F998" s="73"/>
      <c r="G998" s="73"/>
      <c r="H998" s="73"/>
      <c r="I998" s="73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</row>
    <row r="999" spans="1:26" ht="16.5" customHeight="1">
      <c r="A999" s="73"/>
      <c r="B999" s="73"/>
      <c r="C999" s="73"/>
      <c r="D999" s="73"/>
      <c r="E999" s="73"/>
      <c r="F999" s="73"/>
      <c r="G999" s="73"/>
      <c r="H999" s="73"/>
      <c r="I999" s="73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</row>
    <row r="1000" spans="1:26" ht="16.5" customHeight="1">
      <c r="A1000" s="73"/>
      <c r="B1000" s="73"/>
      <c r="C1000" s="73"/>
      <c r="D1000" s="73"/>
      <c r="E1000" s="73"/>
      <c r="F1000" s="73"/>
      <c r="G1000" s="73"/>
      <c r="H1000" s="73"/>
      <c r="I1000" s="73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</row>
  </sheetData>
  <mergeCells count="7">
    <mergeCell ref="F1:F2"/>
    <mergeCell ref="G1:I1"/>
    <mergeCell ref="A1:A2"/>
    <mergeCell ref="B1:B2"/>
    <mergeCell ref="C1:C2"/>
    <mergeCell ref="D1:D2"/>
    <mergeCell ref="E1:E2"/>
  </mergeCells>
  <phoneticPr fontId="12" type="noConversion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Pipe"/>
  <dimension ref="A1:AX1000"/>
  <sheetViews>
    <sheetView workbookViewId="0"/>
  </sheetViews>
  <sheetFormatPr defaultColWidth="11.25" defaultRowHeight="15" customHeight="1"/>
  <cols>
    <col min="1" max="9" width="13.625" customWidth="1"/>
    <col min="10" max="10" width="13.125" customWidth="1"/>
    <col min="11" max="11" width="13.625" customWidth="1"/>
    <col min="12" max="12" width="13.125" customWidth="1"/>
    <col min="13" max="13" width="13.625" customWidth="1"/>
    <col min="14" max="14" width="13.125" customWidth="1"/>
    <col min="15" max="15" width="13.625" customWidth="1"/>
    <col min="16" max="16" width="13.125" customWidth="1"/>
    <col min="17" max="17" width="13.625" customWidth="1"/>
    <col min="18" max="18" width="13.125" customWidth="1"/>
    <col min="19" max="19" width="13.625" customWidth="1"/>
    <col min="20" max="20" width="13.125" customWidth="1"/>
    <col min="21" max="21" width="13.625" customWidth="1"/>
    <col min="22" max="22" width="13.125" customWidth="1"/>
    <col min="23" max="23" width="13.625" customWidth="1"/>
    <col min="24" max="24" width="13.125" customWidth="1"/>
    <col min="25" max="25" width="13.625" customWidth="1"/>
    <col min="26" max="26" width="13.125" customWidth="1"/>
    <col min="27" max="27" width="13.625" customWidth="1"/>
    <col min="28" max="28" width="13.125" customWidth="1"/>
    <col min="29" max="29" width="13.625" customWidth="1"/>
    <col min="30" max="30" width="13.125" customWidth="1"/>
    <col min="31" max="31" width="13.625" customWidth="1"/>
    <col min="32" max="32" width="13.125" customWidth="1"/>
    <col min="33" max="33" width="13.625" customWidth="1"/>
    <col min="34" max="34" width="13.125" customWidth="1"/>
    <col min="35" max="35" width="13.625" customWidth="1"/>
    <col min="36" max="36" width="13.125" customWidth="1"/>
    <col min="37" max="37" width="13.625" customWidth="1"/>
    <col min="38" max="38" width="13.125" customWidth="1"/>
    <col min="39" max="39" width="13.625" customWidth="1"/>
    <col min="40" max="40" width="13.125" customWidth="1"/>
    <col min="41" max="41" width="13.625" customWidth="1"/>
    <col min="42" max="42" width="13.125" customWidth="1"/>
    <col min="43" max="43" width="13.625" customWidth="1"/>
    <col min="44" max="44" width="13.125" customWidth="1"/>
    <col min="45" max="45" width="13.625" customWidth="1"/>
    <col min="46" max="46" width="13.125" customWidth="1"/>
    <col min="47" max="47" width="13.625" customWidth="1"/>
    <col min="48" max="48" width="13.125" customWidth="1"/>
    <col min="49" max="49" width="13.625" customWidth="1"/>
    <col min="50" max="50" width="13.125" customWidth="1"/>
  </cols>
  <sheetData>
    <row r="1" spans="1:50" ht="16.5" customHeight="1">
      <c r="A1" s="74" t="s">
        <v>363</v>
      </c>
      <c r="B1" s="75"/>
      <c r="C1" s="75" t="s">
        <v>363</v>
      </c>
      <c r="D1" s="75"/>
      <c r="E1" s="75" t="s">
        <v>363</v>
      </c>
      <c r="F1" s="75"/>
      <c r="G1" s="75" t="s">
        <v>363</v>
      </c>
      <c r="H1" s="75"/>
      <c r="I1" s="75" t="s">
        <v>363</v>
      </c>
      <c r="J1" s="75"/>
      <c r="K1" s="75" t="s">
        <v>363</v>
      </c>
      <c r="L1" s="75"/>
      <c r="M1" s="75" t="s">
        <v>363</v>
      </c>
      <c r="N1" s="75"/>
      <c r="O1" s="75" t="s">
        <v>363</v>
      </c>
      <c r="P1" s="75"/>
      <c r="Q1" s="75" t="s">
        <v>363</v>
      </c>
      <c r="R1" s="75"/>
      <c r="S1" s="75" t="s">
        <v>363</v>
      </c>
      <c r="T1" s="75"/>
      <c r="U1" s="75" t="s">
        <v>363</v>
      </c>
      <c r="V1" s="75"/>
      <c r="W1" s="75" t="s">
        <v>363</v>
      </c>
      <c r="X1" s="75"/>
      <c r="Y1" s="75" t="s">
        <v>363</v>
      </c>
      <c r="Z1" s="75"/>
      <c r="AA1" s="75" t="s">
        <v>363</v>
      </c>
      <c r="AB1" s="75"/>
      <c r="AC1" s="75" t="s">
        <v>363</v>
      </c>
      <c r="AD1" s="75"/>
      <c r="AE1" s="75" t="s">
        <v>363</v>
      </c>
      <c r="AF1" s="75"/>
      <c r="AG1" s="75" t="s">
        <v>363</v>
      </c>
      <c r="AH1" s="75"/>
      <c r="AI1" s="75" t="s">
        <v>363</v>
      </c>
      <c r="AJ1" s="75"/>
      <c r="AK1" s="75" t="s">
        <v>363</v>
      </c>
      <c r="AL1" s="75"/>
      <c r="AM1" s="75" t="s">
        <v>363</v>
      </c>
      <c r="AN1" s="75"/>
      <c r="AO1" s="75" t="s">
        <v>363</v>
      </c>
      <c r="AP1" s="75"/>
      <c r="AQ1" s="75" t="s">
        <v>363</v>
      </c>
      <c r="AR1" s="75"/>
      <c r="AS1" s="75" t="s">
        <v>363</v>
      </c>
      <c r="AT1" s="75"/>
      <c r="AU1" s="75" t="s">
        <v>363</v>
      </c>
      <c r="AV1" s="75"/>
      <c r="AW1" s="75" t="s">
        <v>363</v>
      </c>
      <c r="AX1" s="75"/>
    </row>
    <row r="2" spans="1:50" ht="16.5" customHeight="1">
      <c r="A2" s="74" t="s">
        <v>25</v>
      </c>
      <c r="B2" s="75"/>
      <c r="C2" s="76" t="s">
        <v>364</v>
      </c>
      <c r="D2" s="75"/>
      <c r="E2" s="76" t="s">
        <v>365</v>
      </c>
      <c r="F2" s="76"/>
      <c r="G2" s="76" t="s">
        <v>366</v>
      </c>
      <c r="H2" s="76"/>
      <c r="I2" s="76" t="s">
        <v>367</v>
      </c>
      <c r="J2" s="76"/>
      <c r="K2" s="76" t="s">
        <v>368</v>
      </c>
      <c r="L2" s="76"/>
      <c r="M2" s="76" t="s">
        <v>369</v>
      </c>
      <c r="N2" s="76"/>
      <c r="O2" s="76" t="s">
        <v>370</v>
      </c>
      <c r="P2" s="76"/>
      <c r="Q2" s="76" t="s">
        <v>371</v>
      </c>
      <c r="R2" s="76"/>
      <c r="S2" s="76" t="s">
        <v>372</v>
      </c>
      <c r="T2" s="76"/>
      <c r="U2" s="76" t="s">
        <v>373</v>
      </c>
      <c r="V2" s="76"/>
      <c r="W2" s="76" t="s">
        <v>374</v>
      </c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</row>
    <row r="3" spans="1:50" ht="16.5" customHeight="1">
      <c r="A3" s="74" t="s">
        <v>375</v>
      </c>
      <c r="B3" s="75" t="s">
        <v>376</v>
      </c>
      <c r="C3" s="75" t="s">
        <v>375</v>
      </c>
      <c r="D3" s="75" t="s">
        <v>376</v>
      </c>
      <c r="E3" s="75" t="s">
        <v>375</v>
      </c>
      <c r="F3" s="75" t="s">
        <v>376</v>
      </c>
      <c r="G3" s="75" t="s">
        <v>375</v>
      </c>
      <c r="H3" s="75" t="s">
        <v>376</v>
      </c>
      <c r="I3" s="75" t="s">
        <v>375</v>
      </c>
      <c r="J3" s="75" t="s">
        <v>376</v>
      </c>
      <c r="K3" s="75" t="s">
        <v>375</v>
      </c>
      <c r="L3" s="75" t="s">
        <v>376</v>
      </c>
      <c r="M3" s="75" t="s">
        <v>375</v>
      </c>
      <c r="N3" s="75" t="s">
        <v>376</v>
      </c>
      <c r="O3" s="75" t="s">
        <v>375</v>
      </c>
      <c r="P3" s="75" t="s">
        <v>376</v>
      </c>
      <c r="Q3" s="75" t="s">
        <v>375</v>
      </c>
      <c r="R3" s="75" t="s">
        <v>376</v>
      </c>
      <c r="S3" s="75" t="s">
        <v>375</v>
      </c>
      <c r="T3" s="75" t="s">
        <v>376</v>
      </c>
      <c r="U3" s="75" t="s">
        <v>375</v>
      </c>
      <c r="V3" s="75" t="s">
        <v>376</v>
      </c>
      <c r="W3" s="75" t="s">
        <v>375</v>
      </c>
      <c r="X3" s="75" t="s">
        <v>376</v>
      </c>
      <c r="Y3" s="75" t="s">
        <v>375</v>
      </c>
      <c r="Z3" s="75" t="s">
        <v>376</v>
      </c>
      <c r="AA3" s="75" t="s">
        <v>375</v>
      </c>
      <c r="AB3" s="75" t="s">
        <v>376</v>
      </c>
      <c r="AC3" s="75" t="s">
        <v>375</v>
      </c>
      <c r="AD3" s="75" t="s">
        <v>376</v>
      </c>
      <c r="AE3" s="75" t="s">
        <v>375</v>
      </c>
      <c r="AF3" s="75" t="s">
        <v>376</v>
      </c>
      <c r="AG3" s="75" t="s">
        <v>375</v>
      </c>
      <c r="AH3" s="75" t="s">
        <v>376</v>
      </c>
      <c r="AI3" s="75" t="s">
        <v>375</v>
      </c>
      <c r="AJ3" s="75" t="s">
        <v>376</v>
      </c>
      <c r="AK3" s="75" t="s">
        <v>375</v>
      </c>
      <c r="AL3" s="75" t="s">
        <v>376</v>
      </c>
      <c r="AM3" s="75" t="s">
        <v>375</v>
      </c>
      <c r="AN3" s="75" t="s">
        <v>376</v>
      </c>
      <c r="AO3" s="75" t="s">
        <v>375</v>
      </c>
      <c r="AP3" s="75" t="s">
        <v>376</v>
      </c>
      <c r="AQ3" s="75" t="s">
        <v>375</v>
      </c>
      <c r="AR3" s="75" t="s">
        <v>376</v>
      </c>
      <c r="AS3" s="75" t="s">
        <v>375</v>
      </c>
      <c r="AT3" s="75" t="s">
        <v>376</v>
      </c>
      <c r="AU3" s="75" t="s">
        <v>375</v>
      </c>
      <c r="AV3" s="75" t="s">
        <v>376</v>
      </c>
      <c r="AW3" s="75" t="s">
        <v>375</v>
      </c>
      <c r="AX3" s="75" t="s">
        <v>376</v>
      </c>
    </row>
    <row r="4" spans="1:50" ht="16.5" customHeight="1">
      <c r="A4" s="74" t="s">
        <v>377</v>
      </c>
      <c r="B4" s="75">
        <v>0.26800000000000002</v>
      </c>
      <c r="C4" s="77">
        <v>0.5</v>
      </c>
      <c r="D4" s="76">
        <v>0.54645669291338583</v>
      </c>
      <c r="E4" s="77">
        <v>0.5</v>
      </c>
      <c r="F4" s="76">
        <v>0.54645669291338583</v>
      </c>
      <c r="G4" s="77">
        <v>0.5</v>
      </c>
      <c r="H4" s="76">
        <v>0.54645669291338583</v>
      </c>
      <c r="I4" s="77">
        <v>0.5</v>
      </c>
      <c r="J4" s="76">
        <v>0.54645669291338583</v>
      </c>
      <c r="K4" s="77">
        <v>0.5</v>
      </c>
      <c r="L4" s="76">
        <v>0.54645669291338583</v>
      </c>
      <c r="M4" s="77">
        <v>0.5</v>
      </c>
      <c r="N4" s="76">
        <v>0.4637795275590551</v>
      </c>
      <c r="O4" s="77">
        <v>0.5</v>
      </c>
      <c r="P4" s="76">
        <v>0.62204724409448831</v>
      </c>
      <c r="Q4" s="77">
        <v>0.5</v>
      </c>
      <c r="R4" s="76">
        <v>0.62204724409448831</v>
      </c>
      <c r="S4" s="77">
        <v>0.5</v>
      </c>
      <c r="T4" s="76">
        <v>0.62204724409448831</v>
      </c>
      <c r="U4" s="77">
        <v>0.5</v>
      </c>
      <c r="V4" s="76">
        <v>0.54645669291338583</v>
      </c>
      <c r="W4" s="77">
        <v>0.5</v>
      </c>
      <c r="X4" s="76">
        <v>0.62204724409448831</v>
      </c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</row>
    <row r="5" spans="1:50" ht="16.5" customHeight="1">
      <c r="A5" s="74" t="s">
        <v>378</v>
      </c>
      <c r="B5" s="78">
        <v>0.36199999999999999</v>
      </c>
      <c r="C5" s="79">
        <v>0.75</v>
      </c>
      <c r="D5" s="76">
        <v>0.74212598425196863</v>
      </c>
      <c r="E5" s="79">
        <v>0.75</v>
      </c>
      <c r="F5" s="76">
        <v>0.74212598425196863</v>
      </c>
      <c r="G5" s="79">
        <v>0.75</v>
      </c>
      <c r="H5" s="76">
        <v>0.74212598425196863</v>
      </c>
      <c r="I5" s="79">
        <v>0.75</v>
      </c>
      <c r="J5" s="76">
        <v>0.74212598425196863</v>
      </c>
      <c r="K5" s="79">
        <v>0.75</v>
      </c>
      <c r="L5" s="76">
        <v>0.74212598425196863</v>
      </c>
      <c r="M5" s="79">
        <v>0.75</v>
      </c>
      <c r="N5" s="76">
        <v>0.61220472440944895</v>
      </c>
      <c r="O5" s="79">
        <v>0.75</v>
      </c>
      <c r="P5" s="76">
        <v>0.82401574803149613</v>
      </c>
      <c r="Q5" s="79">
        <v>0.75</v>
      </c>
      <c r="R5" s="76">
        <v>0.82401574803149613</v>
      </c>
      <c r="S5" s="79">
        <v>0.75</v>
      </c>
      <c r="T5" s="76">
        <v>0.82401574803149613</v>
      </c>
      <c r="U5" s="79">
        <v>0.75</v>
      </c>
      <c r="V5" s="76">
        <v>0.74212598425196863</v>
      </c>
      <c r="W5" s="79">
        <v>0.75</v>
      </c>
      <c r="X5" s="76">
        <v>0.82401574803149613</v>
      </c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</row>
    <row r="6" spans="1:50" ht="16.5" customHeight="1">
      <c r="A6" s="74" t="s">
        <v>379</v>
      </c>
      <c r="B6" s="78">
        <v>0.49199999999999999</v>
      </c>
      <c r="C6" s="80">
        <v>1</v>
      </c>
      <c r="D6" s="76">
        <v>0.95669291338582674</v>
      </c>
      <c r="E6" s="80">
        <v>1</v>
      </c>
      <c r="F6" s="76">
        <v>0.95669291338582674</v>
      </c>
      <c r="G6" s="80">
        <v>1</v>
      </c>
      <c r="H6" s="76">
        <v>0.95669291338582674</v>
      </c>
      <c r="I6" s="80">
        <v>1</v>
      </c>
      <c r="J6" s="76">
        <v>0.95669291338582674</v>
      </c>
      <c r="K6" s="80">
        <v>1</v>
      </c>
      <c r="L6" s="76">
        <v>0.95669291338582674</v>
      </c>
      <c r="M6" s="80">
        <v>1</v>
      </c>
      <c r="N6" s="76">
        <v>0.81496062992125984</v>
      </c>
      <c r="O6" s="80">
        <v>1</v>
      </c>
      <c r="P6" s="76">
        <v>1.0488188976377955</v>
      </c>
      <c r="Q6" s="80">
        <v>1</v>
      </c>
      <c r="R6" s="76">
        <v>1.0488188976377955</v>
      </c>
      <c r="S6" s="80">
        <v>1</v>
      </c>
      <c r="T6" s="76">
        <v>1.0488188976377955</v>
      </c>
      <c r="U6" s="80">
        <v>1</v>
      </c>
      <c r="V6" s="76">
        <v>0.95669291338582674</v>
      </c>
      <c r="W6" s="80">
        <v>1</v>
      </c>
      <c r="X6" s="76">
        <v>1.0488188976377955</v>
      </c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</row>
    <row r="7" spans="1:50" ht="16.5" customHeight="1">
      <c r="A7" s="74" t="s">
        <v>380</v>
      </c>
      <c r="B7" s="78">
        <v>0.622</v>
      </c>
      <c r="C7" s="77">
        <v>1.5</v>
      </c>
      <c r="D7" s="76">
        <v>1.4999999999999998</v>
      </c>
      <c r="E7" s="77">
        <v>1.5</v>
      </c>
      <c r="F7" s="76">
        <v>1.4999999999999998</v>
      </c>
      <c r="G7" s="77">
        <v>1.5</v>
      </c>
      <c r="H7" s="76">
        <v>1.4999999999999998</v>
      </c>
      <c r="I7" s="77">
        <v>1.5</v>
      </c>
      <c r="J7" s="76">
        <v>1.4999999999999998</v>
      </c>
      <c r="K7" s="77">
        <v>1.5</v>
      </c>
      <c r="L7" s="76">
        <v>1.4999999999999998</v>
      </c>
      <c r="M7" s="77">
        <v>1.5</v>
      </c>
      <c r="N7" s="76">
        <v>1.3377952755905511</v>
      </c>
      <c r="O7" s="77">
        <v>1.5</v>
      </c>
      <c r="P7" s="76">
        <v>1.610236220472441</v>
      </c>
      <c r="Q7" s="77">
        <v>1.5</v>
      </c>
      <c r="R7" s="76">
        <v>1.610236220472441</v>
      </c>
      <c r="S7" s="77">
        <v>1.5</v>
      </c>
      <c r="T7" s="76">
        <v>1.610236220472441</v>
      </c>
      <c r="U7" s="77">
        <v>1.5</v>
      </c>
      <c r="V7" s="76">
        <v>1.4999999999999998</v>
      </c>
      <c r="W7" s="77">
        <v>1.5</v>
      </c>
      <c r="X7" s="76">
        <v>1.610236220472441</v>
      </c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</row>
    <row r="8" spans="1:50" ht="16.5" customHeight="1">
      <c r="A8" s="74" t="s">
        <v>244</v>
      </c>
      <c r="B8" s="78">
        <v>0.82399999999999995</v>
      </c>
      <c r="C8" s="80">
        <v>2</v>
      </c>
      <c r="D8" s="76">
        <v>1.938976377952756</v>
      </c>
      <c r="E8" s="80">
        <v>2</v>
      </c>
      <c r="F8" s="76">
        <v>1.938976377952756</v>
      </c>
      <c r="G8" s="80">
        <v>2</v>
      </c>
      <c r="H8" s="76">
        <v>1.938976377952756</v>
      </c>
      <c r="I8" s="80">
        <v>2</v>
      </c>
      <c r="J8" s="76">
        <v>1.938976377952756</v>
      </c>
      <c r="K8" s="80">
        <v>2</v>
      </c>
      <c r="L8" s="76">
        <v>1.938976377952756</v>
      </c>
      <c r="M8" s="80">
        <v>2</v>
      </c>
      <c r="N8" s="76">
        <v>1.6870078740157479</v>
      </c>
      <c r="O8" s="80">
        <v>2</v>
      </c>
      <c r="P8" s="76">
        <v>2.0673228346456693</v>
      </c>
      <c r="Q8" s="80">
        <v>2</v>
      </c>
      <c r="R8" s="76">
        <v>2.0673228346456693</v>
      </c>
      <c r="S8" s="80">
        <v>2</v>
      </c>
      <c r="T8" s="76">
        <v>2.0673228346456693</v>
      </c>
      <c r="U8" s="80">
        <v>2</v>
      </c>
      <c r="V8" s="76">
        <v>1.938976377952756</v>
      </c>
      <c r="W8" s="80">
        <v>2</v>
      </c>
      <c r="X8" s="76">
        <v>2.0673228346456693</v>
      </c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</row>
    <row r="9" spans="1:50" ht="16.5" customHeight="1">
      <c r="A9" s="74" t="s">
        <v>245</v>
      </c>
      <c r="B9" s="78">
        <v>1.0489999999999999</v>
      </c>
      <c r="C9" s="80">
        <v>3</v>
      </c>
      <c r="D9" s="76">
        <v>3.0677165354330711</v>
      </c>
      <c r="E9" s="80">
        <v>3</v>
      </c>
      <c r="F9" s="76">
        <v>3.0677165354330711</v>
      </c>
      <c r="G9" s="80">
        <v>3</v>
      </c>
      <c r="H9" s="76">
        <v>3.0677165354330711</v>
      </c>
      <c r="I9" s="80">
        <v>3</v>
      </c>
      <c r="J9" s="76">
        <v>3.0677165354330711</v>
      </c>
      <c r="K9" s="80">
        <v>3</v>
      </c>
      <c r="L9" s="76">
        <v>3.0677165354330711</v>
      </c>
      <c r="M9" s="80">
        <v>3</v>
      </c>
      <c r="N9" s="76">
        <v>2.6236220472440945</v>
      </c>
      <c r="O9" s="80">
        <v>3</v>
      </c>
      <c r="P9" s="76">
        <v>3.2598425196850398</v>
      </c>
      <c r="Q9" s="80">
        <v>3</v>
      </c>
      <c r="R9" s="76">
        <v>3.2598425196850398</v>
      </c>
      <c r="S9" s="80">
        <v>3</v>
      </c>
      <c r="T9" s="76">
        <v>3.0677165354330711</v>
      </c>
      <c r="U9" s="80">
        <v>3</v>
      </c>
      <c r="V9" s="76">
        <v>2.9000000000000008</v>
      </c>
      <c r="W9" s="80">
        <v>3</v>
      </c>
      <c r="X9" s="76">
        <v>3.2598425196850398</v>
      </c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</row>
    <row r="10" spans="1:50" ht="16.5" customHeight="1">
      <c r="A10" s="74" t="s">
        <v>269</v>
      </c>
      <c r="B10" s="78">
        <v>1.61</v>
      </c>
      <c r="C10" s="80">
        <v>4</v>
      </c>
      <c r="D10" s="76">
        <v>4.0259842519685041</v>
      </c>
      <c r="E10" s="80">
        <v>4</v>
      </c>
      <c r="F10" s="76">
        <v>4.0259842519685041</v>
      </c>
      <c r="G10" s="80">
        <v>4</v>
      </c>
      <c r="H10" s="76">
        <v>4.0259842519685041</v>
      </c>
      <c r="I10" s="80">
        <v>4</v>
      </c>
      <c r="J10" s="76">
        <v>4.0259842519685041</v>
      </c>
      <c r="K10" s="80">
        <v>4</v>
      </c>
      <c r="L10" s="76">
        <v>4.0259842519685041</v>
      </c>
      <c r="M10" s="80">
        <v>4</v>
      </c>
      <c r="N10" s="76">
        <v>3.4377952755905512</v>
      </c>
      <c r="O10" s="80">
        <v>4</v>
      </c>
      <c r="P10" s="76">
        <v>4.2598425196850398</v>
      </c>
      <c r="Q10" s="80">
        <v>4</v>
      </c>
      <c r="R10" s="76">
        <v>4.2598425196850398</v>
      </c>
      <c r="S10" s="80">
        <v>4</v>
      </c>
      <c r="T10" s="76">
        <v>4.0259842519685041</v>
      </c>
      <c r="U10" s="80">
        <v>4</v>
      </c>
      <c r="V10" s="76">
        <v>3.8259842519685039</v>
      </c>
      <c r="W10" s="80">
        <v>4</v>
      </c>
      <c r="X10" s="76">
        <v>4.2598425196850398</v>
      </c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</row>
    <row r="11" spans="1:50" ht="16.5" customHeight="1">
      <c r="A11" s="74" t="s">
        <v>270</v>
      </c>
      <c r="B11" s="78">
        <v>2.0670000000000002</v>
      </c>
      <c r="C11" s="80">
        <v>6</v>
      </c>
      <c r="D11" s="76">
        <v>6.0653543307086615</v>
      </c>
      <c r="E11" s="80">
        <v>6</v>
      </c>
      <c r="F11" s="76">
        <v>6.0653543307086615</v>
      </c>
      <c r="G11" s="80">
        <v>6</v>
      </c>
      <c r="H11" s="76">
        <v>6.0653543307086615</v>
      </c>
      <c r="I11" s="80">
        <v>6</v>
      </c>
      <c r="J11" s="76">
        <v>6.0653543307086615</v>
      </c>
      <c r="K11" s="80">
        <v>6</v>
      </c>
      <c r="L11" s="76">
        <v>6.0653543307086615</v>
      </c>
      <c r="M11" s="80">
        <v>6</v>
      </c>
      <c r="N11" s="76">
        <v>5.1874015748031495</v>
      </c>
      <c r="O11" s="80">
        <v>6</v>
      </c>
      <c r="P11" s="76">
        <v>6.3574803149606298</v>
      </c>
      <c r="Q11" s="80">
        <v>6</v>
      </c>
      <c r="R11" s="76">
        <v>6.3574803149606298</v>
      </c>
      <c r="S11" s="80">
        <v>6</v>
      </c>
      <c r="T11" s="76">
        <v>6.0653543307086615</v>
      </c>
      <c r="U11" s="80">
        <v>6</v>
      </c>
      <c r="V11" s="76">
        <v>5.7614173228346459</v>
      </c>
      <c r="W11" s="80">
        <v>6</v>
      </c>
      <c r="X11" s="76">
        <v>6.3574803149606298</v>
      </c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</row>
    <row r="12" spans="1:50" ht="16.5" customHeight="1">
      <c r="A12" s="74" t="s">
        <v>271</v>
      </c>
      <c r="B12" s="78">
        <v>3.0680000000000001</v>
      </c>
      <c r="C12" s="80">
        <v>8</v>
      </c>
      <c r="D12" s="76">
        <v>7.9811023622047257</v>
      </c>
      <c r="E12" s="80">
        <v>8</v>
      </c>
      <c r="F12" s="76">
        <v>7.9811023622047257</v>
      </c>
      <c r="G12" s="80">
        <v>8</v>
      </c>
      <c r="H12" s="76">
        <v>7.9811023622047257</v>
      </c>
      <c r="I12" s="80">
        <v>8</v>
      </c>
      <c r="J12" s="76">
        <v>7.9811023622047257</v>
      </c>
      <c r="K12" s="80">
        <v>8</v>
      </c>
      <c r="L12" s="76">
        <v>7.9811023622047257</v>
      </c>
      <c r="M12" s="80">
        <v>8</v>
      </c>
      <c r="N12" s="76">
        <v>7.6251968503937011</v>
      </c>
      <c r="O12" s="80">
        <v>8</v>
      </c>
      <c r="P12" s="76">
        <v>8.329133858267717</v>
      </c>
      <c r="Q12" s="80">
        <v>8</v>
      </c>
      <c r="R12" s="76">
        <v>8.329133858267717</v>
      </c>
      <c r="S12" s="80">
        <v>8</v>
      </c>
      <c r="T12" s="76">
        <v>7.9811023622047257</v>
      </c>
      <c r="U12" s="80"/>
      <c r="V12" s="76"/>
      <c r="W12" s="80">
        <v>8</v>
      </c>
      <c r="X12" s="76">
        <v>8.329133858267717</v>
      </c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</row>
    <row r="13" spans="1:50" ht="16.5" customHeight="1">
      <c r="A13" s="74" t="s">
        <v>274</v>
      </c>
      <c r="B13" s="78">
        <v>4.0259999999999998</v>
      </c>
      <c r="C13" s="80">
        <v>10</v>
      </c>
      <c r="D13" s="76">
        <v>10.020078740157482</v>
      </c>
      <c r="E13" s="80">
        <v>10</v>
      </c>
      <c r="F13" s="76">
        <v>10.020078740157482</v>
      </c>
      <c r="G13" s="80">
        <v>10</v>
      </c>
      <c r="H13" s="76">
        <v>10.020078740157482</v>
      </c>
      <c r="I13" s="80">
        <v>10</v>
      </c>
      <c r="J13" s="76">
        <v>10.020078740157482</v>
      </c>
      <c r="K13" s="80">
        <v>10</v>
      </c>
      <c r="L13" s="76">
        <v>10.020078740157482</v>
      </c>
      <c r="M13" s="80">
        <v>10</v>
      </c>
      <c r="N13" s="76">
        <v>9.5618110236220488</v>
      </c>
      <c r="O13" s="80">
        <v>10</v>
      </c>
      <c r="P13" s="76">
        <v>10.420078740157482</v>
      </c>
      <c r="Q13" s="80">
        <v>10</v>
      </c>
      <c r="R13" s="76">
        <v>10.420078740157482</v>
      </c>
      <c r="S13" s="80">
        <v>10</v>
      </c>
      <c r="T13" s="76">
        <v>10.020078740157482</v>
      </c>
      <c r="U13" s="80"/>
      <c r="V13" s="76"/>
      <c r="W13" s="80">
        <v>10</v>
      </c>
      <c r="X13" s="76">
        <v>10.420078740157482</v>
      </c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</row>
    <row r="14" spans="1:50" ht="16.5" customHeight="1">
      <c r="A14" s="74" t="s">
        <v>276</v>
      </c>
      <c r="B14" s="78">
        <v>6.0650000000000004</v>
      </c>
      <c r="C14" s="80">
        <v>12</v>
      </c>
      <c r="D14" s="76">
        <v>11.9996062992126</v>
      </c>
      <c r="E14" s="80">
        <v>12</v>
      </c>
      <c r="F14" s="76">
        <v>11.9996062992126</v>
      </c>
      <c r="G14" s="80">
        <v>12</v>
      </c>
      <c r="H14" s="76">
        <v>11.9996062992126</v>
      </c>
      <c r="I14" s="80">
        <v>12</v>
      </c>
      <c r="J14" s="76">
        <v>11.9996062992126</v>
      </c>
      <c r="K14" s="80">
        <v>12</v>
      </c>
      <c r="L14" s="76">
        <v>11.9996062992126</v>
      </c>
      <c r="M14" s="80">
        <v>12</v>
      </c>
      <c r="N14" s="76">
        <v>11.373622047244098</v>
      </c>
      <c r="O14" s="80">
        <v>12</v>
      </c>
      <c r="P14" s="76">
        <v>12.390157480314963</v>
      </c>
      <c r="Q14" s="80">
        <v>12</v>
      </c>
      <c r="R14" s="76">
        <v>12.390157480314963</v>
      </c>
      <c r="S14" s="80">
        <v>12</v>
      </c>
      <c r="T14" s="76">
        <v>12.000393700787402</v>
      </c>
      <c r="U14" s="80"/>
      <c r="V14" s="76"/>
      <c r="W14" s="80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</row>
    <row r="15" spans="1:50" ht="16.5" customHeight="1">
      <c r="A15" s="74" t="s">
        <v>22</v>
      </c>
      <c r="B15" s="78">
        <v>7.9809999999999999</v>
      </c>
      <c r="C15" s="80">
        <v>14</v>
      </c>
      <c r="D15" s="76">
        <v>13.2496062992126</v>
      </c>
      <c r="E15" s="80">
        <v>14</v>
      </c>
      <c r="F15" s="76">
        <v>13.2496062992126</v>
      </c>
      <c r="G15" s="80">
        <v>14</v>
      </c>
      <c r="H15" s="76">
        <v>13.2496062992126</v>
      </c>
      <c r="I15" s="80">
        <v>14</v>
      </c>
      <c r="J15" s="76">
        <v>13.2496062992126</v>
      </c>
      <c r="K15" s="80">
        <v>14</v>
      </c>
      <c r="L15" s="76">
        <v>13.2496062992126</v>
      </c>
      <c r="M15" s="80"/>
      <c r="N15" s="76"/>
      <c r="O15" s="80">
        <v>14</v>
      </c>
      <c r="P15" s="76">
        <v>13.688188976377953</v>
      </c>
      <c r="Q15" s="80">
        <v>14</v>
      </c>
      <c r="R15" s="76">
        <v>13.688188976377953</v>
      </c>
      <c r="S15" s="80">
        <v>14</v>
      </c>
      <c r="T15" s="76">
        <v>13.2496062992126</v>
      </c>
      <c r="U15" s="80"/>
      <c r="V15" s="76"/>
      <c r="W15" s="80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</row>
    <row r="16" spans="1:50" ht="16.5" customHeight="1">
      <c r="A16" s="74" t="s">
        <v>282</v>
      </c>
      <c r="B16" s="78">
        <v>10.02</v>
      </c>
      <c r="C16" s="80">
        <v>16</v>
      </c>
      <c r="D16" s="76">
        <v>15.249606299212598</v>
      </c>
      <c r="E16" s="80">
        <v>16</v>
      </c>
      <c r="F16" s="76">
        <v>15.249606299212598</v>
      </c>
      <c r="G16" s="80">
        <v>16</v>
      </c>
      <c r="H16" s="76">
        <v>15.249606299212598</v>
      </c>
      <c r="I16" s="80">
        <v>16</v>
      </c>
      <c r="J16" s="76">
        <v>15.249606299212598</v>
      </c>
      <c r="K16" s="80">
        <v>16</v>
      </c>
      <c r="L16" s="76">
        <v>15.249606299212598</v>
      </c>
      <c r="M16" s="80"/>
      <c r="N16" s="76"/>
      <c r="O16" s="80">
        <v>16</v>
      </c>
      <c r="P16" s="76">
        <v>15.67007874015748</v>
      </c>
      <c r="Q16" s="80">
        <v>16</v>
      </c>
      <c r="R16" s="76">
        <v>15.67007874015748</v>
      </c>
      <c r="S16" s="80">
        <v>16</v>
      </c>
      <c r="T16" s="76">
        <v>15.249606299212598</v>
      </c>
      <c r="U16" s="80"/>
      <c r="V16" s="76"/>
      <c r="W16" s="80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</row>
    <row r="17" spans="1:50" ht="16.5" customHeight="1">
      <c r="A17" s="74" t="s">
        <v>381</v>
      </c>
      <c r="B17" s="78">
        <v>12</v>
      </c>
      <c r="C17" s="80">
        <v>18</v>
      </c>
      <c r="D17" s="76">
        <v>17.249606299212598</v>
      </c>
      <c r="E17" s="80">
        <v>18</v>
      </c>
      <c r="F17" s="76">
        <v>17.249606299212598</v>
      </c>
      <c r="G17" s="80">
        <v>18</v>
      </c>
      <c r="H17" s="76">
        <v>17.249606299212598</v>
      </c>
      <c r="I17" s="80">
        <v>18</v>
      </c>
      <c r="J17" s="76">
        <v>17.123622047244094</v>
      </c>
      <c r="K17" s="80">
        <v>18</v>
      </c>
      <c r="L17" s="76">
        <v>17.123622047244094</v>
      </c>
      <c r="M17" s="80"/>
      <c r="N17" s="76"/>
      <c r="O17" s="80">
        <v>18</v>
      </c>
      <c r="P17" s="76">
        <v>17.670078740157482</v>
      </c>
      <c r="Q17" s="80">
        <v>18</v>
      </c>
      <c r="R17" s="76">
        <v>17.670078740157482</v>
      </c>
      <c r="S17" s="80">
        <v>18</v>
      </c>
      <c r="T17" s="76">
        <v>17.249606299212598</v>
      </c>
      <c r="U17" s="80"/>
      <c r="V17" s="76"/>
      <c r="W17" s="80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</row>
    <row r="18" spans="1:50" ht="16.5" customHeight="1">
      <c r="A18" s="74" t="s">
        <v>382</v>
      </c>
      <c r="B18" s="78">
        <v>13.25</v>
      </c>
      <c r="C18" s="80">
        <v>20</v>
      </c>
      <c r="D18" s="76">
        <v>19.249606299212598</v>
      </c>
      <c r="E18" s="80">
        <v>20</v>
      </c>
      <c r="F18" s="76">
        <v>19.249606299212598</v>
      </c>
      <c r="G18" s="80">
        <v>20</v>
      </c>
      <c r="H18" s="76">
        <v>19.249606299212598</v>
      </c>
      <c r="I18" s="80">
        <v>20</v>
      </c>
      <c r="J18" s="76">
        <v>19.000000000000004</v>
      </c>
      <c r="K18" s="80">
        <v>20</v>
      </c>
      <c r="L18" s="76">
        <v>19.000000000000004</v>
      </c>
      <c r="M18" s="80"/>
      <c r="N18" s="76"/>
      <c r="O18" s="80">
        <v>20</v>
      </c>
      <c r="P18" s="76">
        <v>19.623622047244094</v>
      </c>
      <c r="Q18" s="80">
        <v>20</v>
      </c>
      <c r="R18" s="76">
        <v>19.623622047244094</v>
      </c>
      <c r="S18" s="80">
        <v>20</v>
      </c>
      <c r="T18" s="76">
        <v>19.249606299212598</v>
      </c>
      <c r="U18" s="80"/>
      <c r="V18" s="76"/>
      <c r="W18" s="80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</row>
    <row r="19" spans="1:50" ht="16.5" customHeight="1">
      <c r="A19" s="74" t="s">
        <v>383</v>
      </c>
      <c r="B19" s="78">
        <v>15.25</v>
      </c>
      <c r="C19" s="80">
        <v>24</v>
      </c>
      <c r="D19" s="76">
        <v>23.249606299212601</v>
      </c>
      <c r="E19" s="80">
        <v>24</v>
      </c>
      <c r="F19" s="76">
        <v>23.249606299212601</v>
      </c>
      <c r="G19" s="80">
        <v>24</v>
      </c>
      <c r="H19" s="76">
        <v>23.249606299212601</v>
      </c>
      <c r="I19" s="80">
        <v>24</v>
      </c>
      <c r="J19" s="76">
        <v>22.876377952755909</v>
      </c>
      <c r="K19" s="80">
        <v>24</v>
      </c>
      <c r="L19" s="76">
        <v>22.876377952755909</v>
      </c>
      <c r="M19" s="80"/>
      <c r="N19" s="76"/>
      <c r="O19" s="80">
        <v>24</v>
      </c>
      <c r="P19" s="76">
        <v>23.563779527559056</v>
      </c>
      <c r="Q19" s="80">
        <v>24</v>
      </c>
      <c r="R19" s="76">
        <v>23.563779527559056</v>
      </c>
      <c r="S19" s="80">
        <v>24</v>
      </c>
      <c r="T19" s="76">
        <v>23.249606299212601</v>
      </c>
      <c r="U19" s="80"/>
      <c r="V19" s="76"/>
      <c r="W19" s="80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</row>
    <row r="20" spans="1:50" ht="16.5" customHeight="1">
      <c r="A20" s="74" t="s">
        <v>384</v>
      </c>
      <c r="B20" s="78">
        <v>17.25</v>
      </c>
      <c r="C20" s="80">
        <v>26</v>
      </c>
      <c r="D20" s="76">
        <v>25.233858267716538</v>
      </c>
      <c r="E20" s="80"/>
      <c r="F20" s="76"/>
      <c r="G20" s="80"/>
      <c r="H20" s="76"/>
      <c r="I20" s="80"/>
      <c r="J20" s="76"/>
      <c r="K20" s="80"/>
      <c r="L20" s="76"/>
      <c r="M20" s="80"/>
      <c r="N20" s="76"/>
      <c r="O20" s="80"/>
      <c r="P20" s="76"/>
      <c r="Q20" s="80"/>
      <c r="R20" s="76"/>
      <c r="S20" s="80">
        <v>26</v>
      </c>
      <c r="T20" s="76">
        <v>25.233858267716538</v>
      </c>
      <c r="U20" s="80"/>
      <c r="V20" s="76"/>
      <c r="W20" s="80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</row>
    <row r="21" spans="1:50" ht="16.5" customHeight="1">
      <c r="A21" s="74" t="s">
        <v>301</v>
      </c>
      <c r="B21" s="78">
        <v>19.25</v>
      </c>
      <c r="C21" s="80">
        <v>28</v>
      </c>
      <c r="D21" s="76">
        <v>27.249606299212605</v>
      </c>
      <c r="E21" s="80"/>
      <c r="F21" s="76"/>
      <c r="G21" s="80"/>
      <c r="H21" s="76"/>
      <c r="I21" s="80"/>
      <c r="J21" s="76"/>
      <c r="K21" s="80"/>
      <c r="L21" s="76"/>
      <c r="M21" s="80"/>
      <c r="N21" s="76"/>
      <c r="O21" s="80"/>
      <c r="P21" s="76"/>
      <c r="Q21" s="80"/>
      <c r="R21" s="76"/>
      <c r="S21" s="80">
        <v>28</v>
      </c>
      <c r="T21" s="76">
        <v>27.249606299212605</v>
      </c>
      <c r="U21" s="80"/>
      <c r="V21" s="76"/>
      <c r="W21" s="80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</row>
    <row r="22" spans="1:50" ht="16.5" customHeight="1">
      <c r="A22" s="74" t="s">
        <v>385</v>
      </c>
      <c r="B22" s="78">
        <v>21.25</v>
      </c>
      <c r="C22" s="80">
        <v>30</v>
      </c>
      <c r="D22" s="76">
        <v>29.249606299212601</v>
      </c>
      <c r="E22" s="80"/>
      <c r="F22" s="76"/>
      <c r="G22" s="80"/>
      <c r="H22" s="76"/>
      <c r="I22" s="80"/>
      <c r="J22" s="76"/>
      <c r="K22" s="80"/>
      <c r="L22" s="76"/>
      <c r="M22" s="80"/>
      <c r="N22" s="76"/>
      <c r="O22" s="80"/>
      <c r="P22" s="76"/>
      <c r="Q22" s="80"/>
      <c r="R22" s="76"/>
      <c r="S22" s="80">
        <v>30</v>
      </c>
      <c r="T22" s="76">
        <v>29.249606299212601</v>
      </c>
      <c r="U22" s="80"/>
      <c r="V22" s="76"/>
      <c r="W22" s="80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</row>
    <row r="23" spans="1:50" ht="16.5" customHeight="1">
      <c r="A23" s="74" t="s">
        <v>386</v>
      </c>
      <c r="B23" s="78">
        <v>23.25</v>
      </c>
      <c r="C23" s="80">
        <v>32</v>
      </c>
      <c r="D23" s="76">
        <v>31.249606299212601</v>
      </c>
      <c r="E23" s="80"/>
      <c r="F23" s="76"/>
      <c r="G23" s="80"/>
      <c r="H23" s="76"/>
      <c r="I23" s="80"/>
      <c r="J23" s="76"/>
      <c r="K23" s="80"/>
      <c r="L23" s="76"/>
      <c r="M23" s="80"/>
      <c r="N23" s="76"/>
      <c r="O23" s="80"/>
      <c r="P23" s="76"/>
      <c r="Q23" s="80"/>
      <c r="R23" s="76"/>
      <c r="S23" s="80"/>
      <c r="T23" s="76"/>
      <c r="U23" s="80"/>
      <c r="V23" s="76"/>
      <c r="W23" s="80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</row>
    <row r="24" spans="1:50" ht="16.5" customHeight="1">
      <c r="A24" s="74" t="s">
        <v>387</v>
      </c>
      <c r="B24" s="78">
        <v>29.25</v>
      </c>
      <c r="C24" s="80">
        <v>34</v>
      </c>
      <c r="D24" s="76">
        <v>33.249606299212601</v>
      </c>
      <c r="E24" s="80"/>
      <c r="F24" s="76"/>
      <c r="G24" s="80"/>
      <c r="H24" s="76"/>
      <c r="I24" s="80"/>
      <c r="J24" s="76"/>
      <c r="K24" s="80"/>
      <c r="L24" s="76"/>
      <c r="M24" s="80"/>
      <c r="N24" s="76"/>
      <c r="O24" s="80"/>
      <c r="P24" s="76"/>
      <c r="Q24" s="80"/>
      <c r="R24" s="76"/>
      <c r="S24" s="80"/>
      <c r="T24" s="76"/>
      <c r="U24" s="80"/>
      <c r="V24" s="76"/>
      <c r="W24" s="80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</row>
    <row r="25" spans="1:50" ht="16.5" customHeight="1">
      <c r="A25" s="74" t="s">
        <v>388</v>
      </c>
      <c r="B25" s="78">
        <v>35.25</v>
      </c>
      <c r="C25" s="80">
        <v>36</v>
      </c>
      <c r="D25" s="76">
        <v>35.249606299212601</v>
      </c>
      <c r="E25" s="80"/>
      <c r="F25" s="76"/>
      <c r="G25" s="80"/>
      <c r="H25" s="76"/>
      <c r="I25" s="80"/>
      <c r="J25" s="76"/>
      <c r="K25" s="80"/>
      <c r="L25" s="76"/>
      <c r="M25" s="80"/>
      <c r="N25" s="76"/>
      <c r="O25" s="80"/>
      <c r="P25" s="76"/>
      <c r="Q25" s="80"/>
      <c r="R25" s="76"/>
      <c r="S25" s="80"/>
      <c r="T25" s="76"/>
      <c r="U25" s="80"/>
      <c r="V25" s="76"/>
      <c r="W25" s="80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</row>
    <row r="26" spans="1:50" ht="16.5" customHeight="1">
      <c r="A26" s="74" t="s">
        <v>389</v>
      </c>
      <c r="B26" s="78">
        <v>41.25</v>
      </c>
      <c r="C26" s="81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</row>
    <row r="27" spans="1:50" ht="16.5" customHeight="1">
      <c r="A27" s="74" t="s">
        <v>390</v>
      </c>
      <c r="B27" s="78">
        <v>45.25</v>
      </c>
      <c r="C27" s="81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</row>
    <row r="28" spans="1:50" ht="16.5" customHeight="1">
      <c r="A28" s="82">
        <v>48</v>
      </c>
      <c r="B28" s="78">
        <v>47.25</v>
      </c>
      <c r="C28" s="81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</row>
    <row r="29" spans="1:50" ht="16.5" customHeight="1">
      <c r="A29" s="82">
        <v>54</v>
      </c>
      <c r="B29" s="78">
        <v>53.25</v>
      </c>
      <c r="C29" s="81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</row>
    <row r="30" spans="1:50" ht="16.5" customHeight="1">
      <c r="A30" s="82">
        <v>60</v>
      </c>
      <c r="B30" s="78">
        <v>59.25</v>
      </c>
      <c r="C30" s="81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</row>
    <row r="31" spans="1:50" ht="16.5" customHeight="1">
      <c r="A31" s="74" t="s">
        <v>391</v>
      </c>
      <c r="B31" s="78">
        <v>63.25</v>
      </c>
      <c r="C31" s="81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</row>
    <row r="32" spans="1:50" ht="16.5" customHeight="1">
      <c r="A32" s="82">
        <v>72</v>
      </c>
      <c r="B32" s="78">
        <v>71.25</v>
      </c>
      <c r="C32" s="81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</row>
    <row r="33" spans="1:50" ht="16.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</row>
    <row r="34" spans="1:50" ht="16.5" customHeight="1">
      <c r="A34" s="83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</row>
    <row r="35" spans="1:50" ht="16.5" customHeight="1">
      <c r="A35" s="83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</row>
    <row r="36" spans="1:50" ht="16.5" customHeight="1">
      <c r="A36" s="83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</row>
    <row r="37" spans="1:50" ht="16.5" customHeight="1">
      <c r="A37" s="83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</row>
    <row r="38" spans="1:50" ht="16.5" customHeight="1">
      <c r="A38" s="83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</row>
    <row r="39" spans="1:50" ht="16.5" customHeight="1">
      <c r="A39" s="83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</row>
    <row r="40" spans="1:50" ht="16.5" customHeight="1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</row>
    <row r="41" spans="1:50" ht="16.5" customHeight="1">
      <c r="A41" s="83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</row>
    <row r="42" spans="1:50" ht="16.5" customHeight="1">
      <c r="A42" s="83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</row>
    <row r="43" spans="1:50" ht="16.5" customHeight="1">
      <c r="A43" s="83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4"/>
    </row>
    <row r="44" spans="1:50" ht="16.5" customHeight="1">
      <c r="A44" s="83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</row>
    <row r="45" spans="1:50" ht="16.5" customHeight="1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</row>
    <row r="46" spans="1:50" ht="16.5" customHeight="1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</row>
    <row r="47" spans="1:50" ht="16.5" customHeight="1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</row>
    <row r="48" spans="1:50" ht="16.5" customHeight="1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</row>
    <row r="49" spans="1:50" ht="16.5" customHeight="1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</row>
    <row r="50" spans="1:50" ht="16.5" customHeight="1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</row>
    <row r="51" spans="1:50" ht="16.5" customHeight="1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</row>
    <row r="52" spans="1:50" ht="16.5" customHeight="1">
      <c r="A52" s="83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</row>
    <row r="53" spans="1:50" ht="16.5" customHeight="1">
      <c r="A53" s="83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</row>
    <row r="54" spans="1:50" ht="16.5" customHeight="1">
      <c r="A54" s="83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4"/>
    </row>
    <row r="55" spans="1:50" ht="16.5" customHeight="1">
      <c r="A55" s="83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</row>
    <row r="56" spans="1:50" ht="16.5" customHeight="1">
      <c r="A56" s="83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</row>
    <row r="57" spans="1:50" ht="16.5" customHeight="1">
      <c r="A57" s="83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4"/>
    </row>
    <row r="58" spans="1:50" ht="16.5" customHeight="1">
      <c r="A58" s="83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</row>
    <row r="59" spans="1:50" ht="16.5" customHeight="1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</row>
    <row r="60" spans="1:50" ht="16.5" customHeight="1">
      <c r="A60" s="83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</row>
    <row r="61" spans="1:50" ht="16.5" customHeight="1">
      <c r="A61" s="83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</row>
    <row r="62" spans="1:50" ht="16.5" customHeight="1">
      <c r="A62" s="83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</row>
    <row r="63" spans="1:50" ht="16.5" customHeight="1">
      <c r="A63" s="83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</row>
    <row r="64" spans="1:50" ht="16.5" customHeight="1">
      <c r="A64" s="83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</row>
    <row r="65" spans="1:50" ht="16.5" customHeight="1">
      <c r="A65" s="83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</row>
    <row r="66" spans="1:50" ht="16.5" customHeight="1">
      <c r="A66" s="83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</row>
    <row r="67" spans="1:50" ht="16.5" customHeight="1">
      <c r="A67" s="83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</row>
    <row r="68" spans="1:50" ht="16.5" customHeight="1">
      <c r="A68" s="83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</row>
    <row r="69" spans="1:50" ht="16.5" customHeight="1">
      <c r="A69" s="83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</row>
    <row r="70" spans="1:50" ht="16.5" customHeight="1">
      <c r="A70" s="83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</row>
    <row r="71" spans="1:50" ht="16.5" customHeight="1">
      <c r="A71" s="83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4"/>
    </row>
    <row r="72" spans="1:50" ht="16.5" customHeight="1">
      <c r="A72" s="8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</row>
    <row r="73" spans="1:50" ht="16.5" customHeight="1">
      <c r="A73" s="83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</row>
    <row r="74" spans="1:50" ht="16.5" customHeight="1">
      <c r="A74" s="83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</row>
    <row r="75" spans="1:50" ht="16.5" customHeight="1">
      <c r="A75" s="83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</row>
    <row r="76" spans="1:50" ht="16.5" customHeight="1">
      <c r="A76" s="83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</row>
    <row r="77" spans="1:50" ht="16.5" customHeight="1">
      <c r="A77" s="83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</row>
    <row r="78" spans="1:50" ht="16.5" customHeight="1">
      <c r="A78" s="83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4"/>
    </row>
    <row r="79" spans="1:50" ht="16.5" customHeight="1">
      <c r="A79" s="83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</row>
    <row r="80" spans="1:50" ht="16.5" customHeight="1">
      <c r="A80" s="83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</row>
    <row r="81" spans="1:50" ht="16.5" customHeight="1">
      <c r="A81" s="83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</row>
    <row r="82" spans="1:50" ht="16.5" customHeight="1">
      <c r="A82" s="83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</row>
    <row r="83" spans="1:50" ht="16.5" customHeight="1">
      <c r="A83" s="83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</row>
    <row r="84" spans="1:50" ht="16.5" customHeight="1">
      <c r="A84" s="83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</row>
    <row r="85" spans="1:50" ht="16.5" customHeight="1">
      <c r="A85" s="83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</row>
    <row r="86" spans="1:50" ht="16.5" customHeight="1">
      <c r="A86" s="83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</row>
    <row r="87" spans="1:50" ht="16.5" customHeight="1">
      <c r="A87" s="83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</row>
    <row r="88" spans="1:50" ht="16.5" customHeight="1">
      <c r="A88" s="83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4"/>
    </row>
    <row r="89" spans="1:50" ht="16.5" customHeight="1">
      <c r="A89" s="83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</row>
    <row r="90" spans="1:50" ht="16.5" customHeight="1">
      <c r="A90" s="83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</row>
    <row r="91" spans="1:50" ht="16.5" customHeight="1">
      <c r="A91" s="83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4"/>
    </row>
    <row r="92" spans="1:50" ht="16.5" customHeight="1">
      <c r="A92" s="83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</row>
    <row r="93" spans="1:50" ht="16.5" customHeight="1">
      <c r="A93" s="83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</row>
    <row r="94" spans="1:50" ht="16.5" customHeight="1">
      <c r="A94" s="83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4"/>
    </row>
    <row r="95" spans="1:50" ht="16.5" customHeight="1">
      <c r="A95" s="83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</row>
    <row r="96" spans="1:50" ht="16.5" customHeight="1">
      <c r="A96" s="83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</row>
    <row r="97" spans="1:50" ht="16.5" customHeight="1">
      <c r="A97" s="83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</row>
    <row r="98" spans="1:50" ht="16.5" customHeight="1">
      <c r="A98" s="83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</row>
    <row r="99" spans="1:50" ht="16.5" customHeight="1">
      <c r="A99" s="83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</row>
    <row r="100" spans="1:50" ht="16.5" customHeight="1">
      <c r="A100" s="83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</row>
    <row r="101" spans="1:50" ht="16.5" customHeight="1">
      <c r="A101" s="83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</row>
    <row r="102" spans="1:50" ht="16.5" customHeight="1">
      <c r="A102" s="83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</row>
    <row r="103" spans="1:50" ht="16.5" customHeight="1">
      <c r="A103" s="83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</row>
    <row r="104" spans="1:50" ht="16.5" customHeight="1">
      <c r="A104" s="83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</row>
    <row r="105" spans="1:50" ht="16.5" customHeight="1">
      <c r="A105" s="83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4"/>
    </row>
    <row r="106" spans="1:50" ht="16.5" customHeight="1">
      <c r="A106" s="83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</row>
    <row r="107" spans="1:50" ht="16.5" customHeight="1">
      <c r="A107" s="83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</row>
    <row r="108" spans="1:50" ht="16.5" customHeight="1">
      <c r="A108" s="83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</row>
    <row r="109" spans="1:50" ht="16.5" customHeight="1">
      <c r="A109" s="83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</row>
    <row r="110" spans="1:50" ht="16.5" customHeight="1">
      <c r="A110" s="83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</row>
    <row r="111" spans="1:50" ht="16.5" customHeight="1">
      <c r="A111" s="83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4"/>
    </row>
    <row r="112" spans="1:50" ht="16.5" customHeight="1">
      <c r="A112" s="83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</row>
    <row r="113" spans="1:50" ht="16.5" customHeight="1">
      <c r="A113" s="83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</row>
    <row r="114" spans="1:50" ht="16.5" customHeight="1">
      <c r="A114" s="83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</row>
    <row r="115" spans="1:50" ht="16.5" customHeight="1">
      <c r="A115" s="83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</row>
    <row r="116" spans="1:50" ht="16.5" customHeight="1">
      <c r="A116" s="83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</row>
    <row r="117" spans="1:50" ht="16.5" customHeight="1">
      <c r="A117" s="83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</row>
    <row r="118" spans="1:50" ht="16.5" customHeight="1">
      <c r="A118" s="83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</row>
    <row r="119" spans="1:50" ht="16.5" customHeight="1">
      <c r="A119" s="83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</row>
    <row r="120" spans="1:50" ht="16.5" customHeight="1">
      <c r="A120" s="83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</row>
    <row r="121" spans="1:50" ht="16.5" customHeight="1">
      <c r="A121" s="83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</row>
    <row r="122" spans="1:50" ht="16.5" customHeight="1">
      <c r="A122" s="83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</row>
    <row r="123" spans="1:50" ht="16.5" customHeight="1">
      <c r="A123" s="83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</row>
    <row r="124" spans="1:50" ht="16.5" customHeight="1">
      <c r="A124" s="83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</row>
    <row r="125" spans="1:50" ht="16.5" customHeight="1">
      <c r="A125" s="83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</row>
    <row r="126" spans="1:50" ht="16.5" customHeight="1">
      <c r="A126" s="83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</row>
    <row r="127" spans="1:50" ht="16.5" customHeight="1">
      <c r="A127" s="83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</row>
    <row r="128" spans="1:50" ht="16.5" customHeight="1">
      <c r="A128" s="83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</row>
    <row r="129" spans="1:50" ht="16.5" customHeight="1">
      <c r="A129" s="83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</row>
    <row r="130" spans="1:50" ht="16.5" customHeight="1">
      <c r="A130" s="83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</row>
    <row r="131" spans="1:50" ht="16.5" customHeight="1">
      <c r="A131" s="83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</row>
    <row r="132" spans="1:50" ht="16.5" customHeight="1">
      <c r="A132" s="83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</row>
    <row r="133" spans="1:50" ht="16.5" customHeight="1">
      <c r="A133" s="83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</row>
    <row r="134" spans="1:50" ht="16.5" customHeight="1">
      <c r="A134" s="83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4"/>
    </row>
    <row r="135" spans="1:50" ht="16.5" customHeight="1">
      <c r="A135" s="83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</row>
    <row r="136" spans="1:50" ht="16.5" customHeight="1">
      <c r="A136" s="83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</row>
    <row r="137" spans="1:50" ht="16.5" customHeight="1">
      <c r="A137" s="83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</row>
    <row r="138" spans="1:50" ht="16.5" customHeight="1">
      <c r="A138" s="83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</row>
    <row r="139" spans="1:50" ht="16.5" customHeight="1">
      <c r="A139" s="83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4"/>
    </row>
    <row r="140" spans="1:50" ht="16.5" customHeight="1">
      <c r="A140" s="83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</row>
    <row r="141" spans="1:50" ht="16.5" customHeight="1">
      <c r="A141" s="83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</row>
    <row r="142" spans="1:50" ht="16.5" customHeight="1">
      <c r="A142" s="83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4"/>
    </row>
    <row r="143" spans="1:50" ht="16.5" customHeight="1">
      <c r="A143" s="83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</row>
    <row r="144" spans="1:50" ht="16.5" customHeight="1">
      <c r="A144" s="83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</row>
    <row r="145" spans="1:50" ht="16.5" customHeight="1">
      <c r="A145" s="83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</row>
    <row r="146" spans="1:50" ht="16.5" customHeight="1">
      <c r="A146" s="83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</row>
    <row r="147" spans="1:50" ht="16.5" customHeight="1">
      <c r="A147" s="83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</row>
    <row r="148" spans="1:50" ht="16.5" customHeight="1">
      <c r="A148" s="83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</row>
    <row r="149" spans="1:50" ht="16.5" customHeight="1">
      <c r="A149" s="83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</row>
    <row r="150" spans="1:50" ht="16.5" customHeight="1">
      <c r="A150" s="83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</row>
    <row r="151" spans="1:50" ht="16.5" customHeight="1">
      <c r="A151" s="83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/>
      <c r="AP151" s="84"/>
      <c r="AQ151" s="84"/>
      <c r="AR151" s="84"/>
      <c r="AS151" s="84"/>
      <c r="AT151" s="84"/>
      <c r="AU151" s="84"/>
      <c r="AV151" s="84"/>
      <c r="AW151" s="84"/>
      <c r="AX151" s="84"/>
    </row>
    <row r="152" spans="1:50" ht="16.5" customHeight="1">
      <c r="A152" s="83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</row>
    <row r="153" spans="1:50" ht="16.5" customHeight="1">
      <c r="A153" s="83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</row>
    <row r="154" spans="1:50" ht="16.5" customHeight="1">
      <c r="A154" s="83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</row>
    <row r="155" spans="1:50" ht="16.5" customHeight="1">
      <c r="A155" s="83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</row>
    <row r="156" spans="1:50" ht="16.5" customHeight="1">
      <c r="A156" s="83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  <c r="AL156" s="84"/>
      <c r="AM156" s="84"/>
      <c r="AN156" s="84"/>
      <c r="AO156" s="84"/>
      <c r="AP156" s="84"/>
      <c r="AQ156" s="84"/>
      <c r="AR156" s="84"/>
      <c r="AS156" s="84"/>
      <c r="AT156" s="84"/>
      <c r="AU156" s="84"/>
      <c r="AV156" s="84"/>
      <c r="AW156" s="84"/>
      <c r="AX156" s="84"/>
    </row>
    <row r="157" spans="1:50" ht="16.5" customHeight="1">
      <c r="A157" s="83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4"/>
      <c r="AQ157" s="84"/>
      <c r="AR157" s="84"/>
      <c r="AS157" s="84"/>
      <c r="AT157" s="84"/>
      <c r="AU157" s="84"/>
      <c r="AV157" s="84"/>
      <c r="AW157" s="84"/>
      <c r="AX157" s="84"/>
    </row>
    <row r="158" spans="1:50" ht="16.5" customHeight="1">
      <c r="A158" s="83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</row>
    <row r="159" spans="1:50" ht="16.5" customHeight="1">
      <c r="A159" s="83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  <c r="AL159" s="84"/>
      <c r="AM159" s="84"/>
      <c r="AN159" s="84"/>
      <c r="AO159" s="84"/>
      <c r="AP159" s="84"/>
      <c r="AQ159" s="84"/>
      <c r="AR159" s="84"/>
      <c r="AS159" s="84"/>
      <c r="AT159" s="84"/>
      <c r="AU159" s="84"/>
      <c r="AV159" s="84"/>
      <c r="AW159" s="84"/>
      <c r="AX159" s="84"/>
    </row>
    <row r="160" spans="1:50" ht="16.5" customHeight="1">
      <c r="A160" s="83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</row>
    <row r="161" spans="1:50" ht="16.5" customHeight="1">
      <c r="A161" s="83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</row>
    <row r="162" spans="1:50" ht="16.5" customHeight="1">
      <c r="A162" s="83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4"/>
      <c r="AQ162" s="84"/>
      <c r="AR162" s="84"/>
      <c r="AS162" s="84"/>
      <c r="AT162" s="84"/>
      <c r="AU162" s="84"/>
      <c r="AV162" s="84"/>
      <c r="AW162" s="84"/>
      <c r="AX162" s="84"/>
    </row>
    <row r="163" spans="1:50" ht="16.5" customHeight="1">
      <c r="A163" s="83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</row>
    <row r="164" spans="1:50" ht="16.5" customHeight="1">
      <c r="A164" s="83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</row>
    <row r="165" spans="1:50" ht="16.5" customHeight="1">
      <c r="A165" s="83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</row>
    <row r="166" spans="1:50" ht="16.5" customHeight="1">
      <c r="A166" s="83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</row>
    <row r="167" spans="1:50" ht="16.5" customHeight="1">
      <c r="A167" s="83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</row>
    <row r="168" spans="1:50" ht="16.5" customHeight="1">
      <c r="A168" s="83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4"/>
      <c r="AT168" s="84"/>
      <c r="AU168" s="84"/>
      <c r="AV168" s="84"/>
      <c r="AW168" s="84"/>
      <c r="AX168" s="84"/>
    </row>
    <row r="169" spans="1:50" ht="16.5" customHeight="1">
      <c r="A169" s="83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</row>
    <row r="170" spans="1:50" ht="16.5" customHeight="1">
      <c r="A170" s="83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</row>
    <row r="171" spans="1:50" ht="16.5" customHeight="1">
      <c r="A171" s="83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</row>
    <row r="172" spans="1:50" ht="16.5" customHeight="1">
      <c r="A172" s="83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</row>
    <row r="173" spans="1:50" ht="16.5" customHeight="1">
      <c r="A173" s="83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  <c r="AL173" s="84"/>
      <c r="AM173" s="84"/>
      <c r="AN173" s="84"/>
      <c r="AO173" s="84"/>
      <c r="AP173" s="84"/>
      <c r="AQ173" s="84"/>
      <c r="AR173" s="84"/>
      <c r="AS173" s="84"/>
      <c r="AT173" s="84"/>
      <c r="AU173" s="84"/>
      <c r="AV173" s="84"/>
      <c r="AW173" s="84"/>
      <c r="AX173" s="84"/>
    </row>
    <row r="174" spans="1:50" ht="16.5" customHeight="1">
      <c r="A174" s="83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4"/>
      <c r="AQ174" s="84"/>
      <c r="AR174" s="84"/>
      <c r="AS174" s="84"/>
      <c r="AT174" s="84"/>
      <c r="AU174" s="84"/>
      <c r="AV174" s="84"/>
      <c r="AW174" s="84"/>
      <c r="AX174" s="84"/>
    </row>
    <row r="175" spans="1:50" ht="16.5" customHeight="1">
      <c r="A175" s="83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</row>
    <row r="176" spans="1:50" ht="16.5" customHeight="1">
      <c r="A176" s="83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  <c r="AL176" s="84"/>
      <c r="AM176" s="84"/>
      <c r="AN176" s="84"/>
      <c r="AO176" s="84"/>
      <c r="AP176" s="84"/>
      <c r="AQ176" s="84"/>
      <c r="AR176" s="84"/>
      <c r="AS176" s="84"/>
      <c r="AT176" s="84"/>
      <c r="AU176" s="84"/>
      <c r="AV176" s="84"/>
      <c r="AW176" s="84"/>
      <c r="AX176" s="84"/>
    </row>
    <row r="177" spans="1:50" ht="16.5" customHeight="1">
      <c r="A177" s="83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</row>
    <row r="178" spans="1:50" ht="16.5" customHeight="1">
      <c r="A178" s="83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</row>
    <row r="179" spans="1:50" ht="16.5" customHeight="1">
      <c r="A179" s="83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</row>
    <row r="180" spans="1:50" ht="16.5" customHeight="1">
      <c r="A180" s="83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</row>
    <row r="181" spans="1:50" ht="16.5" customHeight="1">
      <c r="A181" s="83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</row>
    <row r="182" spans="1:50" ht="16.5" customHeight="1">
      <c r="A182" s="83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</row>
    <row r="183" spans="1:50" ht="16.5" customHeight="1">
      <c r="A183" s="83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</row>
    <row r="184" spans="1:50" ht="16.5" customHeight="1">
      <c r="A184" s="83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</row>
    <row r="185" spans="1:50" ht="16.5" customHeight="1">
      <c r="A185" s="83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</row>
    <row r="186" spans="1:50" ht="16.5" customHeight="1">
      <c r="A186" s="83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</row>
    <row r="187" spans="1:50" ht="16.5" customHeight="1">
      <c r="A187" s="83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</row>
    <row r="188" spans="1:50" ht="16.5" customHeight="1">
      <c r="A188" s="83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</row>
    <row r="189" spans="1:50" ht="16.5" customHeight="1">
      <c r="A189" s="83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</row>
    <row r="190" spans="1:50" ht="16.5" customHeight="1">
      <c r="A190" s="83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  <c r="AL190" s="84"/>
      <c r="AM190" s="84"/>
      <c r="AN190" s="84"/>
      <c r="AO190" s="84"/>
      <c r="AP190" s="84"/>
      <c r="AQ190" s="84"/>
      <c r="AR190" s="84"/>
      <c r="AS190" s="84"/>
      <c r="AT190" s="84"/>
      <c r="AU190" s="84"/>
      <c r="AV190" s="84"/>
      <c r="AW190" s="84"/>
      <c r="AX190" s="84"/>
    </row>
    <row r="191" spans="1:50" ht="16.5" customHeight="1">
      <c r="A191" s="83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</row>
    <row r="192" spans="1:50" ht="16.5" customHeight="1">
      <c r="A192" s="83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</row>
    <row r="193" spans="1:50" ht="16.5" customHeight="1">
      <c r="A193" s="83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</row>
    <row r="194" spans="1:50" ht="16.5" customHeight="1">
      <c r="A194" s="83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</row>
    <row r="195" spans="1:50" ht="16.5" customHeight="1">
      <c r="A195" s="83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</row>
    <row r="196" spans="1:50" ht="16.5" customHeight="1">
      <c r="A196" s="83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</row>
    <row r="197" spans="1:50" ht="16.5" customHeight="1">
      <c r="A197" s="83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</row>
    <row r="198" spans="1:50" ht="16.5" customHeight="1">
      <c r="A198" s="83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</row>
    <row r="199" spans="1:50" ht="16.5" customHeight="1">
      <c r="A199" s="83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</row>
    <row r="200" spans="1:50" ht="16.5" customHeight="1">
      <c r="A200" s="83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</row>
    <row r="201" spans="1:50" ht="16.5" customHeight="1">
      <c r="A201" s="83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</row>
    <row r="202" spans="1:50" ht="16.5" customHeight="1">
      <c r="A202" s="83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</row>
    <row r="203" spans="1:50" ht="16.5" customHeight="1">
      <c r="A203" s="83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</row>
    <row r="204" spans="1:50" ht="16.5" customHeight="1">
      <c r="A204" s="83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</row>
    <row r="205" spans="1:50" ht="16.5" customHeight="1">
      <c r="A205" s="83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</row>
    <row r="206" spans="1:50" ht="16.5" customHeight="1">
      <c r="A206" s="83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</row>
    <row r="207" spans="1:50" ht="16.5" customHeight="1">
      <c r="A207" s="83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  <c r="AL207" s="84"/>
      <c r="AM207" s="84"/>
      <c r="AN207" s="84"/>
      <c r="AO207" s="84"/>
      <c r="AP207" s="84"/>
      <c r="AQ207" s="84"/>
      <c r="AR207" s="84"/>
      <c r="AS207" s="84"/>
      <c r="AT207" s="84"/>
      <c r="AU207" s="84"/>
      <c r="AV207" s="84"/>
      <c r="AW207" s="84"/>
      <c r="AX207" s="84"/>
    </row>
    <row r="208" spans="1:50" ht="16.5" customHeight="1">
      <c r="A208" s="83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</row>
    <row r="209" spans="1:50" ht="16.5" customHeight="1">
      <c r="A209" s="83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</row>
    <row r="210" spans="1:50" ht="16.5" customHeight="1">
      <c r="A210" s="83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</row>
    <row r="211" spans="1:50" ht="16.5" customHeight="1">
      <c r="A211" s="83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</row>
    <row r="212" spans="1:50" ht="16.5" customHeight="1">
      <c r="A212" s="83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</row>
    <row r="213" spans="1:50" ht="16.5" customHeight="1">
      <c r="A213" s="83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</row>
    <row r="214" spans="1:50" ht="16.5" customHeight="1">
      <c r="A214" s="83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</row>
    <row r="215" spans="1:50" ht="16.5" customHeight="1">
      <c r="A215" s="83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</row>
    <row r="216" spans="1:50" ht="16.5" customHeight="1">
      <c r="A216" s="83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</row>
    <row r="217" spans="1:50" ht="16.5" customHeight="1">
      <c r="A217" s="83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</row>
    <row r="218" spans="1:50" ht="16.5" customHeight="1">
      <c r="A218" s="83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</row>
    <row r="219" spans="1:50" ht="16.5" customHeight="1">
      <c r="A219" s="83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</row>
    <row r="220" spans="1:50" ht="16.5" customHeight="1">
      <c r="A220" s="83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</row>
    <row r="221" spans="1:50" ht="16.5" customHeight="1">
      <c r="A221" s="83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</row>
    <row r="222" spans="1:50" ht="16.5" customHeight="1">
      <c r="A222" s="83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</row>
    <row r="223" spans="1:50" ht="16.5" customHeight="1">
      <c r="A223" s="83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</row>
    <row r="224" spans="1:50" ht="16.5" customHeight="1">
      <c r="A224" s="83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  <c r="AL224" s="84"/>
      <c r="AM224" s="84"/>
      <c r="AN224" s="84"/>
      <c r="AO224" s="84"/>
      <c r="AP224" s="84"/>
      <c r="AQ224" s="84"/>
      <c r="AR224" s="84"/>
      <c r="AS224" s="84"/>
      <c r="AT224" s="84"/>
      <c r="AU224" s="84"/>
      <c r="AV224" s="84"/>
      <c r="AW224" s="84"/>
      <c r="AX224" s="84"/>
    </row>
    <row r="225" spans="1:50" ht="16.5" customHeight="1">
      <c r="A225" s="83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</row>
    <row r="226" spans="1:50" ht="16.5" customHeight="1">
      <c r="A226" s="83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</row>
    <row r="227" spans="1:50" ht="16.5" customHeight="1">
      <c r="A227" s="83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</row>
    <row r="228" spans="1:50" ht="16.5" customHeight="1">
      <c r="A228" s="83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</row>
    <row r="229" spans="1:50" ht="16.5" customHeight="1">
      <c r="A229" s="83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</row>
    <row r="230" spans="1:50" ht="16.5" customHeight="1">
      <c r="A230" s="83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</row>
    <row r="231" spans="1:50" ht="16.5" customHeight="1">
      <c r="A231" s="83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</row>
    <row r="232" spans="1:50" ht="16.5" customHeight="1">
      <c r="A232" s="83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</row>
    <row r="233" spans="1:50" ht="16.5" customHeight="1">
      <c r="A233" s="83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</row>
    <row r="234" spans="1:50" ht="16.5" customHeight="1">
      <c r="A234" s="83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</row>
    <row r="235" spans="1:50" ht="16.5" customHeight="1">
      <c r="A235" s="83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</row>
    <row r="236" spans="1:50" ht="16.5" customHeight="1">
      <c r="A236" s="83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</row>
    <row r="237" spans="1:50" ht="16.5" customHeight="1">
      <c r="A237" s="83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</row>
    <row r="238" spans="1:50" ht="16.5" customHeight="1">
      <c r="A238" s="83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</row>
    <row r="239" spans="1:50" ht="16.5" customHeight="1">
      <c r="A239" s="83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</row>
    <row r="240" spans="1:50" ht="16.5" customHeight="1">
      <c r="A240" s="83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</row>
    <row r="241" spans="1:50" ht="16.5" customHeight="1">
      <c r="A241" s="83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  <c r="AL241" s="84"/>
      <c r="AM241" s="84"/>
      <c r="AN241" s="84"/>
      <c r="AO241" s="84"/>
      <c r="AP241" s="84"/>
      <c r="AQ241" s="84"/>
      <c r="AR241" s="84"/>
      <c r="AS241" s="84"/>
      <c r="AT241" s="84"/>
      <c r="AU241" s="84"/>
      <c r="AV241" s="84"/>
      <c r="AW241" s="84"/>
      <c r="AX241" s="84"/>
    </row>
    <row r="242" spans="1:50" ht="16.5" customHeight="1">
      <c r="A242" s="83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</row>
    <row r="243" spans="1:50" ht="16.5" customHeight="1">
      <c r="A243" s="83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</row>
    <row r="244" spans="1:50" ht="16.5" customHeight="1">
      <c r="A244" s="83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</row>
    <row r="245" spans="1:50" ht="16.5" customHeight="1">
      <c r="A245" s="83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</row>
    <row r="246" spans="1:50" ht="16.5" customHeight="1">
      <c r="A246" s="83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</row>
    <row r="247" spans="1:50" ht="16.5" customHeight="1">
      <c r="A247" s="83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</row>
    <row r="248" spans="1:50" ht="16.5" customHeight="1">
      <c r="A248" s="83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</row>
    <row r="249" spans="1:50" ht="16.5" customHeight="1">
      <c r="A249" s="83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</row>
    <row r="250" spans="1:50" ht="16.5" customHeight="1">
      <c r="A250" s="83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</row>
    <row r="251" spans="1:50" ht="16.5" customHeight="1">
      <c r="A251" s="83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</row>
    <row r="252" spans="1:50" ht="16.5" customHeight="1">
      <c r="A252" s="83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</row>
    <row r="253" spans="1:50" ht="16.5" customHeight="1">
      <c r="A253" s="83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</row>
    <row r="254" spans="1:50" ht="16.5" customHeight="1">
      <c r="A254" s="83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</row>
    <row r="255" spans="1:50" ht="16.5" customHeight="1">
      <c r="A255" s="83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</row>
    <row r="256" spans="1:50" ht="16.5" customHeight="1">
      <c r="A256" s="83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</row>
    <row r="257" spans="1:50" ht="16.5" customHeight="1">
      <c r="A257" s="83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</row>
    <row r="258" spans="1:50" ht="16.5" customHeight="1">
      <c r="A258" s="83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4"/>
      <c r="AF258" s="84"/>
      <c r="AG258" s="84"/>
      <c r="AH258" s="84"/>
      <c r="AI258" s="84"/>
      <c r="AJ258" s="84"/>
      <c r="AK258" s="84"/>
      <c r="AL258" s="84"/>
      <c r="AM258" s="84"/>
      <c r="AN258" s="84"/>
      <c r="AO258" s="84"/>
      <c r="AP258" s="84"/>
      <c r="AQ258" s="84"/>
      <c r="AR258" s="84"/>
      <c r="AS258" s="84"/>
      <c r="AT258" s="84"/>
      <c r="AU258" s="84"/>
      <c r="AV258" s="84"/>
      <c r="AW258" s="84"/>
      <c r="AX258" s="84"/>
    </row>
    <row r="259" spans="1:50" ht="16.5" customHeight="1">
      <c r="A259" s="83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</row>
    <row r="260" spans="1:50" ht="16.5" customHeight="1">
      <c r="A260" s="83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</row>
    <row r="261" spans="1:50" ht="16.5" customHeight="1">
      <c r="A261" s="83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</row>
    <row r="262" spans="1:50" ht="16.5" customHeight="1">
      <c r="A262" s="83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</row>
    <row r="263" spans="1:50" ht="16.5" customHeight="1">
      <c r="A263" s="83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</row>
    <row r="264" spans="1:50" ht="16.5" customHeight="1">
      <c r="A264" s="83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</row>
    <row r="265" spans="1:50" ht="16.5" customHeight="1">
      <c r="A265" s="83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</row>
    <row r="266" spans="1:50" ht="16.5" customHeight="1">
      <c r="A266" s="83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</row>
    <row r="267" spans="1:50" ht="16.5" customHeight="1">
      <c r="A267" s="83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</row>
    <row r="268" spans="1:50" ht="16.5" customHeight="1">
      <c r="A268" s="83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</row>
    <row r="269" spans="1:50" ht="16.5" customHeight="1">
      <c r="A269" s="83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</row>
    <row r="270" spans="1:50" ht="16.5" customHeight="1">
      <c r="A270" s="83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</row>
    <row r="271" spans="1:50" ht="16.5" customHeight="1">
      <c r="A271" s="83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</row>
    <row r="272" spans="1:50" ht="16.5" customHeight="1">
      <c r="A272" s="83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</row>
    <row r="273" spans="1:50" ht="16.5" customHeight="1">
      <c r="A273" s="83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</row>
    <row r="274" spans="1:50" ht="16.5" customHeight="1">
      <c r="A274" s="83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</row>
    <row r="275" spans="1:50" ht="16.5" customHeight="1">
      <c r="A275" s="83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/>
      <c r="AP275" s="84"/>
      <c r="AQ275" s="84"/>
      <c r="AR275" s="84"/>
      <c r="AS275" s="84"/>
      <c r="AT275" s="84"/>
      <c r="AU275" s="84"/>
      <c r="AV275" s="84"/>
      <c r="AW275" s="84"/>
      <c r="AX275" s="84"/>
    </row>
    <row r="276" spans="1:50" ht="16.5" customHeight="1">
      <c r="A276" s="83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</row>
    <row r="277" spans="1:50" ht="16.5" customHeight="1">
      <c r="A277" s="83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</row>
    <row r="278" spans="1:50" ht="16.5" customHeight="1">
      <c r="A278" s="83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</row>
    <row r="279" spans="1:50" ht="16.5" customHeight="1">
      <c r="A279" s="83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</row>
    <row r="280" spans="1:50" ht="16.5" customHeight="1">
      <c r="A280" s="83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</row>
    <row r="281" spans="1:50" ht="16.5" customHeight="1">
      <c r="A281" s="83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</row>
    <row r="282" spans="1:50" ht="16.5" customHeight="1">
      <c r="A282" s="83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</row>
    <row r="283" spans="1:50" ht="16.5" customHeight="1">
      <c r="A283" s="83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</row>
    <row r="284" spans="1:50" ht="16.5" customHeight="1">
      <c r="A284" s="83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</row>
    <row r="285" spans="1:50" ht="16.5" customHeight="1">
      <c r="A285" s="83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</row>
    <row r="286" spans="1:50" ht="16.5" customHeight="1">
      <c r="A286" s="83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</row>
    <row r="287" spans="1:50" ht="16.5" customHeight="1">
      <c r="A287" s="83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</row>
    <row r="288" spans="1:50" ht="16.5" customHeight="1">
      <c r="A288" s="83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</row>
    <row r="289" spans="1:50" ht="16.5" customHeight="1">
      <c r="A289" s="83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</row>
    <row r="290" spans="1:50" ht="16.5" customHeight="1">
      <c r="A290" s="83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</row>
    <row r="291" spans="1:50" ht="16.5" customHeight="1">
      <c r="A291" s="83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</row>
    <row r="292" spans="1:50" ht="16.5" customHeight="1">
      <c r="A292" s="83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4"/>
      <c r="AQ292" s="84"/>
      <c r="AR292" s="84"/>
      <c r="AS292" s="84"/>
      <c r="AT292" s="84"/>
      <c r="AU292" s="84"/>
      <c r="AV292" s="84"/>
      <c r="AW292" s="84"/>
      <c r="AX292" s="84"/>
    </row>
    <row r="293" spans="1:50" ht="16.5" customHeight="1">
      <c r="A293" s="83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</row>
    <row r="294" spans="1:50" ht="16.5" customHeight="1">
      <c r="A294" s="83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</row>
    <row r="295" spans="1:50" ht="16.5" customHeight="1">
      <c r="A295" s="83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</row>
    <row r="296" spans="1:50" ht="16.5" customHeight="1">
      <c r="A296" s="83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</row>
    <row r="297" spans="1:50" ht="16.5" customHeight="1">
      <c r="A297" s="83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</row>
    <row r="298" spans="1:50" ht="16.5" customHeight="1">
      <c r="A298" s="83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</row>
    <row r="299" spans="1:50" ht="16.5" customHeight="1">
      <c r="A299" s="83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</row>
    <row r="300" spans="1:50" ht="16.5" customHeight="1">
      <c r="A300" s="83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</row>
    <row r="301" spans="1:50" ht="16.5" customHeight="1">
      <c r="A301" s="83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</row>
    <row r="302" spans="1:50" ht="16.5" customHeight="1">
      <c r="A302" s="83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</row>
    <row r="303" spans="1:50" ht="16.5" customHeight="1">
      <c r="A303" s="83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</row>
    <row r="304" spans="1:50" ht="16.5" customHeight="1">
      <c r="A304" s="83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</row>
    <row r="305" spans="1:50" ht="16.5" customHeight="1">
      <c r="A305" s="83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</row>
    <row r="306" spans="1:50" ht="16.5" customHeight="1">
      <c r="A306" s="83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</row>
    <row r="307" spans="1:50" ht="16.5" customHeight="1">
      <c r="A307" s="83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</row>
    <row r="308" spans="1:50" ht="16.5" customHeight="1">
      <c r="A308" s="83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</row>
    <row r="309" spans="1:50" ht="16.5" customHeight="1">
      <c r="A309" s="83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4"/>
      <c r="AS309" s="84"/>
      <c r="AT309" s="84"/>
      <c r="AU309" s="84"/>
      <c r="AV309" s="84"/>
      <c r="AW309" s="84"/>
      <c r="AX309" s="84"/>
    </row>
    <row r="310" spans="1:50" ht="16.5" customHeight="1">
      <c r="A310" s="83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</row>
    <row r="311" spans="1:50" ht="16.5" customHeight="1">
      <c r="A311" s="83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</row>
    <row r="312" spans="1:50" ht="16.5" customHeight="1">
      <c r="A312" s="83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</row>
    <row r="313" spans="1:50" ht="16.5" customHeight="1">
      <c r="A313" s="83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</row>
    <row r="314" spans="1:50" ht="16.5" customHeight="1">
      <c r="A314" s="83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</row>
    <row r="315" spans="1:50" ht="16.5" customHeight="1">
      <c r="A315" s="83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</row>
    <row r="316" spans="1:50" ht="16.5" customHeight="1">
      <c r="A316" s="83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</row>
    <row r="317" spans="1:50" ht="16.5" customHeight="1">
      <c r="A317" s="83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</row>
    <row r="318" spans="1:50" ht="16.5" customHeight="1">
      <c r="A318" s="83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</row>
    <row r="319" spans="1:50" ht="16.5" customHeight="1">
      <c r="A319" s="83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</row>
    <row r="320" spans="1:50" ht="16.5" customHeight="1">
      <c r="A320" s="83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</row>
    <row r="321" spans="1:50" ht="16.5" customHeight="1">
      <c r="A321" s="83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</row>
    <row r="322" spans="1:50" ht="16.5" customHeight="1">
      <c r="A322" s="83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</row>
    <row r="323" spans="1:50" ht="16.5" customHeight="1">
      <c r="A323" s="83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</row>
    <row r="324" spans="1:50" ht="16.5" customHeight="1">
      <c r="A324" s="83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</row>
    <row r="325" spans="1:50" ht="16.5" customHeight="1">
      <c r="A325" s="83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</row>
    <row r="326" spans="1:50" ht="16.5" customHeight="1">
      <c r="A326" s="83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/>
      <c r="AP326" s="84"/>
      <c r="AQ326" s="84"/>
      <c r="AR326" s="84"/>
      <c r="AS326" s="84"/>
      <c r="AT326" s="84"/>
      <c r="AU326" s="84"/>
      <c r="AV326" s="84"/>
      <c r="AW326" s="84"/>
      <c r="AX326" s="84"/>
    </row>
    <row r="327" spans="1:50" ht="16.5" customHeight="1">
      <c r="A327" s="83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</row>
    <row r="328" spans="1:50" ht="16.5" customHeight="1">
      <c r="A328" s="83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</row>
    <row r="329" spans="1:50" ht="16.5" customHeight="1">
      <c r="A329" s="83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</row>
    <row r="330" spans="1:50" ht="16.5" customHeight="1">
      <c r="A330" s="83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</row>
    <row r="331" spans="1:50" ht="16.5" customHeight="1">
      <c r="A331" s="83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</row>
    <row r="332" spans="1:50" ht="16.5" customHeight="1">
      <c r="A332" s="83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</row>
    <row r="333" spans="1:50" ht="16.5" customHeight="1">
      <c r="A333" s="83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</row>
    <row r="334" spans="1:50" ht="16.5" customHeight="1">
      <c r="A334" s="83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</row>
    <row r="335" spans="1:50" ht="16.5" customHeight="1">
      <c r="A335" s="83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</row>
    <row r="336" spans="1:50" ht="16.5" customHeight="1">
      <c r="A336" s="83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</row>
    <row r="337" spans="1:50" ht="16.5" customHeight="1">
      <c r="A337" s="83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</row>
    <row r="338" spans="1:50" ht="16.5" customHeight="1">
      <c r="A338" s="83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</row>
    <row r="339" spans="1:50" ht="16.5" customHeight="1">
      <c r="A339" s="83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</row>
    <row r="340" spans="1:50" ht="16.5" customHeight="1">
      <c r="A340" s="83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</row>
    <row r="341" spans="1:50" ht="16.5" customHeight="1">
      <c r="A341" s="83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</row>
    <row r="342" spans="1:50" ht="16.5" customHeight="1">
      <c r="A342" s="83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</row>
    <row r="343" spans="1:50" ht="16.5" customHeight="1">
      <c r="A343" s="83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  <c r="AA343" s="84"/>
      <c r="AB343" s="84"/>
      <c r="AC343" s="84"/>
      <c r="AD343" s="84"/>
      <c r="AE343" s="84"/>
      <c r="AF343" s="84"/>
      <c r="AG343" s="84"/>
      <c r="AH343" s="84"/>
      <c r="AI343" s="84"/>
      <c r="AJ343" s="84"/>
      <c r="AK343" s="84"/>
      <c r="AL343" s="84"/>
      <c r="AM343" s="84"/>
      <c r="AN343" s="84"/>
      <c r="AO343" s="84"/>
      <c r="AP343" s="84"/>
      <c r="AQ343" s="84"/>
      <c r="AR343" s="84"/>
      <c r="AS343" s="84"/>
      <c r="AT343" s="84"/>
      <c r="AU343" s="84"/>
      <c r="AV343" s="84"/>
      <c r="AW343" s="84"/>
      <c r="AX343" s="84"/>
    </row>
    <row r="344" spans="1:50" ht="16.5" customHeight="1">
      <c r="A344" s="83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</row>
    <row r="345" spans="1:50" ht="16.5" customHeight="1">
      <c r="A345" s="83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</row>
    <row r="346" spans="1:50" ht="16.5" customHeight="1">
      <c r="A346" s="83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</row>
    <row r="347" spans="1:50" ht="16.5" customHeight="1">
      <c r="A347" s="83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</row>
    <row r="348" spans="1:50" ht="16.5" customHeight="1">
      <c r="A348" s="83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</row>
    <row r="349" spans="1:50" ht="16.5" customHeight="1">
      <c r="A349" s="83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</row>
    <row r="350" spans="1:50" ht="16.5" customHeight="1">
      <c r="A350" s="83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</row>
    <row r="351" spans="1:50" ht="16.5" customHeight="1">
      <c r="A351" s="83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</row>
    <row r="352" spans="1:50" ht="16.5" customHeight="1">
      <c r="A352" s="83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</row>
    <row r="353" spans="1:50" ht="16.5" customHeight="1">
      <c r="A353" s="83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</row>
    <row r="354" spans="1:50" ht="16.5" customHeight="1">
      <c r="A354" s="83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</row>
    <row r="355" spans="1:50" ht="16.5" customHeight="1">
      <c r="A355" s="83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</row>
    <row r="356" spans="1:50" ht="16.5" customHeight="1">
      <c r="A356" s="83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</row>
    <row r="357" spans="1:50" ht="16.5" customHeight="1">
      <c r="A357" s="83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</row>
    <row r="358" spans="1:50" ht="16.5" customHeight="1">
      <c r="A358" s="83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</row>
    <row r="359" spans="1:50" ht="16.5" customHeight="1">
      <c r="A359" s="83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</row>
    <row r="360" spans="1:50" ht="16.5" customHeight="1">
      <c r="A360" s="83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4"/>
      <c r="AJ360" s="84"/>
      <c r="AK360" s="84"/>
      <c r="AL360" s="84"/>
      <c r="AM360" s="84"/>
      <c r="AN360" s="84"/>
      <c r="AO360" s="84"/>
      <c r="AP360" s="84"/>
      <c r="AQ360" s="84"/>
      <c r="AR360" s="84"/>
      <c r="AS360" s="84"/>
      <c r="AT360" s="84"/>
      <c r="AU360" s="84"/>
      <c r="AV360" s="84"/>
      <c r="AW360" s="84"/>
      <c r="AX360" s="84"/>
    </row>
    <row r="361" spans="1:50" ht="16.5" customHeight="1">
      <c r="A361" s="83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</row>
    <row r="362" spans="1:50" ht="16.5" customHeight="1">
      <c r="A362" s="83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</row>
    <row r="363" spans="1:50" ht="16.5" customHeight="1">
      <c r="A363" s="83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</row>
    <row r="364" spans="1:50" ht="16.5" customHeight="1">
      <c r="A364" s="83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</row>
    <row r="365" spans="1:50" ht="16.5" customHeight="1">
      <c r="A365" s="83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</row>
    <row r="366" spans="1:50" ht="16.5" customHeight="1">
      <c r="A366" s="83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</row>
    <row r="367" spans="1:50" ht="16.5" customHeight="1">
      <c r="A367" s="83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</row>
    <row r="368" spans="1:50" ht="16.5" customHeight="1">
      <c r="A368" s="83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</row>
    <row r="369" spans="1:50" ht="16.5" customHeight="1">
      <c r="A369" s="83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</row>
    <row r="370" spans="1:50" ht="16.5" customHeight="1">
      <c r="A370" s="83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</row>
    <row r="371" spans="1:50" ht="16.5" customHeight="1">
      <c r="A371" s="83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</row>
    <row r="372" spans="1:50" ht="16.5" customHeight="1">
      <c r="A372" s="83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</row>
    <row r="373" spans="1:50" ht="16.5" customHeight="1">
      <c r="A373" s="83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</row>
    <row r="374" spans="1:50" ht="16.5" customHeight="1">
      <c r="A374" s="83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</row>
    <row r="375" spans="1:50" ht="16.5" customHeight="1">
      <c r="A375" s="83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</row>
    <row r="376" spans="1:50" ht="16.5" customHeight="1">
      <c r="A376" s="83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</row>
    <row r="377" spans="1:50" ht="16.5" customHeight="1">
      <c r="A377" s="83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  <c r="AA377" s="84"/>
      <c r="AB377" s="84"/>
      <c r="AC377" s="84"/>
      <c r="AD377" s="84"/>
      <c r="AE377" s="84"/>
      <c r="AF377" s="84"/>
      <c r="AG377" s="84"/>
      <c r="AH377" s="84"/>
      <c r="AI377" s="84"/>
      <c r="AJ377" s="84"/>
      <c r="AK377" s="84"/>
      <c r="AL377" s="84"/>
      <c r="AM377" s="84"/>
      <c r="AN377" s="84"/>
      <c r="AO377" s="84"/>
      <c r="AP377" s="84"/>
      <c r="AQ377" s="84"/>
      <c r="AR377" s="84"/>
      <c r="AS377" s="84"/>
      <c r="AT377" s="84"/>
      <c r="AU377" s="84"/>
      <c r="AV377" s="84"/>
      <c r="AW377" s="84"/>
      <c r="AX377" s="84"/>
    </row>
    <row r="378" spans="1:50" ht="16.5" customHeight="1">
      <c r="A378" s="83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</row>
    <row r="379" spans="1:50" ht="16.5" customHeight="1">
      <c r="A379" s="83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</row>
    <row r="380" spans="1:50" ht="16.5" customHeight="1">
      <c r="A380" s="83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</row>
    <row r="381" spans="1:50" ht="16.5" customHeight="1">
      <c r="A381" s="83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</row>
    <row r="382" spans="1:50" ht="16.5" customHeight="1">
      <c r="A382" s="83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</row>
    <row r="383" spans="1:50" ht="16.5" customHeight="1">
      <c r="A383" s="83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</row>
    <row r="384" spans="1:50" ht="16.5" customHeight="1">
      <c r="A384" s="83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</row>
    <row r="385" spans="1:50" ht="16.5" customHeight="1">
      <c r="A385" s="83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</row>
    <row r="386" spans="1:50" ht="16.5" customHeight="1">
      <c r="A386" s="83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</row>
    <row r="387" spans="1:50" ht="16.5" customHeight="1">
      <c r="A387" s="83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</row>
    <row r="388" spans="1:50" ht="16.5" customHeight="1">
      <c r="A388" s="83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</row>
    <row r="389" spans="1:50" ht="16.5" customHeight="1">
      <c r="A389" s="83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</row>
    <row r="390" spans="1:50" ht="16.5" customHeight="1">
      <c r="A390" s="83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</row>
    <row r="391" spans="1:50" ht="16.5" customHeight="1">
      <c r="A391" s="83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</row>
    <row r="392" spans="1:50" ht="16.5" customHeight="1">
      <c r="A392" s="83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</row>
    <row r="393" spans="1:50" ht="16.5" customHeight="1">
      <c r="A393" s="83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</row>
    <row r="394" spans="1:50" ht="16.5" customHeight="1">
      <c r="A394" s="83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4"/>
      <c r="AJ394" s="84"/>
      <c r="AK394" s="84"/>
      <c r="AL394" s="84"/>
      <c r="AM394" s="84"/>
      <c r="AN394" s="84"/>
      <c r="AO394" s="84"/>
      <c r="AP394" s="84"/>
      <c r="AQ394" s="84"/>
      <c r="AR394" s="84"/>
      <c r="AS394" s="84"/>
      <c r="AT394" s="84"/>
      <c r="AU394" s="84"/>
      <c r="AV394" s="84"/>
      <c r="AW394" s="84"/>
      <c r="AX394" s="84"/>
    </row>
    <row r="395" spans="1:50" ht="16.5" customHeight="1">
      <c r="A395" s="83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</row>
    <row r="396" spans="1:50" ht="16.5" customHeight="1">
      <c r="A396" s="83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</row>
    <row r="397" spans="1:50" ht="16.5" customHeight="1">
      <c r="A397" s="83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</row>
    <row r="398" spans="1:50" ht="16.5" customHeight="1">
      <c r="A398" s="83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</row>
    <row r="399" spans="1:50" ht="16.5" customHeight="1">
      <c r="A399" s="83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</row>
    <row r="400" spans="1:50" ht="16.5" customHeight="1">
      <c r="A400" s="83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</row>
    <row r="401" spans="1:50" ht="16.5" customHeight="1">
      <c r="A401" s="83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</row>
    <row r="402" spans="1:50" ht="16.5" customHeight="1">
      <c r="A402" s="83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</row>
    <row r="403" spans="1:50" ht="16.5" customHeight="1">
      <c r="A403" s="83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</row>
    <row r="404" spans="1:50" ht="16.5" customHeight="1">
      <c r="A404" s="83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</row>
    <row r="405" spans="1:50" ht="16.5" customHeight="1">
      <c r="A405" s="83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</row>
    <row r="406" spans="1:50" ht="16.5" customHeight="1">
      <c r="A406" s="83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</row>
    <row r="407" spans="1:50" ht="16.5" customHeight="1">
      <c r="A407" s="83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</row>
    <row r="408" spans="1:50" ht="16.5" customHeight="1">
      <c r="A408" s="83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</row>
    <row r="409" spans="1:50" ht="16.5" customHeight="1">
      <c r="A409" s="83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</row>
    <row r="410" spans="1:50" ht="16.5" customHeight="1">
      <c r="A410" s="83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</row>
    <row r="411" spans="1:50" ht="16.5" customHeight="1">
      <c r="A411" s="83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  <c r="AA411" s="84"/>
      <c r="AB411" s="84"/>
      <c r="AC411" s="84"/>
      <c r="AD411" s="84"/>
      <c r="AE411" s="84"/>
      <c r="AF411" s="84"/>
      <c r="AG411" s="84"/>
      <c r="AH411" s="84"/>
      <c r="AI411" s="84"/>
      <c r="AJ411" s="84"/>
      <c r="AK411" s="84"/>
      <c r="AL411" s="84"/>
      <c r="AM411" s="84"/>
      <c r="AN411" s="84"/>
      <c r="AO411" s="84"/>
      <c r="AP411" s="84"/>
      <c r="AQ411" s="84"/>
      <c r="AR411" s="84"/>
      <c r="AS411" s="84"/>
      <c r="AT411" s="84"/>
      <c r="AU411" s="84"/>
      <c r="AV411" s="84"/>
      <c r="AW411" s="84"/>
      <c r="AX411" s="84"/>
    </row>
    <row r="412" spans="1:50" ht="16.5" customHeight="1">
      <c r="A412" s="83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</row>
    <row r="413" spans="1:50" ht="16.5" customHeight="1">
      <c r="A413" s="83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</row>
    <row r="414" spans="1:50" ht="16.5" customHeight="1">
      <c r="A414" s="83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</row>
    <row r="415" spans="1:50" ht="16.5" customHeight="1">
      <c r="A415" s="83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</row>
    <row r="416" spans="1:50" ht="16.5" customHeight="1">
      <c r="A416" s="83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</row>
    <row r="417" spans="1:50" ht="16.5" customHeight="1">
      <c r="A417" s="83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</row>
    <row r="418" spans="1:50" ht="16.5" customHeight="1">
      <c r="A418" s="83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</row>
    <row r="419" spans="1:50" ht="16.5" customHeight="1">
      <c r="A419" s="83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</row>
    <row r="420" spans="1:50" ht="16.5" customHeight="1">
      <c r="A420" s="83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</row>
    <row r="421" spans="1:50" ht="16.5" customHeight="1">
      <c r="A421" s="83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</row>
    <row r="422" spans="1:50" ht="16.5" customHeight="1">
      <c r="A422" s="83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</row>
    <row r="423" spans="1:50" ht="16.5" customHeight="1">
      <c r="A423" s="83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</row>
    <row r="424" spans="1:50" ht="16.5" customHeight="1">
      <c r="A424" s="83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</row>
    <row r="425" spans="1:50" ht="16.5" customHeight="1">
      <c r="A425" s="83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</row>
    <row r="426" spans="1:50" ht="16.5" customHeight="1">
      <c r="A426" s="83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</row>
    <row r="427" spans="1:50" ht="16.5" customHeight="1">
      <c r="A427" s="83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</row>
    <row r="428" spans="1:50" ht="16.5" customHeight="1">
      <c r="A428" s="83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4"/>
      <c r="AJ428" s="84"/>
      <c r="AK428" s="84"/>
      <c r="AL428" s="84"/>
      <c r="AM428" s="84"/>
      <c r="AN428" s="84"/>
      <c r="AO428" s="84"/>
      <c r="AP428" s="84"/>
      <c r="AQ428" s="84"/>
      <c r="AR428" s="84"/>
      <c r="AS428" s="84"/>
      <c r="AT428" s="84"/>
      <c r="AU428" s="84"/>
      <c r="AV428" s="84"/>
      <c r="AW428" s="84"/>
      <c r="AX428" s="84"/>
    </row>
    <row r="429" spans="1:50" ht="16.5" customHeight="1">
      <c r="A429" s="83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</row>
    <row r="430" spans="1:50" ht="16.5" customHeight="1">
      <c r="A430" s="83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</row>
    <row r="431" spans="1:50" ht="16.5" customHeight="1">
      <c r="A431" s="83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</row>
    <row r="432" spans="1:50" ht="16.5" customHeight="1">
      <c r="A432" s="83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</row>
    <row r="433" spans="1:50" ht="16.5" customHeight="1">
      <c r="A433" s="83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</row>
    <row r="434" spans="1:50" ht="16.5" customHeight="1">
      <c r="A434" s="83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</row>
    <row r="435" spans="1:50" ht="16.5" customHeight="1">
      <c r="A435" s="83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</row>
    <row r="436" spans="1:50" ht="16.5" customHeight="1">
      <c r="A436" s="83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</row>
    <row r="437" spans="1:50" ht="16.5" customHeight="1">
      <c r="A437" s="83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</row>
    <row r="438" spans="1:50" ht="16.5" customHeight="1">
      <c r="A438" s="83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</row>
    <row r="439" spans="1:50" ht="16.5" customHeight="1">
      <c r="A439" s="83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</row>
    <row r="440" spans="1:50" ht="16.5" customHeight="1">
      <c r="A440" s="83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</row>
    <row r="441" spans="1:50" ht="16.5" customHeight="1">
      <c r="A441" s="83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</row>
    <row r="442" spans="1:50" ht="16.5" customHeight="1">
      <c r="A442" s="83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</row>
    <row r="443" spans="1:50" ht="16.5" customHeight="1">
      <c r="A443" s="83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</row>
    <row r="444" spans="1:50" ht="16.5" customHeight="1">
      <c r="A444" s="83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</row>
    <row r="445" spans="1:50" ht="16.5" customHeight="1">
      <c r="A445" s="83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  <c r="AA445" s="84"/>
      <c r="AB445" s="84"/>
      <c r="AC445" s="84"/>
      <c r="AD445" s="84"/>
      <c r="AE445" s="84"/>
      <c r="AF445" s="84"/>
      <c r="AG445" s="84"/>
      <c r="AH445" s="84"/>
      <c r="AI445" s="84"/>
      <c r="AJ445" s="84"/>
      <c r="AK445" s="84"/>
      <c r="AL445" s="84"/>
      <c r="AM445" s="84"/>
      <c r="AN445" s="84"/>
      <c r="AO445" s="84"/>
      <c r="AP445" s="84"/>
      <c r="AQ445" s="84"/>
      <c r="AR445" s="84"/>
      <c r="AS445" s="84"/>
      <c r="AT445" s="84"/>
      <c r="AU445" s="84"/>
      <c r="AV445" s="84"/>
      <c r="AW445" s="84"/>
      <c r="AX445" s="84"/>
    </row>
    <row r="446" spans="1:50" ht="16.5" customHeight="1">
      <c r="A446" s="83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</row>
    <row r="447" spans="1:50" ht="16.5" customHeight="1">
      <c r="A447" s="83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</row>
    <row r="448" spans="1:50" ht="16.5" customHeight="1">
      <c r="A448" s="83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</row>
    <row r="449" spans="1:50" ht="16.5" customHeight="1">
      <c r="A449" s="83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</row>
    <row r="450" spans="1:50" ht="16.5" customHeight="1">
      <c r="A450" s="83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</row>
    <row r="451" spans="1:50" ht="16.5" customHeight="1">
      <c r="A451" s="83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</row>
    <row r="452" spans="1:50" ht="16.5" customHeight="1">
      <c r="A452" s="83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</row>
    <row r="453" spans="1:50" ht="16.5" customHeight="1">
      <c r="A453" s="83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</row>
    <row r="454" spans="1:50" ht="16.5" customHeight="1">
      <c r="A454" s="83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</row>
    <row r="455" spans="1:50" ht="16.5" customHeight="1">
      <c r="A455" s="83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</row>
    <row r="456" spans="1:50" ht="16.5" customHeight="1">
      <c r="A456" s="83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</row>
    <row r="457" spans="1:50" ht="16.5" customHeight="1">
      <c r="A457" s="83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</row>
    <row r="458" spans="1:50" ht="16.5" customHeight="1">
      <c r="A458" s="83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</row>
    <row r="459" spans="1:50" ht="16.5" customHeight="1">
      <c r="A459" s="83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</row>
    <row r="460" spans="1:50" ht="16.5" customHeight="1">
      <c r="A460" s="83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</row>
    <row r="461" spans="1:50" ht="16.5" customHeight="1">
      <c r="A461" s="83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</row>
    <row r="462" spans="1:50" ht="16.5" customHeight="1">
      <c r="A462" s="83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4"/>
      <c r="AJ462" s="84"/>
      <c r="AK462" s="84"/>
      <c r="AL462" s="84"/>
      <c r="AM462" s="84"/>
      <c r="AN462" s="84"/>
      <c r="AO462" s="84"/>
      <c r="AP462" s="84"/>
      <c r="AQ462" s="84"/>
      <c r="AR462" s="84"/>
      <c r="AS462" s="84"/>
      <c r="AT462" s="84"/>
      <c r="AU462" s="84"/>
      <c r="AV462" s="84"/>
      <c r="AW462" s="84"/>
      <c r="AX462" s="84"/>
    </row>
    <row r="463" spans="1:50" ht="16.5" customHeight="1">
      <c r="A463" s="83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</row>
    <row r="464" spans="1:50" ht="16.5" customHeight="1">
      <c r="A464" s="83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</row>
    <row r="465" spans="1:50" ht="16.5" customHeight="1">
      <c r="A465" s="83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</row>
    <row r="466" spans="1:50" ht="16.5" customHeight="1">
      <c r="A466" s="83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</row>
    <row r="467" spans="1:50" ht="16.5" customHeight="1">
      <c r="A467" s="83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</row>
    <row r="468" spans="1:50" ht="16.5" customHeight="1">
      <c r="A468" s="83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</row>
    <row r="469" spans="1:50" ht="16.5" customHeight="1">
      <c r="A469" s="83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</row>
    <row r="470" spans="1:50" ht="16.5" customHeight="1">
      <c r="A470" s="83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</row>
    <row r="471" spans="1:50" ht="16.5" customHeight="1">
      <c r="A471" s="83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</row>
    <row r="472" spans="1:50" ht="16.5" customHeight="1">
      <c r="A472" s="83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</row>
    <row r="473" spans="1:50" ht="16.5" customHeight="1">
      <c r="A473" s="83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</row>
    <row r="474" spans="1:50" ht="16.5" customHeight="1">
      <c r="A474" s="83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</row>
    <row r="475" spans="1:50" ht="16.5" customHeight="1">
      <c r="A475" s="83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</row>
    <row r="476" spans="1:50" ht="16.5" customHeight="1">
      <c r="A476" s="83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</row>
    <row r="477" spans="1:50" ht="16.5" customHeight="1">
      <c r="A477" s="83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</row>
    <row r="478" spans="1:50" ht="16.5" customHeight="1">
      <c r="A478" s="83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</row>
    <row r="479" spans="1:50" ht="16.5" customHeight="1">
      <c r="A479" s="83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  <c r="AA479" s="84"/>
      <c r="AB479" s="84"/>
      <c r="AC479" s="84"/>
      <c r="AD479" s="84"/>
      <c r="AE479" s="84"/>
      <c r="AF479" s="84"/>
      <c r="AG479" s="84"/>
      <c r="AH479" s="84"/>
      <c r="AI479" s="84"/>
      <c r="AJ479" s="84"/>
      <c r="AK479" s="84"/>
      <c r="AL479" s="84"/>
      <c r="AM479" s="84"/>
      <c r="AN479" s="84"/>
      <c r="AO479" s="84"/>
      <c r="AP479" s="84"/>
      <c r="AQ479" s="84"/>
      <c r="AR479" s="84"/>
      <c r="AS479" s="84"/>
      <c r="AT479" s="84"/>
      <c r="AU479" s="84"/>
      <c r="AV479" s="84"/>
      <c r="AW479" s="84"/>
      <c r="AX479" s="84"/>
    </row>
    <row r="480" spans="1:50" ht="16.5" customHeight="1">
      <c r="A480" s="83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</row>
    <row r="481" spans="1:50" ht="16.5" customHeight="1">
      <c r="A481" s="83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</row>
    <row r="482" spans="1:50" ht="16.5" customHeight="1">
      <c r="A482" s="83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</row>
    <row r="483" spans="1:50" ht="16.5" customHeight="1">
      <c r="A483" s="83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</row>
    <row r="484" spans="1:50" ht="16.5" customHeight="1">
      <c r="A484" s="83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</row>
    <row r="485" spans="1:50" ht="16.5" customHeight="1">
      <c r="A485" s="83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</row>
    <row r="486" spans="1:50" ht="16.5" customHeight="1">
      <c r="A486" s="83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</row>
    <row r="487" spans="1:50" ht="16.5" customHeight="1">
      <c r="A487" s="83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</row>
    <row r="488" spans="1:50" ht="16.5" customHeight="1">
      <c r="A488" s="83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</row>
    <row r="489" spans="1:50" ht="16.5" customHeight="1">
      <c r="A489" s="83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</row>
    <row r="490" spans="1:50" ht="16.5" customHeight="1">
      <c r="A490" s="83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</row>
    <row r="491" spans="1:50" ht="16.5" customHeight="1">
      <c r="A491" s="83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</row>
    <row r="492" spans="1:50" ht="16.5" customHeight="1">
      <c r="A492" s="83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</row>
    <row r="493" spans="1:50" ht="16.5" customHeight="1">
      <c r="A493" s="83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</row>
    <row r="494" spans="1:50" ht="16.5" customHeight="1">
      <c r="A494" s="83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</row>
    <row r="495" spans="1:50" ht="16.5" customHeight="1">
      <c r="A495" s="83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</row>
    <row r="496" spans="1:50" ht="16.5" customHeight="1">
      <c r="A496" s="83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AK496" s="84"/>
      <c r="AL496" s="84"/>
      <c r="AM496" s="84"/>
      <c r="AN496" s="84"/>
      <c r="AO496" s="84"/>
      <c r="AP496" s="84"/>
      <c r="AQ496" s="84"/>
      <c r="AR496" s="84"/>
      <c r="AS496" s="84"/>
      <c r="AT496" s="84"/>
      <c r="AU496" s="84"/>
      <c r="AV496" s="84"/>
      <c r="AW496" s="84"/>
      <c r="AX496" s="84"/>
    </row>
    <row r="497" spans="1:50" ht="16.5" customHeight="1">
      <c r="A497" s="83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</row>
    <row r="498" spans="1:50" ht="16.5" customHeight="1">
      <c r="A498" s="83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</row>
    <row r="499" spans="1:50" ht="16.5" customHeight="1">
      <c r="A499" s="83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</row>
    <row r="500" spans="1:50" ht="16.5" customHeight="1">
      <c r="A500" s="83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</row>
    <row r="501" spans="1:50" ht="16.5" customHeight="1">
      <c r="A501" s="83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</row>
    <row r="502" spans="1:50" ht="16.5" customHeight="1">
      <c r="A502" s="83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</row>
    <row r="503" spans="1:50" ht="16.5" customHeight="1">
      <c r="A503" s="83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</row>
    <row r="504" spans="1:50" ht="16.5" customHeight="1">
      <c r="A504" s="83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</row>
    <row r="505" spans="1:50" ht="16.5" customHeight="1">
      <c r="A505" s="83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</row>
    <row r="506" spans="1:50" ht="16.5" customHeight="1">
      <c r="A506" s="83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</row>
    <row r="507" spans="1:50" ht="16.5" customHeight="1">
      <c r="A507" s="83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</row>
    <row r="508" spans="1:50" ht="16.5" customHeight="1">
      <c r="A508" s="83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</row>
    <row r="509" spans="1:50" ht="16.5" customHeight="1">
      <c r="A509" s="83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</row>
    <row r="510" spans="1:50" ht="16.5" customHeight="1">
      <c r="A510" s="83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</row>
    <row r="511" spans="1:50" ht="16.5" customHeight="1">
      <c r="A511" s="83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</row>
    <row r="512" spans="1:50" ht="16.5" customHeight="1">
      <c r="A512" s="83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</row>
    <row r="513" spans="1:50" ht="16.5" customHeight="1">
      <c r="A513" s="83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  <c r="AA513" s="84"/>
      <c r="AB513" s="84"/>
      <c r="AC513" s="84"/>
      <c r="AD513" s="84"/>
      <c r="AE513" s="84"/>
      <c r="AF513" s="84"/>
      <c r="AG513" s="84"/>
      <c r="AH513" s="84"/>
      <c r="AI513" s="84"/>
      <c r="AJ513" s="84"/>
      <c r="AK513" s="84"/>
      <c r="AL513" s="84"/>
      <c r="AM513" s="84"/>
      <c r="AN513" s="84"/>
      <c r="AO513" s="84"/>
      <c r="AP513" s="84"/>
      <c r="AQ513" s="84"/>
      <c r="AR513" s="84"/>
      <c r="AS513" s="84"/>
      <c r="AT513" s="84"/>
      <c r="AU513" s="84"/>
      <c r="AV513" s="84"/>
      <c r="AW513" s="84"/>
      <c r="AX513" s="84"/>
    </row>
    <row r="514" spans="1:50" ht="16.5" customHeight="1">
      <c r="A514" s="83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</row>
    <row r="515" spans="1:50" ht="16.5" customHeight="1">
      <c r="A515" s="83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</row>
    <row r="516" spans="1:50" ht="16.5" customHeight="1">
      <c r="A516" s="83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</row>
    <row r="517" spans="1:50" ht="16.5" customHeight="1">
      <c r="A517" s="83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</row>
    <row r="518" spans="1:50" ht="16.5" customHeight="1">
      <c r="A518" s="83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</row>
    <row r="519" spans="1:50" ht="16.5" customHeight="1">
      <c r="A519" s="83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</row>
    <row r="520" spans="1:50" ht="16.5" customHeight="1">
      <c r="A520" s="83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</row>
    <row r="521" spans="1:50" ht="16.5" customHeight="1">
      <c r="A521" s="83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</row>
    <row r="522" spans="1:50" ht="16.5" customHeight="1">
      <c r="A522" s="83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</row>
    <row r="523" spans="1:50" ht="16.5" customHeight="1">
      <c r="A523" s="83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</row>
    <row r="524" spans="1:50" ht="16.5" customHeight="1">
      <c r="A524" s="83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</row>
    <row r="525" spans="1:50" ht="16.5" customHeight="1">
      <c r="A525" s="83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</row>
    <row r="526" spans="1:50" ht="16.5" customHeight="1">
      <c r="A526" s="83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</row>
    <row r="527" spans="1:50" ht="16.5" customHeight="1">
      <c r="A527" s="83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</row>
    <row r="528" spans="1:50" ht="16.5" customHeight="1">
      <c r="A528" s="83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</row>
    <row r="529" spans="1:50" ht="16.5" customHeight="1">
      <c r="A529" s="83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</row>
    <row r="530" spans="1:50" ht="16.5" customHeight="1">
      <c r="A530" s="83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</row>
    <row r="531" spans="1:50" ht="16.5" customHeight="1">
      <c r="A531" s="83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</row>
    <row r="532" spans="1:50" ht="16.5" customHeight="1">
      <c r="A532" s="83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</row>
    <row r="533" spans="1:50" ht="16.5" customHeight="1">
      <c r="A533" s="83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</row>
    <row r="534" spans="1:50" ht="16.5" customHeight="1">
      <c r="A534" s="83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</row>
    <row r="535" spans="1:50" ht="16.5" customHeight="1">
      <c r="A535" s="83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</row>
    <row r="536" spans="1:50" ht="16.5" customHeight="1">
      <c r="A536" s="83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</row>
    <row r="537" spans="1:50" ht="16.5" customHeight="1">
      <c r="A537" s="83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</row>
    <row r="538" spans="1:50" ht="16.5" customHeight="1">
      <c r="A538" s="83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</row>
    <row r="539" spans="1:50" ht="16.5" customHeight="1">
      <c r="A539" s="83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</row>
    <row r="540" spans="1:50" ht="16.5" customHeight="1">
      <c r="A540" s="83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</row>
    <row r="541" spans="1:50" ht="16.5" customHeight="1">
      <c r="A541" s="83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</row>
    <row r="542" spans="1:50" ht="16.5" customHeight="1">
      <c r="A542" s="83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</row>
    <row r="543" spans="1:50" ht="16.5" customHeight="1">
      <c r="A543" s="83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</row>
    <row r="544" spans="1:50" ht="16.5" customHeight="1">
      <c r="A544" s="83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</row>
    <row r="545" spans="1:50" ht="16.5" customHeight="1">
      <c r="A545" s="83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</row>
    <row r="546" spans="1:50" ht="16.5" customHeight="1">
      <c r="A546" s="83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</row>
    <row r="547" spans="1:50" ht="16.5" customHeight="1">
      <c r="A547" s="83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  <c r="AA547" s="84"/>
      <c r="AB547" s="84"/>
      <c r="AC547" s="84"/>
      <c r="AD547" s="84"/>
      <c r="AE547" s="84"/>
      <c r="AF547" s="84"/>
      <c r="AG547" s="84"/>
      <c r="AH547" s="84"/>
      <c r="AI547" s="84"/>
      <c r="AJ547" s="84"/>
      <c r="AK547" s="84"/>
      <c r="AL547" s="84"/>
      <c r="AM547" s="84"/>
      <c r="AN547" s="84"/>
      <c r="AO547" s="84"/>
      <c r="AP547" s="84"/>
      <c r="AQ547" s="84"/>
      <c r="AR547" s="84"/>
      <c r="AS547" s="84"/>
      <c r="AT547" s="84"/>
      <c r="AU547" s="84"/>
      <c r="AV547" s="84"/>
      <c r="AW547" s="84"/>
      <c r="AX547" s="84"/>
    </row>
    <row r="548" spans="1:50" ht="16.5" customHeight="1">
      <c r="A548" s="83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</row>
    <row r="549" spans="1:50" ht="16.5" customHeight="1">
      <c r="A549" s="83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</row>
    <row r="550" spans="1:50" ht="16.5" customHeight="1">
      <c r="A550" s="83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</row>
    <row r="551" spans="1:50" ht="16.5" customHeight="1">
      <c r="A551" s="83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</row>
    <row r="552" spans="1:50" ht="16.5" customHeight="1">
      <c r="A552" s="83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</row>
    <row r="553" spans="1:50" ht="16.5" customHeight="1">
      <c r="A553" s="83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</row>
    <row r="554" spans="1:50" ht="16.5" customHeight="1">
      <c r="A554" s="83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</row>
    <row r="555" spans="1:50" ht="16.5" customHeight="1">
      <c r="A555" s="83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</row>
    <row r="556" spans="1:50" ht="16.5" customHeight="1">
      <c r="A556" s="83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</row>
    <row r="557" spans="1:50" ht="16.5" customHeight="1">
      <c r="A557" s="83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</row>
    <row r="558" spans="1:50" ht="16.5" customHeight="1">
      <c r="A558" s="83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</row>
    <row r="559" spans="1:50" ht="16.5" customHeight="1">
      <c r="A559" s="83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</row>
    <row r="560" spans="1:50" ht="16.5" customHeight="1">
      <c r="A560" s="83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</row>
    <row r="561" spans="1:50" ht="16.5" customHeight="1">
      <c r="A561" s="83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</row>
    <row r="562" spans="1:50" ht="16.5" customHeight="1">
      <c r="A562" s="83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</row>
    <row r="563" spans="1:50" ht="16.5" customHeight="1">
      <c r="A563" s="83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</row>
    <row r="564" spans="1:50" ht="16.5" customHeight="1">
      <c r="A564" s="83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  <c r="AA564" s="84"/>
      <c r="AB564" s="84"/>
      <c r="AC564" s="84"/>
      <c r="AD564" s="84"/>
      <c r="AE564" s="84"/>
      <c r="AF564" s="84"/>
      <c r="AG564" s="84"/>
      <c r="AH564" s="84"/>
      <c r="AI564" s="84"/>
      <c r="AJ564" s="84"/>
      <c r="AK564" s="84"/>
      <c r="AL564" s="84"/>
      <c r="AM564" s="84"/>
      <c r="AN564" s="84"/>
      <c r="AO564" s="84"/>
      <c r="AP564" s="84"/>
      <c r="AQ564" s="84"/>
      <c r="AR564" s="84"/>
      <c r="AS564" s="84"/>
      <c r="AT564" s="84"/>
      <c r="AU564" s="84"/>
      <c r="AV564" s="84"/>
      <c r="AW564" s="84"/>
      <c r="AX564" s="84"/>
    </row>
    <row r="565" spans="1:50" ht="16.5" customHeight="1">
      <c r="A565" s="83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</row>
    <row r="566" spans="1:50" ht="16.5" customHeight="1">
      <c r="A566" s="83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</row>
    <row r="567" spans="1:50" ht="16.5" customHeight="1">
      <c r="A567" s="83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</row>
    <row r="568" spans="1:50" ht="16.5" customHeight="1">
      <c r="A568" s="83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</row>
    <row r="569" spans="1:50" ht="16.5" customHeight="1">
      <c r="A569" s="83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</row>
    <row r="570" spans="1:50" ht="16.5" customHeight="1">
      <c r="A570" s="83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</row>
    <row r="571" spans="1:50" ht="16.5" customHeight="1">
      <c r="A571" s="83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</row>
    <row r="572" spans="1:50" ht="16.5" customHeight="1">
      <c r="A572" s="83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</row>
    <row r="573" spans="1:50" ht="16.5" customHeight="1">
      <c r="A573" s="83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</row>
    <row r="574" spans="1:50" ht="16.5" customHeight="1">
      <c r="A574" s="83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</row>
    <row r="575" spans="1:50" ht="16.5" customHeight="1">
      <c r="A575" s="83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</row>
    <row r="576" spans="1:50" ht="16.5" customHeight="1">
      <c r="A576" s="83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</row>
    <row r="577" spans="1:50" ht="16.5" customHeight="1">
      <c r="A577" s="83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</row>
    <row r="578" spans="1:50" ht="16.5" customHeight="1">
      <c r="A578" s="83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</row>
    <row r="579" spans="1:50" ht="16.5" customHeight="1">
      <c r="A579" s="83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</row>
    <row r="580" spans="1:50" ht="16.5" customHeight="1">
      <c r="A580" s="83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</row>
    <row r="581" spans="1:50" ht="16.5" customHeight="1">
      <c r="A581" s="83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4"/>
      <c r="AJ581" s="84"/>
      <c r="AK581" s="84"/>
      <c r="AL581" s="84"/>
      <c r="AM581" s="84"/>
      <c r="AN581" s="84"/>
      <c r="AO581" s="84"/>
      <c r="AP581" s="84"/>
      <c r="AQ581" s="84"/>
      <c r="AR581" s="84"/>
      <c r="AS581" s="84"/>
      <c r="AT581" s="84"/>
      <c r="AU581" s="84"/>
      <c r="AV581" s="84"/>
      <c r="AW581" s="84"/>
      <c r="AX581" s="84"/>
    </row>
    <row r="582" spans="1:50" ht="16.5" customHeight="1">
      <c r="A582" s="83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</row>
    <row r="583" spans="1:50" ht="16.5" customHeight="1">
      <c r="A583" s="83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</row>
    <row r="584" spans="1:50" ht="16.5" customHeight="1">
      <c r="A584" s="83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</row>
    <row r="585" spans="1:50" ht="16.5" customHeight="1">
      <c r="A585" s="83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</row>
    <row r="586" spans="1:50" ht="16.5" customHeight="1">
      <c r="A586" s="83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</row>
    <row r="587" spans="1:50" ht="16.5" customHeight="1">
      <c r="A587" s="83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</row>
    <row r="588" spans="1:50" ht="16.5" customHeight="1">
      <c r="A588" s="83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</row>
    <row r="589" spans="1:50" ht="16.5" customHeight="1">
      <c r="A589" s="83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</row>
    <row r="590" spans="1:50" ht="16.5" customHeight="1">
      <c r="A590" s="83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</row>
    <row r="591" spans="1:50" ht="16.5" customHeight="1">
      <c r="A591" s="83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</row>
    <row r="592" spans="1:50" ht="16.5" customHeight="1">
      <c r="A592" s="83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</row>
    <row r="593" spans="1:50" ht="16.5" customHeight="1">
      <c r="A593" s="83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</row>
    <row r="594" spans="1:50" ht="16.5" customHeight="1">
      <c r="A594" s="83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</row>
    <row r="595" spans="1:50" ht="16.5" customHeight="1">
      <c r="A595" s="83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</row>
    <row r="596" spans="1:50" ht="16.5" customHeight="1">
      <c r="A596" s="83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</row>
    <row r="597" spans="1:50" ht="16.5" customHeight="1">
      <c r="A597" s="83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</row>
    <row r="598" spans="1:50" ht="16.5" customHeight="1">
      <c r="A598" s="83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  <c r="AA598" s="84"/>
      <c r="AB598" s="84"/>
      <c r="AC598" s="84"/>
      <c r="AD598" s="84"/>
      <c r="AE598" s="84"/>
      <c r="AF598" s="84"/>
      <c r="AG598" s="84"/>
      <c r="AH598" s="84"/>
      <c r="AI598" s="84"/>
      <c r="AJ598" s="84"/>
      <c r="AK598" s="84"/>
      <c r="AL598" s="84"/>
      <c r="AM598" s="84"/>
      <c r="AN598" s="84"/>
      <c r="AO598" s="84"/>
      <c r="AP598" s="84"/>
      <c r="AQ598" s="84"/>
      <c r="AR598" s="84"/>
      <c r="AS598" s="84"/>
      <c r="AT598" s="84"/>
      <c r="AU598" s="84"/>
      <c r="AV598" s="84"/>
      <c r="AW598" s="84"/>
      <c r="AX598" s="84"/>
    </row>
    <row r="599" spans="1:50" ht="16.5" customHeight="1">
      <c r="A599" s="83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</row>
    <row r="600" spans="1:50" ht="16.5" customHeight="1">
      <c r="A600" s="83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</row>
    <row r="601" spans="1:50" ht="16.5" customHeight="1">
      <c r="A601" s="83"/>
      <c r="B601" s="84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</row>
    <row r="602" spans="1:50" ht="16.5" customHeight="1">
      <c r="A602" s="83"/>
      <c r="B602" s="84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</row>
    <row r="603" spans="1:50" ht="16.5" customHeight="1">
      <c r="A603" s="83"/>
      <c r="B603" s="84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</row>
    <row r="604" spans="1:50" ht="16.5" customHeight="1">
      <c r="A604" s="83"/>
      <c r="B604" s="84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</row>
    <row r="605" spans="1:50" ht="16.5" customHeight="1">
      <c r="A605" s="83"/>
      <c r="B605" s="84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</row>
    <row r="606" spans="1:50" ht="16.5" customHeight="1">
      <c r="A606" s="83"/>
      <c r="B606" s="84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</row>
    <row r="607" spans="1:50" ht="16.5" customHeight="1">
      <c r="A607" s="83"/>
      <c r="B607" s="84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</row>
    <row r="608" spans="1:50" ht="16.5" customHeight="1">
      <c r="A608" s="83"/>
      <c r="B608" s="84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</row>
    <row r="609" spans="1:50" ht="16.5" customHeight="1">
      <c r="A609" s="83"/>
      <c r="B609" s="84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</row>
    <row r="610" spans="1:50" ht="16.5" customHeight="1">
      <c r="A610" s="83"/>
      <c r="B610" s="84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</row>
    <row r="611" spans="1:50" ht="16.5" customHeight="1">
      <c r="A611" s="83"/>
      <c r="B611" s="84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</row>
    <row r="612" spans="1:50" ht="16.5" customHeight="1">
      <c r="A612" s="83"/>
      <c r="B612" s="84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</row>
    <row r="613" spans="1:50" ht="16.5" customHeight="1">
      <c r="A613" s="83"/>
      <c r="B613" s="84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</row>
    <row r="614" spans="1:50" ht="16.5" customHeight="1">
      <c r="A614" s="83"/>
      <c r="B614" s="84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</row>
    <row r="615" spans="1:50" ht="16.5" customHeight="1">
      <c r="A615" s="83"/>
      <c r="B615" s="84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4"/>
      <c r="AJ615" s="84"/>
      <c r="AK615" s="84"/>
      <c r="AL615" s="84"/>
      <c r="AM615" s="84"/>
      <c r="AN615" s="84"/>
      <c r="AO615" s="84"/>
      <c r="AP615" s="84"/>
      <c r="AQ615" s="84"/>
      <c r="AR615" s="84"/>
      <c r="AS615" s="84"/>
      <c r="AT615" s="84"/>
      <c r="AU615" s="84"/>
      <c r="AV615" s="84"/>
      <c r="AW615" s="84"/>
      <c r="AX615" s="84"/>
    </row>
    <row r="616" spans="1:50" ht="16.5" customHeight="1">
      <c r="A616" s="83"/>
      <c r="B616" s="84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</row>
    <row r="617" spans="1:50" ht="16.5" customHeight="1">
      <c r="A617" s="83"/>
      <c r="B617" s="84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</row>
    <row r="618" spans="1:50" ht="16.5" customHeight="1">
      <c r="A618" s="83"/>
      <c r="B618" s="84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</row>
    <row r="619" spans="1:50" ht="16.5" customHeight="1">
      <c r="A619" s="83"/>
      <c r="B619" s="84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</row>
    <row r="620" spans="1:50" ht="16.5" customHeight="1">
      <c r="A620" s="83"/>
      <c r="B620" s="84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</row>
    <row r="621" spans="1:50" ht="16.5" customHeight="1">
      <c r="A621" s="83"/>
      <c r="B621" s="84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</row>
    <row r="622" spans="1:50" ht="16.5" customHeight="1">
      <c r="A622" s="83"/>
      <c r="B622" s="84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</row>
    <row r="623" spans="1:50" ht="16.5" customHeight="1">
      <c r="A623" s="83"/>
      <c r="B623" s="84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</row>
    <row r="624" spans="1:50" ht="16.5" customHeight="1">
      <c r="A624" s="83"/>
      <c r="B624" s="84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</row>
    <row r="625" spans="1:50" ht="16.5" customHeight="1">
      <c r="A625" s="83"/>
      <c r="B625" s="84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</row>
    <row r="626" spans="1:50" ht="16.5" customHeight="1">
      <c r="A626" s="83"/>
      <c r="B626" s="84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</row>
    <row r="627" spans="1:50" ht="16.5" customHeight="1">
      <c r="A627" s="83"/>
      <c r="B627" s="84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</row>
    <row r="628" spans="1:50" ht="16.5" customHeight="1">
      <c r="A628" s="83"/>
      <c r="B628" s="84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</row>
    <row r="629" spans="1:50" ht="16.5" customHeight="1">
      <c r="A629" s="83"/>
      <c r="B629" s="84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</row>
    <row r="630" spans="1:50" ht="16.5" customHeight="1">
      <c r="A630" s="83"/>
      <c r="B630" s="84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</row>
    <row r="631" spans="1:50" ht="16.5" customHeight="1">
      <c r="A631" s="83"/>
      <c r="B631" s="84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</row>
    <row r="632" spans="1:50" ht="16.5" customHeight="1">
      <c r="A632" s="83"/>
      <c r="B632" s="84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  <c r="S632" s="84"/>
      <c r="T632" s="84"/>
      <c r="U632" s="84"/>
      <c r="V632" s="84"/>
      <c r="W632" s="84"/>
      <c r="X632" s="84"/>
      <c r="Y632" s="84"/>
      <c r="Z632" s="84"/>
      <c r="AA632" s="84"/>
      <c r="AB632" s="84"/>
      <c r="AC632" s="84"/>
      <c r="AD632" s="84"/>
      <c r="AE632" s="84"/>
      <c r="AF632" s="84"/>
      <c r="AG632" s="84"/>
      <c r="AH632" s="84"/>
      <c r="AI632" s="84"/>
      <c r="AJ632" s="84"/>
      <c r="AK632" s="84"/>
      <c r="AL632" s="84"/>
      <c r="AM632" s="84"/>
      <c r="AN632" s="84"/>
      <c r="AO632" s="84"/>
      <c r="AP632" s="84"/>
      <c r="AQ632" s="84"/>
      <c r="AR632" s="84"/>
      <c r="AS632" s="84"/>
      <c r="AT632" s="84"/>
      <c r="AU632" s="84"/>
      <c r="AV632" s="84"/>
      <c r="AW632" s="84"/>
      <c r="AX632" s="84"/>
    </row>
    <row r="633" spans="1:50" ht="16.5" customHeight="1">
      <c r="A633" s="83"/>
      <c r="B633" s="84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</row>
    <row r="634" spans="1:50" ht="16.5" customHeight="1">
      <c r="A634" s="83"/>
      <c r="B634" s="84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</row>
    <row r="635" spans="1:50" ht="16.5" customHeight="1">
      <c r="A635" s="83"/>
      <c r="B635" s="84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</row>
    <row r="636" spans="1:50" ht="16.5" customHeight="1">
      <c r="A636" s="83"/>
      <c r="B636" s="84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</row>
    <row r="637" spans="1:50" ht="16.5" customHeight="1">
      <c r="A637" s="83"/>
      <c r="B637" s="84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</row>
    <row r="638" spans="1:50" ht="16.5" customHeight="1">
      <c r="A638" s="83"/>
      <c r="B638" s="84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</row>
    <row r="639" spans="1:50" ht="16.5" customHeight="1">
      <c r="A639" s="83"/>
      <c r="B639" s="84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</row>
    <row r="640" spans="1:50" ht="16.5" customHeight="1">
      <c r="A640" s="83"/>
      <c r="B640" s="84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</row>
    <row r="641" spans="1:50" ht="16.5" customHeight="1">
      <c r="A641" s="83"/>
      <c r="B641" s="84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</row>
    <row r="642" spans="1:50" ht="16.5" customHeight="1">
      <c r="A642" s="83"/>
      <c r="B642" s="84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</row>
    <row r="643" spans="1:50" ht="16.5" customHeight="1">
      <c r="A643" s="83"/>
      <c r="B643" s="84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</row>
    <row r="644" spans="1:50" ht="16.5" customHeight="1">
      <c r="A644" s="83"/>
      <c r="B644" s="84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</row>
    <row r="645" spans="1:50" ht="16.5" customHeight="1">
      <c r="A645" s="83"/>
      <c r="B645" s="84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</row>
    <row r="646" spans="1:50" ht="16.5" customHeight="1">
      <c r="A646" s="83"/>
      <c r="B646" s="84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</row>
    <row r="647" spans="1:50" ht="16.5" customHeight="1">
      <c r="A647" s="83"/>
      <c r="B647" s="84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</row>
    <row r="648" spans="1:50" ht="16.5" customHeight="1">
      <c r="A648" s="83"/>
      <c r="B648" s="84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</row>
    <row r="649" spans="1:50" ht="16.5" customHeight="1">
      <c r="A649" s="83"/>
      <c r="B649" s="84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4"/>
      <c r="AJ649" s="84"/>
      <c r="AK649" s="84"/>
      <c r="AL649" s="84"/>
      <c r="AM649" s="84"/>
      <c r="AN649" s="84"/>
      <c r="AO649" s="84"/>
      <c r="AP649" s="84"/>
      <c r="AQ649" s="84"/>
      <c r="AR649" s="84"/>
      <c r="AS649" s="84"/>
      <c r="AT649" s="84"/>
      <c r="AU649" s="84"/>
      <c r="AV649" s="84"/>
      <c r="AW649" s="84"/>
      <c r="AX649" s="84"/>
    </row>
    <row r="650" spans="1:50" ht="16.5" customHeight="1">
      <c r="A650" s="83"/>
      <c r="B650" s="84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</row>
    <row r="651" spans="1:50" ht="16.5" customHeight="1">
      <c r="A651" s="83"/>
      <c r="B651" s="84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</row>
    <row r="652" spans="1:50" ht="16.5" customHeight="1">
      <c r="A652" s="83"/>
      <c r="B652" s="84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</row>
    <row r="653" spans="1:50" ht="16.5" customHeight="1">
      <c r="A653" s="83"/>
      <c r="B653" s="84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</row>
    <row r="654" spans="1:50" ht="16.5" customHeight="1">
      <c r="A654" s="83"/>
      <c r="B654" s="84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</row>
    <row r="655" spans="1:50" ht="16.5" customHeight="1">
      <c r="A655" s="83"/>
      <c r="B655" s="84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</row>
    <row r="656" spans="1:50" ht="16.5" customHeight="1">
      <c r="A656" s="83"/>
      <c r="B656" s="84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</row>
    <row r="657" spans="1:50" ht="16.5" customHeight="1">
      <c r="A657" s="83"/>
      <c r="B657" s="84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</row>
    <row r="658" spans="1:50" ht="16.5" customHeight="1">
      <c r="A658" s="83"/>
      <c r="B658" s="84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</row>
    <row r="659" spans="1:50" ht="16.5" customHeight="1">
      <c r="A659" s="83"/>
      <c r="B659" s="84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</row>
    <row r="660" spans="1:50" ht="16.5" customHeight="1">
      <c r="A660" s="83"/>
      <c r="B660" s="84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</row>
    <row r="661" spans="1:50" ht="16.5" customHeight="1">
      <c r="A661" s="83"/>
      <c r="B661" s="84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</row>
    <row r="662" spans="1:50" ht="16.5" customHeight="1">
      <c r="A662" s="83"/>
      <c r="B662" s="84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</row>
    <row r="663" spans="1:50" ht="16.5" customHeight="1">
      <c r="A663" s="83"/>
      <c r="B663" s="84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</row>
    <row r="664" spans="1:50" ht="16.5" customHeight="1">
      <c r="A664" s="83"/>
      <c r="B664" s="84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</row>
    <row r="665" spans="1:50" ht="16.5" customHeight="1">
      <c r="A665" s="83"/>
      <c r="B665" s="84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</row>
    <row r="666" spans="1:50" ht="16.5" customHeight="1">
      <c r="A666" s="83"/>
      <c r="B666" s="84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  <c r="S666" s="84"/>
      <c r="T666" s="84"/>
      <c r="U666" s="84"/>
      <c r="V666" s="84"/>
      <c r="W666" s="84"/>
      <c r="X666" s="84"/>
      <c r="Y666" s="84"/>
      <c r="Z666" s="84"/>
      <c r="AA666" s="84"/>
      <c r="AB666" s="84"/>
      <c r="AC666" s="84"/>
      <c r="AD666" s="84"/>
      <c r="AE666" s="84"/>
      <c r="AF666" s="84"/>
      <c r="AG666" s="84"/>
      <c r="AH666" s="84"/>
      <c r="AI666" s="84"/>
      <c r="AJ666" s="84"/>
      <c r="AK666" s="84"/>
      <c r="AL666" s="84"/>
      <c r="AM666" s="84"/>
      <c r="AN666" s="84"/>
      <c r="AO666" s="84"/>
      <c r="AP666" s="84"/>
      <c r="AQ666" s="84"/>
      <c r="AR666" s="84"/>
      <c r="AS666" s="84"/>
      <c r="AT666" s="84"/>
      <c r="AU666" s="84"/>
      <c r="AV666" s="84"/>
      <c r="AW666" s="84"/>
      <c r="AX666" s="84"/>
    </row>
    <row r="667" spans="1:50" ht="16.5" customHeight="1">
      <c r="A667" s="83"/>
      <c r="B667" s="84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</row>
    <row r="668" spans="1:50" ht="16.5" customHeight="1">
      <c r="A668" s="83"/>
      <c r="B668" s="84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</row>
    <row r="669" spans="1:50" ht="16.5" customHeight="1">
      <c r="A669" s="83"/>
      <c r="B669" s="84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</row>
    <row r="670" spans="1:50" ht="16.5" customHeight="1">
      <c r="A670" s="83"/>
      <c r="B670" s="84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</row>
    <row r="671" spans="1:50" ht="16.5" customHeight="1">
      <c r="A671" s="83"/>
      <c r="B671" s="84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</row>
    <row r="672" spans="1:50" ht="16.5" customHeight="1">
      <c r="A672" s="83"/>
      <c r="B672" s="84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</row>
    <row r="673" spans="1:50" ht="16.5" customHeight="1">
      <c r="A673" s="83"/>
      <c r="B673" s="84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</row>
    <row r="674" spans="1:50" ht="16.5" customHeight="1">
      <c r="A674" s="83"/>
      <c r="B674" s="84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</row>
    <row r="675" spans="1:50" ht="16.5" customHeight="1">
      <c r="A675" s="83"/>
      <c r="B675" s="84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</row>
    <row r="676" spans="1:50" ht="16.5" customHeight="1">
      <c r="A676" s="83"/>
      <c r="B676" s="84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</row>
    <row r="677" spans="1:50" ht="16.5" customHeight="1">
      <c r="A677" s="83"/>
      <c r="B677" s="84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</row>
    <row r="678" spans="1:50" ht="16.5" customHeight="1">
      <c r="A678" s="83"/>
      <c r="B678" s="84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</row>
    <row r="679" spans="1:50" ht="16.5" customHeight="1">
      <c r="A679" s="83"/>
      <c r="B679" s="84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</row>
    <row r="680" spans="1:50" ht="16.5" customHeight="1">
      <c r="A680" s="83"/>
      <c r="B680" s="84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</row>
    <row r="681" spans="1:50" ht="16.5" customHeight="1">
      <c r="A681" s="83"/>
      <c r="B681" s="84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</row>
    <row r="682" spans="1:50" ht="16.5" customHeight="1">
      <c r="A682" s="83"/>
      <c r="B682" s="84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</row>
    <row r="683" spans="1:50" ht="16.5" customHeight="1">
      <c r="A683" s="83"/>
      <c r="B683" s="84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  <c r="S683" s="84"/>
      <c r="T683" s="84"/>
      <c r="U683" s="84"/>
      <c r="V683" s="84"/>
      <c r="W683" s="84"/>
      <c r="X683" s="84"/>
      <c r="Y683" s="84"/>
      <c r="Z683" s="84"/>
      <c r="AA683" s="84"/>
      <c r="AB683" s="84"/>
      <c r="AC683" s="84"/>
      <c r="AD683" s="84"/>
      <c r="AE683" s="84"/>
      <c r="AF683" s="84"/>
      <c r="AG683" s="84"/>
      <c r="AH683" s="84"/>
      <c r="AI683" s="84"/>
      <c r="AJ683" s="84"/>
      <c r="AK683" s="84"/>
      <c r="AL683" s="84"/>
      <c r="AM683" s="84"/>
      <c r="AN683" s="84"/>
      <c r="AO683" s="84"/>
      <c r="AP683" s="84"/>
      <c r="AQ683" s="84"/>
      <c r="AR683" s="84"/>
      <c r="AS683" s="84"/>
      <c r="AT683" s="84"/>
      <c r="AU683" s="84"/>
      <c r="AV683" s="84"/>
      <c r="AW683" s="84"/>
      <c r="AX683" s="84"/>
    </row>
    <row r="684" spans="1:50" ht="16.5" customHeight="1">
      <c r="A684" s="83"/>
      <c r="B684" s="84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</row>
    <row r="685" spans="1:50" ht="16.5" customHeight="1">
      <c r="A685" s="83"/>
      <c r="B685" s="84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</row>
    <row r="686" spans="1:50" ht="16.5" customHeight="1">
      <c r="A686" s="83"/>
      <c r="B686" s="84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</row>
    <row r="687" spans="1:50" ht="16.5" customHeight="1">
      <c r="A687" s="83"/>
      <c r="B687" s="84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</row>
    <row r="688" spans="1:50" ht="16.5" customHeight="1">
      <c r="A688" s="83"/>
      <c r="B688" s="84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</row>
    <row r="689" spans="1:50" ht="16.5" customHeight="1">
      <c r="A689" s="83"/>
      <c r="B689" s="84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</row>
    <row r="690" spans="1:50" ht="16.5" customHeight="1">
      <c r="A690" s="83"/>
      <c r="B690" s="84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</row>
    <row r="691" spans="1:50" ht="16.5" customHeight="1">
      <c r="A691" s="83"/>
      <c r="B691" s="84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</row>
    <row r="692" spans="1:50" ht="16.5" customHeight="1">
      <c r="A692" s="83"/>
      <c r="B692" s="84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</row>
    <row r="693" spans="1:50" ht="16.5" customHeight="1">
      <c r="A693" s="83"/>
      <c r="B693" s="84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</row>
    <row r="694" spans="1:50" ht="16.5" customHeight="1">
      <c r="A694" s="83"/>
      <c r="B694" s="84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</row>
    <row r="695" spans="1:50" ht="16.5" customHeight="1">
      <c r="A695" s="83"/>
      <c r="B695" s="84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</row>
    <row r="696" spans="1:50" ht="16.5" customHeight="1">
      <c r="A696" s="83"/>
      <c r="B696" s="84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</row>
    <row r="697" spans="1:50" ht="16.5" customHeight="1">
      <c r="A697" s="83"/>
      <c r="B697" s="84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</row>
    <row r="698" spans="1:50" ht="16.5" customHeight="1">
      <c r="A698" s="83"/>
      <c r="B698" s="84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</row>
    <row r="699" spans="1:50" ht="16.5" customHeight="1">
      <c r="A699" s="83"/>
      <c r="B699" s="84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</row>
    <row r="700" spans="1:50" ht="16.5" customHeight="1">
      <c r="A700" s="83"/>
      <c r="B700" s="84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  <c r="S700" s="84"/>
      <c r="T700" s="84"/>
      <c r="U700" s="84"/>
      <c r="V700" s="84"/>
      <c r="W700" s="84"/>
      <c r="X700" s="84"/>
      <c r="Y700" s="84"/>
      <c r="Z700" s="84"/>
      <c r="AA700" s="84"/>
      <c r="AB700" s="84"/>
      <c r="AC700" s="84"/>
      <c r="AD700" s="84"/>
      <c r="AE700" s="84"/>
      <c r="AF700" s="84"/>
      <c r="AG700" s="84"/>
      <c r="AH700" s="84"/>
      <c r="AI700" s="84"/>
      <c r="AJ700" s="84"/>
      <c r="AK700" s="84"/>
      <c r="AL700" s="84"/>
      <c r="AM700" s="84"/>
      <c r="AN700" s="84"/>
      <c r="AO700" s="84"/>
      <c r="AP700" s="84"/>
      <c r="AQ700" s="84"/>
      <c r="AR700" s="84"/>
      <c r="AS700" s="84"/>
      <c r="AT700" s="84"/>
      <c r="AU700" s="84"/>
      <c r="AV700" s="84"/>
      <c r="AW700" s="84"/>
      <c r="AX700" s="84"/>
    </row>
    <row r="701" spans="1:50" ht="16.5" customHeight="1">
      <c r="A701" s="83"/>
      <c r="B701" s="84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</row>
    <row r="702" spans="1:50" ht="16.5" customHeight="1">
      <c r="A702" s="83"/>
      <c r="B702" s="84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</row>
    <row r="703" spans="1:50" ht="16.5" customHeight="1">
      <c r="A703" s="83"/>
      <c r="B703" s="84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</row>
    <row r="704" spans="1:50" ht="16.5" customHeight="1">
      <c r="A704" s="83"/>
      <c r="B704" s="84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</row>
    <row r="705" spans="1:50" ht="16.5" customHeight="1">
      <c r="A705" s="83"/>
      <c r="B705" s="84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</row>
    <row r="706" spans="1:50" ht="16.5" customHeight="1">
      <c r="A706" s="83"/>
      <c r="B706" s="84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</row>
    <row r="707" spans="1:50" ht="16.5" customHeight="1">
      <c r="A707" s="83"/>
      <c r="B707" s="84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</row>
    <row r="708" spans="1:50" ht="16.5" customHeight="1">
      <c r="A708" s="83"/>
      <c r="B708" s="84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</row>
    <row r="709" spans="1:50" ht="16.5" customHeight="1">
      <c r="A709" s="83"/>
      <c r="B709" s="84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</row>
    <row r="710" spans="1:50" ht="16.5" customHeight="1">
      <c r="A710" s="83"/>
      <c r="B710" s="84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</row>
    <row r="711" spans="1:50" ht="16.5" customHeight="1">
      <c r="A711" s="83"/>
      <c r="B711" s="84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</row>
    <row r="712" spans="1:50" ht="16.5" customHeight="1">
      <c r="A712" s="83"/>
      <c r="B712" s="84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</row>
    <row r="713" spans="1:50" ht="16.5" customHeight="1">
      <c r="A713" s="83"/>
      <c r="B713" s="84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</row>
    <row r="714" spans="1:50" ht="16.5" customHeight="1">
      <c r="A714" s="83"/>
      <c r="B714" s="84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</row>
    <row r="715" spans="1:50" ht="16.5" customHeight="1">
      <c r="A715" s="83"/>
      <c r="B715" s="84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</row>
    <row r="716" spans="1:50" ht="16.5" customHeight="1">
      <c r="A716" s="83"/>
      <c r="B716" s="84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</row>
    <row r="717" spans="1:50" ht="16.5" customHeight="1">
      <c r="A717" s="83"/>
      <c r="B717" s="84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84"/>
      <c r="N717" s="84"/>
      <c r="O717" s="84"/>
      <c r="P717" s="84"/>
      <c r="Q717" s="84"/>
      <c r="R717" s="84"/>
      <c r="S717" s="84"/>
      <c r="T717" s="84"/>
      <c r="U717" s="84"/>
      <c r="V717" s="84"/>
      <c r="W717" s="84"/>
      <c r="X717" s="84"/>
      <c r="Y717" s="84"/>
      <c r="Z717" s="84"/>
      <c r="AA717" s="84"/>
      <c r="AB717" s="84"/>
      <c r="AC717" s="84"/>
      <c r="AD717" s="84"/>
      <c r="AE717" s="84"/>
      <c r="AF717" s="84"/>
      <c r="AG717" s="84"/>
      <c r="AH717" s="84"/>
      <c r="AI717" s="84"/>
      <c r="AJ717" s="84"/>
      <c r="AK717" s="84"/>
      <c r="AL717" s="84"/>
      <c r="AM717" s="84"/>
      <c r="AN717" s="84"/>
      <c r="AO717" s="84"/>
      <c r="AP717" s="84"/>
      <c r="AQ717" s="84"/>
      <c r="AR717" s="84"/>
      <c r="AS717" s="84"/>
      <c r="AT717" s="84"/>
      <c r="AU717" s="84"/>
      <c r="AV717" s="84"/>
      <c r="AW717" s="84"/>
      <c r="AX717" s="84"/>
    </row>
    <row r="718" spans="1:50" ht="16.5" customHeight="1">
      <c r="A718" s="83"/>
      <c r="B718" s="84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</row>
    <row r="719" spans="1:50" ht="16.5" customHeight="1">
      <c r="A719" s="83"/>
      <c r="B719" s="84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</row>
    <row r="720" spans="1:50" ht="16.5" customHeight="1">
      <c r="A720" s="83"/>
      <c r="B720" s="84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</row>
    <row r="721" spans="1:50" ht="16.5" customHeight="1">
      <c r="A721" s="83"/>
      <c r="B721" s="84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</row>
    <row r="722" spans="1:50" ht="16.5" customHeight="1">
      <c r="A722" s="83"/>
      <c r="B722" s="84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</row>
    <row r="723" spans="1:50" ht="16.5" customHeight="1">
      <c r="A723" s="83"/>
      <c r="B723" s="84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</row>
    <row r="724" spans="1:50" ht="16.5" customHeight="1">
      <c r="A724" s="83"/>
      <c r="B724" s="84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</row>
    <row r="725" spans="1:50" ht="16.5" customHeight="1">
      <c r="A725" s="83"/>
      <c r="B725" s="84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</row>
    <row r="726" spans="1:50" ht="16.5" customHeight="1">
      <c r="A726" s="83"/>
      <c r="B726" s="84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</row>
    <row r="727" spans="1:50" ht="16.5" customHeight="1">
      <c r="A727" s="83"/>
      <c r="B727" s="84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</row>
    <row r="728" spans="1:50" ht="16.5" customHeight="1">
      <c r="A728" s="83"/>
      <c r="B728" s="84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</row>
    <row r="729" spans="1:50" ht="16.5" customHeight="1">
      <c r="A729" s="83"/>
      <c r="B729" s="84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</row>
    <row r="730" spans="1:50" ht="16.5" customHeight="1">
      <c r="A730" s="83"/>
      <c r="B730" s="84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</row>
    <row r="731" spans="1:50" ht="16.5" customHeight="1">
      <c r="A731" s="83"/>
      <c r="B731" s="84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</row>
    <row r="732" spans="1:50" ht="16.5" customHeight="1">
      <c r="A732" s="83"/>
      <c r="B732" s="84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</row>
    <row r="733" spans="1:50" ht="16.5" customHeight="1">
      <c r="A733" s="83"/>
      <c r="B733" s="84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</row>
    <row r="734" spans="1:50" ht="16.5" customHeight="1">
      <c r="A734" s="83"/>
      <c r="B734" s="84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  <c r="S734" s="84"/>
      <c r="T734" s="84"/>
      <c r="U734" s="84"/>
      <c r="V734" s="84"/>
      <c r="W734" s="84"/>
      <c r="X734" s="84"/>
      <c r="Y734" s="84"/>
      <c r="Z734" s="84"/>
      <c r="AA734" s="84"/>
      <c r="AB734" s="84"/>
      <c r="AC734" s="84"/>
      <c r="AD734" s="84"/>
      <c r="AE734" s="84"/>
      <c r="AF734" s="84"/>
      <c r="AG734" s="84"/>
      <c r="AH734" s="84"/>
      <c r="AI734" s="84"/>
      <c r="AJ734" s="84"/>
      <c r="AK734" s="84"/>
      <c r="AL734" s="84"/>
      <c r="AM734" s="84"/>
      <c r="AN734" s="84"/>
      <c r="AO734" s="84"/>
      <c r="AP734" s="84"/>
      <c r="AQ734" s="84"/>
      <c r="AR734" s="84"/>
      <c r="AS734" s="84"/>
      <c r="AT734" s="84"/>
      <c r="AU734" s="84"/>
      <c r="AV734" s="84"/>
      <c r="AW734" s="84"/>
      <c r="AX734" s="84"/>
    </row>
    <row r="735" spans="1:50" ht="16.5" customHeight="1">
      <c r="A735" s="83"/>
      <c r="B735" s="84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</row>
    <row r="736" spans="1:50" ht="16.5" customHeight="1">
      <c r="A736" s="83"/>
      <c r="B736" s="84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</row>
    <row r="737" spans="1:50" ht="16.5" customHeight="1">
      <c r="A737" s="83"/>
      <c r="B737" s="84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</row>
    <row r="738" spans="1:50" ht="16.5" customHeight="1">
      <c r="A738" s="83"/>
      <c r="B738" s="84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</row>
    <row r="739" spans="1:50" ht="16.5" customHeight="1">
      <c r="A739" s="83"/>
      <c r="B739" s="84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</row>
    <row r="740" spans="1:50" ht="16.5" customHeight="1">
      <c r="A740" s="83"/>
      <c r="B740" s="84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</row>
    <row r="741" spans="1:50" ht="16.5" customHeight="1">
      <c r="A741" s="83"/>
      <c r="B741" s="84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</row>
    <row r="742" spans="1:50" ht="16.5" customHeight="1">
      <c r="A742" s="83"/>
      <c r="B742" s="84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</row>
    <row r="743" spans="1:50" ht="16.5" customHeight="1">
      <c r="A743" s="83"/>
      <c r="B743" s="84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</row>
    <row r="744" spans="1:50" ht="16.5" customHeight="1">
      <c r="A744" s="83"/>
      <c r="B744" s="84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</row>
    <row r="745" spans="1:50" ht="16.5" customHeight="1">
      <c r="A745" s="83"/>
      <c r="B745" s="84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</row>
    <row r="746" spans="1:50" ht="16.5" customHeight="1">
      <c r="A746" s="83"/>
      <c r="B746" s="84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</row>
    <row r="747" spans="1:50" ht="16.5" customHeight="1">
      <c r="A747" s="83"/>
      <c r="B747" s="84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</row>
    <row r="748" spans="1:50" ht="16.5" customHeight="1">
      <c r="A748" s="83"/>
      <c r="B748" s="84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</row>
    <row r="749" spans="1:50" ht="16.5" customHeight="1">
      <c r="A749" s="83"/>
      <c r="B749" s="84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</row>
    <row r="750" spans="1:50" ht="16.5" customHeight="1">
      <c r="A750" s="83"/>
      <c r="B750" s="84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</row>
    <row r="751" spans="1:50" ht="16.5" customHeight="1">
      <c r="A751" s="83"/>
      <c r="B751" s="84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  <c r="S751" s="84"/>
      <c r="T751" s="84"/>
      <c r="U751" s="84"/>
      <c r="V751" s="84"/>
      <c r="W751" s="84"/>
      <c r="X751" s="84"/>
      <c r="Y751" s="84"/>
      <c r="Z751" s="84"/>
      <c r="AA751" s="84"/>
      <c r="AB751" s="84"/>
      <c r="AC751" s="84"/>
      <c r="AD751" s="84"/>
      <c r="AE751" s="84"/>
      <c r="AF751" s="84"/>
      <c r="AG751" s="84"/>
      <c r="AH751" s="84"/>
      <c r="AI751" s="84"/>
      <c r="AJ751" s="84"/>
      <c r="AK751" s="84"/>
      <c r="AL751" s="84"/>
      <c r="AM751" s="84"/>
      <c r="AN751" s="84"/>
      <c r="AO751" s="84"/>
      <c r="AP751" s="84"/>
      <c r="AQ751" s="84"/>
      <c r="AR751" s="84"/>
      <c r="AS751" s="84"/>
      <c r="AT751" s="84"/>
      <c r="AU751" s="84"/>
      <c r="AV751" s="84"/>
      <c r="AW751" s="84"/>
      <c r="AX751" s="84"/>
    </row>
    <row r="752" spans="1:50" ht="16.5" customHeight="1">
      <c r="A752" s="83"/>
      <c r="B752" s="84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</row>
    <row r="753" spans="1:50" ht="16.5" customHeight="1">
      <c r="A753" s="83"/>
      <c r="B753" s="84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</row>
    <row r="754" spans="1:50" ht="16.5" customHeight="1">
      <c r="A754" s="83"/>
      <c r="B754" s="84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</row>
    <row r="755" spans="1:50" ht="16.5" customHeight="1">
      <c r="A755" s="83"/>
      <c r="B755" s="84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</row>
    <row r="756" spans="1:50" ht="16.5" customHeight="1">
      <c r="A756" s="83"/>
      <c r="B756" s="84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</row>
    <row r="757" spans="1:50" ht="16.5" customHeight="1">
      <c r="A757" s="83"/>
      <c r="B757" s="84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</row>
    <row r="758" spans="1:50" ht="16.5" customHeight="1">
      <c r="A758" s="83"/>
      <c r="B758" s="84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</row>
    <row r="759" spans="1:50" ht="16.5" customHeight="1">
      <c r="A759" s="83"/>
      <c r="B759" s="84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</row>
    <row r="760" spans="1:50" ht="16.5" customHeight="1">
      <c r="A760" s="83"/>
      <c r="B760" s="84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</row>
    <row r="761" spans="1:50" ht="16.5" customHeight="1">
      <c r="A761" s="83"/>
      <c r="B761" s="84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</row>
    <row r="762" spans="1:50" ht="16.5" customHeight="1">
      <c r="A762" s="83"/>
      <c r="B762" s="84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</row>
    <row r="763" spans="1:50" ht="16.5" customHeight="1">
      <c r="A763" s="83"/>
      <c r="B763" s="84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</row>
    <row r="764" spans="1:50" ht="16.5" customHeight="1">
      <c r="A764" s="83"/>
      <c r="B764" s="84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</row>
    <row r="765" spans="1:50" ht="16.5" customHeight="1">
      <c r="A765" s="83"/>
      <c r="B765" s="84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</row>
    <row r="766" spans="1:50" ht="16.5" customHeight="1">
      <c r="A766" s="83"/>
      <c r="B766" s="84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</row>
    <row r="767" spans="1:50" ht="16.5" customHeight="1">
      <c r="A767" s="83"/>
      <c r="B767" s="84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</row>
    <row r="768" spans="1:50" ht="16.5" customHeight="1">
      <c r="A768" s="83"/>
      <c r="B768" s="84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84"/>
      <c r="N768" s="84"/>
      <c r="O768" s="84"/>
      <c r="P768" s="84"/>
      <c r="Q768" s="84"/>
      <c r="R768" s="84"/>
      <c r="S768" s="84"/>
      <c r="T768" s="84"/>
      <c r="U768" s="84"/>
      <c r="V768" s="84"/>
      <c r="W768" s="84"/>
      <c r="X768" s="84"/>
      <c r="Y768" s="84"/>
      <c r="Z768" s="84"/>
      <c r="AA768" s="84"/>
      <c r="AB768" s="84"/>
      <c r="AC768" s="84"/>
      <c r="AD768" s="84"/>
      <c r="AE768" s="84"/>
      <c r="AF768" s="84"/>
      <c r="AG768" s="84"/>
      <c r="AH768" s="84"/>
      <c r="AI768" s="84"/>
      <c r="AJ768" s="84"/>
      <c r="AK768" s="84"/>
      <c r="AL768" s="84"/>
      <c r="AM768" s="84"/>
      <c r="AN768" s="84"/>
      <c r="AO768" s="84"/>
      <c r="AP768" s="84"/>
      <c r="AQ768" s="84"/>
      <c r="AR768" s="84"/>
      <c r="AS768" s="84"/>
      <c r="AT768" s="84"/>
      <c r="AU768" s="84"/>
      <c r="AV768" s="84"/>
      <c r="AW768" s="84"/>
      <c r="AX768" s="84"/>
    </row>
    <row r="769" spans="1:50" ht="16.5" customHeight="1">
      <c r="A769" s="83"/>
      <c r="B769" s="84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</row>
    <row r="770" spans="1:50" ht="16.5" customHeight="1">
      <c r="A770" s="83"/>
      <c r="B770" s="84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</row>
    <row r="771" spans="1:50" ht="16.5" customHeight="1">
      <c r="A771" s="83"/>
      <c r="B771" s="84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</row>
    <row r="772" spans="1:50" ht="16.5" customHeight="1">
      <c r="A772" s="83"/>
      <c r="B772" s="84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</row>
    <row r="773" spans="1:50" ht="16.5" customHeight="1">
      <c r="A773" s="83"/>
      <c r="B773" s="84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</row>
    <row r="774" spans="1:50" ht="16.5" customHeight="1">
      <c r="A774" s="83"/>
      <c r="B774" s="84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</row>
    <row r="775" spans="1:50" ht="16.5" customHeight="1">
      <c r="A775" s="83"/>
      <c r="B775" s="84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</row>
    <row r="776" spans="1:50" ht="16.5" customHeight="1">
      <c r="A776" s="83"/>
      <c r="B776" s="84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</row>
    <row r="777" spans="1:50" ht="16.5" customHeight="1">
      <c r="A777" s="83"/>
      <c r="B777" s="84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</row>
    <row r="778" spans="1:50" ht="16.5" customHeight="1">
      <c r="A778" s="83"/>
      <c r="B778" s="84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</row>
    <row r="779" spans="1:50" ht="16.5" customHeight="1">
      <c r="A779" s="83"/>
      <c r="B779" s="84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</row>
    <row r="780" spans="1:50" ht="16.5" customHeight="1">
      <c r="A780" s="83"/>
      <c r="B780" s="84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</row>
    <row r="781" spans="1:50" ht="16.5" customHeight="1">
      <c r="A781" s="83"/>
      <c r="B781" s="84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</row>
    <row r="782" spans="1:50" ht="16.5" customHeight="1">
      <c r="A782" s="83"/>
      <c r="B782" s="84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</row>
    <row r="783" spans="1:50" ht="16.5" customHeight="1">
      <c r="A783" s="83"/>
      <c r="B783" s="84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</row>
    <row r="784" spans="1:50" ht="16.5" customHeight="1">
      <c r="A784" s="83"/>
      <c r="B784" s="84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</row>
    <row r="785" spans="1:50" ht="16.5" customHeight="1">
      <c r="A785" s="83"/>
      <c r="B785" s="84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  <c r="S785" s="84"/>
      <c r="T785" s="84"/>
      <c r="U785" s="84"/>
      <c r="V785" s="84"/>
      <c r="W785" s="84"/>
      <c r="X785" s="84"/>
      <c r="Y785" s="84"/>
      <c r="Z785" s="84"/>
      <c r="AA785" s="84"/>
      <c r="AB785" s="84"/>
      <c r="AC785" s="84"/>
      <c r="AD785" s="84"/>
      <c r="AE785" s="84"/>
      <c r="AF785" s="84"/>
      <c r="AG785" s="84"/>
      <c r="AH785" s="84"/>
      <c r="AI785" s="84"/>
      <c r="AJ785" s="84"/>
      <c r="AK785" s="84"/>
      <c r="AL785" s="84"/>
      <c r="AM785" s="84"/>
      <c r="AN785" s="84"/>
      <c r="AO785" s="84"/>
      <c r="AP785" s="84"/>
      <c r="AQ785" s="84"/>
      <c r="AR785" s="84"/>
      <c r="AS785" s="84"/>
      <c r="AT785" s="84"/>
      <c r="AU785" s="84"/>
      <c r="AV785" s="84"/>
      <c r="AW785" s="84"/>
      <c r="AX785" s="84"/>
    </row>
    <row r="786" spans="1:50" ht="16.5" customHeight="1">
      <c r="A786" s="83"/>
      <c r="B786" s="84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</row>
    <row r="787" spans="1:50" ht="16.5" customHeight="1">
      <c r="A787" s="83"/>
      <c r="B787" s="84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</row>
    <row r="788" spans="1:50" ht="16.5" customHeight="1">
      <c r="A788" s="83"/>
      <c r="B788" s="84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</row>
    <row r="789" spans="1:50" ht="16.5" customHeight="1">
      <c r="A789" s="83"/>
      <c r="B789" s="84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</row>
    <row r="790" spans="1:50" ht="16.5" customHeight="1">
      <c r="A790" s="83"/>
      <c r="B790" s="84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</row>
    <row r="791" spans="1:50" ht="16.5" customHeight="1">
      <c r="A791" s="83"/>
      <c r="B791" s="84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</row>
    <row r="792" spans="1:50" ht="16.5" customHeight="1">
      <c r="A792" s="83"/>
      <c r="B792" s="84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</row>
    <row r="793" spans="1:50" ht="16.5" customHeight="1">
      <c r="A793" s="83"/>
      <c r="B793" s="84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</row>
    <row r="794" spans="1:50" ht="16.5" customHeight="1">
      <c r="A794" s="83"/>
      <c r="B794" s="84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</row>
    <row r="795" spans="1:50" ht="16.5" customHeight="1">
      <c r="A795" s="83"/>
      <c r="B795" s="84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</row>
    <row r="796" spans="1:50" ht="16.5" customHeight="1">
      <c r="A796" s="83"/>
      <c r="B796" s="84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</row>
    <row r="797" spans="1:50" ht="16.5" customHeight="1">
      <c r="A797" s="83"/>
      <c r="B797" s="84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</row>
    <row r="798" spans="1:50" ht="16.5" customHeight="1">
      <c r="A798" s="83"/>
      <c r="B798" s="84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</row>
    <row r="799" spans="1:50" ht="16.5" customHeight="1">
      <c r="A799" s="83"/>
      <c r="B799" s="84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</row>
    <row r="800" spans="1:50" ht="16.5" customHeight="1">
      <c r="A800" s="83"/>
      <c r="B800" s="84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</row>
    <row r="801" spans="1:50" ht="16.5" customHeight="1">
      <c r="A801" s="83"/>
      <c r="B801" s="84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</row>
    <row r="802" spans="1:50" ht="16.5" customHeight="1">
      <c r="A802" s="83"/>
      <c r="B802" s="84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  <c r="S802" s="84"/>
      <c r="T802" s="84"/>
      <c r="U802" s="84"/>
      <c r="V802" s="84"/>
      <c r="W802" s="84"/>
      <c r="X802" s="84"/>
      <c r="Y802" s="84"/>
      <c r="Z802" s="84"/>
      <c r="AA802" s="84"/>
      <c r="AB802" s="84"/>
      <c r="AC802" s="84"/>
      <c r="AD802" s="84"/>
      <c r="AE802" s="84"/>
      <c r="AF802" s="84"/>
      <c r="AG802" s="84"/>
      <c r="AH802" s="84"/>
      <c r="AI802" s="84"/>
      <c r="AJ802" s="84"/>
      <c r="AK802" s="84"/>
      <c r="AL802" s="84"/>
      <c r="AM802" s="84"/>
      <c r="AN802" s="84"/>
      <c r="AO802" s="84"/>
      <c r="AP802" s="84"/>
      <c r="AQ802" s="84"/>
      <c r="AR802" s="84"/>
      <c r="AS802" s="84"/>
      <c r="AT802" s="84"/>
      <c r="AU802" s="84"/>
      <c r="AV802" s="84"/>
      <c r="AW802" s="84"/>
      <c r="AX802" s="84"/>
    </row>
    <row r="803" spans="1:50" ht="16.5" customHeight="1">
      <c r="A803" s="83"/>
      <c r="B803" s="84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</row>
    <row r="804" spans="1:50" ht="16.5" customHeight="1">
      <c r="A804" s="83"/>
      <c r="B804" s="84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</row>
    <row r="805" spans="1:50" ht="16.5" customHeight="1">
      <c r="A805" s="83"/>
      <c r="B805" s="84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</row>
    <row r="806" spans="1:50" ht="16.5" customHeight="1">
      <c r="A806" s="83"/>
      <c r="B806" s="84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</row>
    <row r="807" spans="1:50" ht="16.5" customHeight="1">
      <c r="A807" s="83"/>
      <c r="B807" s="84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</row>
    <row r="808" spans="1:50" ht="16.5" customHeight="1">
      <c r="A808" s="83"/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</row>
    <row r="809" spans="1:50" ht="16.5" customHeight="1">
      <c r="A809" s="83"/>
      <c r="B809" s="84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</row>
    <row r="810" spans="1:50" ht="16.5" customHeight="1">
      <c r="A810" s="83"/>
      <c r="B810" s="84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</row>
    <row r="811" spans="1:50" ht="16.5" customHeight="1">
      <c r="A811" s="83"/>
      <c r="B811" s="84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</row>
    <row r="812" spans="1:50" ht="16.5" customHeight="1">
      <c r="A812" s="83"/>
      <c r="B812" s="84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</row>
    <row r="813" spans="1:50" ht="16.5" customHeight="1">
      <c r="A813" s="83"/>
      <c r="B813" s="84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</row>
    <row r="814" spans="1:50" ht="16.5" customHeight="1">
      <c r="A814" s="83"/>
      <c r="B814" s="84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</row>
    <row r="815" spans="1:50" ht="16.5" customHeight="1">
      <c r="A815" s="83"/>
      <c r="B815" s="84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</row>
    <row r="816" spans="1:50" ht="16.5" customHeight="1">
      <c r="A816" s="83"/>
      <c r="B816" s="84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</row>
    <row r="817" spans="1:50" ht="16.5" customHeight="1">
      <c r="A817" s="83"/>
      <c r="B817" s="84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</row>
    <row r="818" spans="1:50" ht="16.5" customHeight="1">
      <c r="A818" s="83"/>
      <c r="B818" s="84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</row>
    <row r="819" spans="1:50" ht="16.5" customHeight="1">
      <c r="A819" s="83"/>
      <c r="B819" s="84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  <c r="S819" s="84"/>
      <c r="T819" s="84"/>
      <c r="U819" s="84"/>
      <c r="V819" s="84"/>
      <c r="W819" s="84"/>
      <c r="X819" s="84"/>
      <c r="Y819" s="84"/>
      <c r="Z819" s="84"/>
      <c r="AA819" s="84"/>
      <c r="AB819" s="84"/>
      <c r="AC819" s="84"/>
      <c r="AD819" s="84"/>
      <c r="AE819" s="84"/>
      <c r="AF819" s="84"/>
      <c r="AG819" s="84"/>
      <c r="AH819" s="84"/>
      <c r="AI819" s="84"/>
      <c r="AJ819" s="84"/>
      <c r="AK819" s="84"/>
      <c r="AL819" s="84"/>
      <c r="AM819" s="84"/>
      <c r="AN819" s="84"/>
      <c r="AO819" s="84"/>
      <c r="AP819" s="84"/>
      <c r="AQ819" s="84"/>
      <c r="AR819" s="84"/>
      <c r="AS819" s="84"/>
      <c r="AT819" s="84"/>
      <c r="AU819" s="84"/>
      <c r="AV819" s="84"/>
      <c r="AW819" s="84"/>
      <c r="AX819" s="84"/>
    </row>
    <row r="820" spans="1:50" ht="16.5" customHeight="1">
      <c r="A820" s="83"/>
      <c r="B820" s="84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</row>
    <row r="821" spans="1:50" ht="16.5" customHeight="1">
      <c r="A821" s="83"/>
      <c r="B821" s="84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</row>
    <row r="822" spans="1:50" ht="16.5" customHeight="1">
      <c r="A822" s="83"/>
      <c r="B822" s="84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</row>
    <row r="823" spans="1:50" ht="16.5" customHeight="1">
      <c r="A823" s="83"/>
      <c r="B823" s="84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</row>
    <row r="824" spans="1:50" ht="16.5" customHeight="1">
      <c r="A824" s="83"/>
      <c r="B824" s="84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</row>
    <row r="825" spans="1:50" ht="16.5" customHeight="1">
      <c r="A825" s="83"/>
      <c r="B825" s="84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</row>
    <row r="826" spans="1:50" ht="16.5" customHeight="1">
      <c r="A826" s="83"/>
      <c r="B826" s="84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</row>
    <row r="827" spans="1:50" ht="16.5" customHeight="1">
      <c r="A827" s="83"/>
      <c r="B827" s="84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</row>
    <row r="828" spans="1:50" ht="16.5" customHeight="1">
      <c r="A828" s="83"/>
      <c r="B828" s="84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</row>
    <row r="829" spans="1:50" ht="16.5" customHeight="1">
      <c r="A829" s="83"/>
      <c r="B829" s="84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</row>
    <row r="830" spans="1:50" ht="16.5" customHeight="1">
      <c r="A830" s="83"/>
      <c r="B830" s="84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</row>
    <row r="831" spans="1:50" ht="16.5" customHeight="1">
      <c r="A831" s="83"/>
      <c r="B831" s="84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</row>
    <row r="832" spans="1:50" ht="16.5" customHeight="1">
      <c r="A832" s="83"/>
      <c r="B832" s="84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</row>
    <row r="833" spans="1:50" ht="16.5" customHeight="1">
      <c r="A833" s="83"/>
      <c r="B833" s="84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</row>
    <row r="834" spans="1:50" ht="16.5" customHeight="1">
      <c r="A834" s="83"/>
      <c r="B834" s="84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</row>
    <row r="835" spans="1:50" ht="16.5" customHeight="1">
      <c r="A835" s="83"/>
      <c r="B835" s="84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</row>
    <row r="836" spans="1:50" ht="16.5" customHeight="1">
      <c r="A836" s="83"/>
      <c r="B836" s="84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  <c r="S836" s="84"/>
      <c r="T836" s="84"/>
      <c r="U836" s="84"/>
      <c r="V836" s="84"/>
      <c r="W836" s="84"/>
      <c r="X836" s="84"/>
      <c r="Y836" s="84"/>
      <c r="Z836" s="84"/>
      <c r="AA836" s="84"/>
      <c r="AB836" s="84"/>
      <c r="AC836" s="84"/>
      <c r="AD836" s="84"/>
      <c r="AE836" s="84"/>
      <c r="AF836" s="84"/>
      <c r="AG836" s="84"/>
      <c r="AH836" s="84"/>
      <c r="AI836" s="84"/>
      <c r="AJ836" s="84"/>
      <c r="AK836" s="84"/>
      <c r="AL836" s="84"/>
      <c r="AM836" s="84"/>
      <c r="AN836" s="84"/>
      <c r="AO836" s="84"/>
      <c r="AP836" s="84"/>
      <c r="AQ836" s="84"/>
      <c r="AR836" s="84"/>
      <c r="AS836" s="84"/>
      <c r="AT836" s="84"/>
      <c r="AU836" s="84"/>
      <c r="AV836" s="84"/>
      <c r="AW836" s="84"/>
      <c r="AX836" s="84"/>
    </row>
    <row r="837" spans="1:50" ht="16.5" customHeight="1">
      <c r="A837" s="83"/>
      <c r="B837" s="84"/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</row>
    <row r="838" spans="1:50" ht="16.5" customHeight="1">
      <c r="A838" s="83"/>
      <c r="B838" s="84"/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</row>
    <row r="839" spans="1:50" ht="16.5" customHeight="1">
      <c r="A839" s="83"/>
      <c r="B839" s="84"/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</row>
    <row r="840" spans="1:50" ht="16.5" customHeight="1">
      <c r="A840" s="83"/>
      <c r="B840" s="84"/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</row>
    <row r="841" spans="1:50" ht="16.5" customHeight="1">
      <c r="A841" s="83"/>
      <c r="B841" s="84"/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</row>
    <row r="842" spans="1:50" ht="16.5" customHeight="1">
      <c r="A842" s="83"/>
      <c r="B842" s="84"/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</row>
    <row r="843" spans="1:50" ht="16.5" customHeight="1">
      <c r="A843" s="83"/>
      <c r="B843" s="84"/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</row>
    <row r="844" spans="1:50" ht="16.5" customHeight="1">
      <c r="A844" s="83"/>
      <c r="B844" s="84"/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</row>
    <row r="845" spans="1:50" ht="16.5" customHeight="1">
      <c r="A845" s="83"/>
      <c r="B845" s="84"/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</row>
    <row r="846" spans="1:50" ht="16.5" customHeight="1">
      <c r="A846" s="83"/>
      <c r="B846" s="84"/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</row>
    <row r="847" spans="1:50" ht="16.5" customHeight="1">
      <c r="A847" s="83"/>
      <c r="B847" s="84"/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</row>
    <row r="848" spans="1:50" ht="16.5" customHeight="1">
      <c r="A848" s="83"/>
      <c r="B848" s="84"/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</row>
    <row r="849" spans="1:50" ht="16.5" customHeight="1">
      <c r="A849" s="83"/>
      <c r="B849" s="84"/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</row>
    <row r="850" spans="1:50" ht="16.5" customHeight="1">
      <c r="A850" s="83"/>
      <c r="B850" s="84"/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</row>
    <row r="851" spans="1:50" ht="16.5" customHeight="1">
      <c r="A851" s="83"/>
      <c r="B851" s="84"/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</row>
    <row r="852" spans="1:50" ht="16.5" customHeight="1">
      <c r="A852" s="83"/>
      <c r="B852" s="84"/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</row>
    <row r="853" spans="1:50" ht="16.5" customHeight="1">
      <c r="A853" s="83"/>
      <c r="B853" s="84"/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  <c r="S853" s="84"/>
      <c r="T853" s="84"/>
      <c r="U853" s="84"/>
      <c r="V853" s="84"/>
      <c r="W853" s="84"/>
      <c r="X853" s="84"/>
      <c r="Y853" s="84"/>
      <c r="Z853" s="84"/>
      <c r="AA853" s="84"/>
      <c r="AB853" s="84"/>
      <c r="AC853" s="84"/>
      <c r="AD853" s="84"/>
      <c r="AE853" s="84"/>
      <c r="AF853" s="84"/>
      <c r="AG853" s="84"/>
      <c r="AH853" s="84"/>
      <c r="AI853" s="84"/>
      <c r="AJ853" s="84"/>
      <c r="AK853" s="84"/>
      <c r="AL853" s="84"/>
      <c r="AM853" s="84"/>
      <c r="AN853" s="84"/>
      <c r="AO853" s="84"/>
      <c r="AP853" s="84"/>
      <c r="AQ853" s="84"/>
      <c r="AR853" s="84"/>
      <c r="AS853" s="84"/>
      <c r="AT853" s="84"/>
      <c r="AU853" s="84"/>
      <c r="AV853" s="84"/>
      <c r="AW853" s="84"/>
      <c r="AX853" s="84"/>
    </row>
    <row r="854" spans="1:50" ht="16.5" customHeight="1">
      <c r="A854" s="83"/>
      <c r="B854" s="84"/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</row>
    <row r="855" spans="1:50" ht="16.5" customHeight="1">
      <c r="A855" s="83"/>
      <c r="B855" s="84"/>
      <c r="C855" s="84"/>
      <c r="D855" s="84"/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</row>
    <row r="856" spans="1:50" ht="16.5" customHeight="1">
      <c r="A856" s="83"/>
      <c r="B856" s="84"/>
      <c r="C856" s="84"/>
      <c r="D856" s="84"/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</row>
    <row r="857" spans="1:50" ht="16.5" customHeight="1">
      <c r="A857" s="83"/>
      <c r="B857" s="84"/>
      <c r="C857" s="84"/>
      <c r="D857" s="84"/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</row>
    <row r="858" spans="1:50" ht="16.5" customHeight="1">
      <c r="A858" s="83"/>
      <c r="B858" s="84"/>
      <c r="C858" s="84"/>
      <c r="D858" s="84"/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</row>
    <row r="859" spans="1:50" ht="16.5" customHeight="1">
      <c r="A859" s="83"/>
      <c r="B859" s="84"/>
      <c r="C859" s="84"/>
      <c r="D859" s="84"/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</row>
    <row r="860" spans="1:50" ht="16.5" customHeight="1">
      <c r="A860" s="83"/>
      <c r="B860" s="84"/>
      <c r="C860" s="84"/>
      <c r="D860" s="84"/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</row>
    <row r="861" spans="1:50" ht="16.5" customHeight="1">
      <c r="A861" s="83"/>
      <c r="B861" s="84"/>
      <c r="C861" s="84"/>
      <c r="D861" s="84"/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</row>
    <row r="862" spans="1:50" ht="16.5" customHeight="1">
      <c r="A862" s="83"/>
      <c r="B862" s="84"/>
      <c r="C862" s="84"/>
      <c r="D862" s="84"/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</row>
    <row r="863" spans="1:50" ht="16.5" customHeight="1">
      <c r="A863" s="83"/>
      <c r="B863" s="84"/>
      <c r="C863" s="84"/>
      <c r="D863" s="84"/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</row>
    <row r="864" spans="1:50" ht="16.5" customHeight="1">
      <c r="A864" s="83"/>
      <c r="B864" s="84"/>
      <c r="C864" s="84"/>
      <c r="D864" s="84"/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</row>
    <row r="865" spans="1:50" ht="16.5" customHeight="1">
      <c r="A865" s="83"/>
      <c r="B865" s="84"/>
      <c r="C865" s="84"/>
      <c r="D865" s="84"/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</row>
    <row r="866" spans="1:50" ht="16.5" customHeight="1">
      <c r="A866" s="83"/>
      <c r="B866" s="84"/>
      <c r="C866" s="84"/>
      <c r="D866" s="84"/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</row>
    <row r="867" spans="1:50" ht="16.5" customHeight="1">
      <c r="A867" s="83"/>
      <c r="B867" s="84"/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</row>
    <row r="868" spans="1:50" ht="16.5" customHeight="1">
      <c r="A868" s="83"/>
      <c r="B868" s="84"/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</row>
    <row r="869" spans="1:50" ht="16.5" customHeight="1">
      <c r="A869" s="83"/>
      <c r="B869" s="84"/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</row>
    <row r="870" spans="1:50" ht="16.5" customHeight="1">
      <c r="A870" s="83"/>
      <c r="B870" s="84"/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  <c r="S870" s="84"/>
      <c r="T870" s="84"/>
      <c r="U870" s="84"/>
      <c r="V870" s="84"/>
      <c r="W870" s="84"/>
      <c r="X870" s="84"/>
      <c r="Y870" s="84"/>
      <c r="Z870" s="84"/>
      <c r="AA870" s="84"/>
      <c r="AB870" s="84"/>
      <c r="AC870" s="84"/>
      <c r="AD870" s="84"/>
      <c r="AE870" s="84"/>
      <c r="AF870" s="84"/>
      <c r="AG870" s="84"/>
      <c r="AH870" s="84"/>
      <c r="AI870" s="84"/>
      <c r="AJ870" s="84"/>
      <c r="AK870" s="84"/>
      <c r="AL870" s="84"/>
      <c r="AM870" s="84"/>
      <c r="AN870" s="84"/>
      <c r="AO870" s="84"/>
      <c r="AP870" s="84"/>
      <c r="AQ870" s="84"/>
      <c r="AR870" s="84"/>
      <c r="AS870" s="84"/>
      <c r="AT870" s="84"/>
      <c r="AU870" s="84"/>
      <c r="AV870" s="84"/>
      <c r="AW870" s="84"/>
      <c r="AX870" s="84"/>
    </row>
    <row r="871" spans="1:50" ht="16.5" customHeight="1">
      <c r="A871" s="83"/>
      <c r="B871" s="84"/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4"/>
      <c r="V871" s="84"/>
      <c r="W871" s="84"/>
      <c r="X871" s="84"/>
      <c r="Y871" s="84"/>
      <c r="Z871" s="84"/>
      <c r="AA871" s="84"/>
      <c r="AB871" s="84"/>
      <c r="AC871" s="84"/>
      <c r="AD871" s="84"/>
      <c r="AE871" s="84"/>
      <c r="AF871" s="84"/>
      <c r="AG871" s="84"/>
      <c r="AH871" s="84"/>
      <c r="AI871" s="84"/>
      <c r="AJ871" s="84"/>
      <c r="AK871" s="84"/>
      <c r="AL871" s="84"/>
      <c r="AM871" s="84"/>
      <c r="AN871" s="84"/>
      <c r="AO871" s="84"/>
      <c r="AP871" s="84"/>
      <c r="AQ871" s="84"/>
      <c r="AR871" s="84"/>
      <c r="AS871" s="84"/>
      <c r="AT871" s="84"/>
      <c r="AU871" s="84"/>
      <c r="AV871" s="84"/>
      <c r="AW871" s="84"/>
      <c r="AX871" s="84"/>
    </row>
    <row r="872" spans="1:50" ht="16.5" customHeight="1">
      <c r="A872" s="83"/>
      <c r="B872" s="84"/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4"/>
      <c r="V872" s="84"/>
      <c r="W872" s="84"/>
      <c r="X872" s="84"/>
      <c r="Y872" s="84"/>
      <c r="Z872" s="84"/>
      <c r="AA872" s="84"/>
      <c r="AB872" s="84"/>
      <c r="AC872" s="84"/>
      <c r="AD872" s="84"/>
      <c r="AE872" s="84"/>
      <c r="AF872" s="84"/>
      <c r="AG872" s="84"/>
      <c r="AH872" s="84"/>
      <c r="AI872" s="84"/>
      <c r="AJ872" s="84"/>
      <c r="AK872" s="84"/>
      <c r="AL872" s="84"/>
      <c r="AM872" s="84"/>
      <c r="AN872" s="84"/>
      <c r="AO872" s="84"/>
      <c r="AP872" s="84"/>
      <c r="AQ872" s="84"/>
      <c r="AR872" s="84"/>
      <c r="AS872" s="84"/>
      <c r="AT872" s="84"/>
      <c r="AU872" s="84"/>
      <c r="AV872" s="84"/>
      <c r="AW872" s="84"/>
      <c r="AX872" s="84"/>
    </row>
    <row r="873" spans="1:50" ht="16.5" customHeight="1">
      <c r="A873" s="83"/>
      <c r="B873" s="84"/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4"/>
      <c r="V873" s="84"/>
      <c r="W873" s="84"/>
      <c r="X873" s="84"/>
      <c r="Y873" s="84"/>
      <c r="Z873" s="84"/>
      <c r="AA873" s="84"/>
      <c r="AB873" s="84"/>
      <c r="AC873" s="84"/>
      <c r="AD873" s="84"/>
      <c r="AE873" s="84"/>
      <c r="AF873" s="84"/>
      <c r="AG873" s="84"/>
      <c r="AH873" s="84"/>
      <c r="AI873" s="84"/>
      <c r="AJ873" s="84"/>
      <c r="AK873" s="84"/>
      <c r="AL873" s="84"/>
      <c r="AM873" s="84"/>
      <c r="AN873" s="84"/>
      <c r="AO873" s="84"/>
      <c r="AP873" s="84"/>
      <c r="AQ873" s="84"/>
      <c r="AR873" s="84"/>
      <c r="AS873" s="84"/>
      <c r="AT873" s="84"/>
      <c r="AU873" s="84"/>
      <c r="AV873" s="84"/>
      <c r="AW873" s="84"/>
      <c r="AX873" s="84"/>
    </row>
    <row r="874" spans="1:50" ht="16.5" customHeight="1">
      <c r="A874" s="83"/>
      <c r="B874" s="84"/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4"/>
      <c r="V874" s="84"/>
      <c r="W874" s="84"/>
      <c r="X874" s="84"/>
      <c r="Y874" s="84"/>
      <c r="Z874" s="84"/>
      <c r="AA874" s="84"/>
      <c r="AB874" s="84"/>
      <c r="AC874" s="84"/>
      <c r="AD874" s="84"/>
      <c r="AE874" s="84"/>
      <c r="AF874" s="84"/>
      <c r="AG874" s="84"/>
      <c r="AH874" s="84"/>
      <c r="AI874" s="84"/>
      <c r="AJ874" s="84"/>
      <c r="AK874" s="84"/>
      <c r="AL874" s="84"/>
      <c r="AM874" s="84"/>
      <c r="AN874" s="84"/>
      <c r="AO874" s="84"/>
      <c r="AP874" s="84"/>
      <c r="AQ874" s="84"/>
      <c r="AR874" s="84"/>
      <c r="AS874" s="84"/>
      <c r="AT874" s="84"/>
      <c r="AU874" s="84"/>
      <c r="AV874" s="84"/>
      <c r="AW874" s="84"/>
      <c r="AX874" s="84"/>
    </row>
    <row r="875" spans="1:50" ht="16.5" customHeight="1">
      <c r="A875" s="83"/>
      <c r="B875" s="84"/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4"/>
      <c r="V875" s="84"/>
      <c r="W875" s="84"/>
      <c r="X875" s="84"/>
      <c r="Y875" s="84"/>
      <c r="Z875" s="84"/>
      <c r="AA875" s="84"/>
      <c r="AB875" s="84"/>
      <c r="AC875" s="84"/>
      <c r="AD875" s="84"/>
      <c r="AE875" s="84"/>
      <c r="AF875" s="84"/>
      <c r="AG875" s="84"/>
      <c r="AH875" s="84"/>
      <c r="AI875" s="84"/>
      <c r="AJ875" s="84"/>
      <c r="AK875" s="84"/>
      <c r="AL875" s="84"/>
      <c r="AM875" s="84"/>
      <c r="AN875" s="84"/>
      <c r="AO875" s="84"/>
      <c r="AP875" s="84"/>
      <c r="AQ875" s="84"/>
      <c r="AR875" s="84"/>
      <c r="AS875" s="84"/>
      <c r="AT875" s="84"/>
      <c r="AU875" s="84"/>
      <c r="AV875" s="84"/>
      <c r="AW875" s="84"/>
      <c r="AX875" s="84"/>
    </row>
    <row r="876" spans="1:50" ht="16.5" customHeight="1">
      <c r="A876" s="83"/>
      <c r="B876" s="84"/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4"/>
      <c r="V876" s="84"/>
      <c r="W876" s="84"/>
      <c r="X876" s="84"/>
      <c r="Y876" s="84"/>
      <c r="Z876" s="84"/>
      <c r="AA876" s="84"/>
      <c r="AB876" s="84"/>
      <c r="AC876" s="84"/>
      <c r="AD876" s="84"/>
      <c r="AE876" s="84"/>
      <c r="AF876" s="84"/>
      <c r="AG876" s="84"/>
      <c r="AH876" s="84"/>
      <c r="AI876" s="84"/>
      <c r="AJ876" s="84"/>
      <c r="AK876" s="84"/>
      <c r="AL876" s="84"/>
      <c r="AM876" s="84"/>
      <c r="AN876" s="84"/>
      <c r="AO876" s="84"/>
      <c r="AP876" s="84"/>
      <c r="AQ876" s="84"/>
      <c r="AR876" s="84"/>
      <c r="AS876" s="84"/>
      <c r="AT876" s="84"/>
      <c r="AU876" s="84"/>
      <c r="AV876" s="84"/>
      <c r="AW876" s="84"/>
      <c r="AX876" s="84"/>
    </row>
    <row r="877" spans="1:50" ht="16.5" customHeight="1">
      <c r="A877" s="83"/>
      <c r="B877" s="84"/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4"/>
      <c r="V877" s="84"/>
      <c r="W877" s="84"/>
      <c r="X877" s="84"/>
      <c r="Y877" s="84"/>
      <c r="Z877" s="84"/>
      <c r="AA877" s="84"/>
      <c r="AB877" s="84"/>
      <c r="AC877" s="84"/>
      <c r="AD877" s="84"/>
      <c r="AE877" s="84"/>
      <c r="AF877" s="84"/>
      <c r="AG877" s="84"/>
      <c r="AH877" s="84"/>
      <c r="AI877" s="84"/>
      <c r="AJ877" s="84"/>
      <c r="AK877" s="84"/>
      <c r="AL877" s="84"/>
      <c r="AM877" s="84"/>
      <c r="AN877" s="84"/>
      <c r="AO877" s="84"/>
      <c r="AP877" s="84"/>
      <c r="AQ877" s="84"/>
      <c r="AR877" s="84"/>
      <c r="AS877" s="84"/>
      <c r="AT877" s="84"/>
      <c r="AU877" s="84"/>
      <c r="AV877" s="84"/>
      <c r="AW877" s="84"/>
      <c r="AX877" s="84"/>
    </row>
    <row r="878" spans="1:50" ht="16.5" customHeight="1">
      <c r="A878" s="83"/>
      <c r="B878" s="84"/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4"/>
      <c r="V878" s="84"/>
      <c r="W878" s="84"/>
      <c r="X878" s="84"/>
      <c r="Y878" s="84"/>
      <c r="Z878" s="84"/>
      <c r="AA878" s="84"/>
      <c r="AB878" s="84"/>
      <c r="AC878" s="84"/>
      <c r="AD878" s="84"/>
      <c r="AE878" s="84"/>
      <c r="AF878" s="84"/>
      <c r="AG878" s="84"/>
      <c r="AH878" s="84"/>
      <c r="AI878" s="84"/>
      <c r="AJ878" s="84"/>
      <c r="AK878" s="84"/>
      <c r="AL878" s="84"/>
      <c r="AM878" s="84"/>
      <c r="AN878" s="84"/>
      <c r="AO878" s="84"/>
      <c r="AP878" s="84"/>
      <c r="AQ878" s="84"/>
      <c r="AR878" s="84"/>
      <c r="AS878" s="84"/>
      <c r="AT878" s="84"/>
      <c r="AU878" s="84"/>
      <c r="AV878" s="84"/>
      <c r="AW878" s="84"/>
      <c r="AX878" s="84"/>
    </row>
    <row r="879" spans="1:50" ht="16.5" customHeight="1">
      <c r="A879" s="83"/>
      <c r="B879" s="84"/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4"/>
      <c r="V879" s="84"/>
      <c r="W879" s="84"/>
      <c r="X879" s="84"/>
      <c r="Y879" s="84"/>
      <c r="Z879" s="84"/>
      <c r="AA879" s="84"/>
      <c r="AB879" s="84"/>
      <c r="AC879" s="84"/>
      <c r="AD879" s="84"/>
      <c r="AE879" s="84"/>
      <c r="AF879" s="84"/>
      <c r="AG879" s="84"/>
      <c r="AH879" s="84"/>
      <c r="AI879" s="84"/>
      <c r="AJ879" s="84"/>
      <c r="AK879" s="84"/>
      <c r="AL879" s="84"/>
      <c r="AM879" s="84"/>
      <c r="AN879" s="84"/>
      <c r="AO879" s="84"/>
      <c r="AP879" s="84"/>
      <c r="AQ879" s="84"/>
      <c r="AR879" s="84"/>
      <c r="AS879" s="84"/>
      <c r="AT879" s="84"/>
      <c r="AU879" s="84"/>
      <c r="AV879" s="84"/>
      <c r="AW879" s="84"/>
      <c r="AX879" s="84"/>
    </row>
    <row r="880" spans="1:50" ht="16.5" customHeight="1">
      <c r="A880" s="83"/>
      <c r="B880" s="84"/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4"/>
      <c r="V880" s="84"/>
      <c r="W880" s="84"/>
      <c r="X880" s="84"/>
      <c r="Y880" s="84"/>
      <c r="Z880" s="84"/>
      <c r="AA880" s="84"/>
      <c r="AB880" s="84"/>
      <c r="AC880" s="84"/>
      <c r="AD880" s="84"/>
      <c r="AE880" s="84"/>
      <c r="AF880" s="84"/>
      <c r="AG880" s="84"/>
      <c r="AH880" s="84"/>
      <c r="AI880" s="84"/>
      <c r="AJ880" s="84"/>
      <c r="AK880" s="84"/>
      <c r="AL880" s="84"/>
      <c r="AM880" s="84"/>
      <c r="AN880" s="84"/>
      <c r="AO880" s="84"/>
      <c r="AP880" s="84"/>
      <c r="AQ880" s="84"/>
      <c r="AR880" s="84"/>
      <c r="AS880" s="84"/>
      <c r="AT880" s="84"/>
      <c r="AU880" s="84"/>
      <c r="AV880" s="84"/>
      <c r="AW880" s="84"/>
      <c r="AX880" s="84"/>
    </row>
    <row r="881" spans="1:50" ht="16.5" customHeight="1">
      <c r="A881" s="83"/>
      <c r="B881" s="84"/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4"/>
      <c r="V881" s="84"/>
      <c r="W881" s="84"/>
      <c r="X881" s="84"/>
      <c r="Y881" s="84"/>
      <c r="Z881" s="84"/>
      <c r="AA881" s="84"/>
      <c r="AB881" s="84"/>
      <c r="AC881" s="84"/>
      <c r="AD881" s="84"/>
      <c r="AE881" s="84"/>
      <c r="AF881" s="84"/>
      <c r="AG881" s="84"/>
      <c r="AH881" s="84"/>
      <c r="AI881" s="84"/>
      <c r="AJ881" s="84"/>
      <c r="AK881" s="84"/>
      <c r="AL881" s="84"/>
      <c r="AM881" s="84"/>
      <c r="AN881" s="84"/>
      <c r="AO881" s="84"/>
      <c r="AP881" s="84"/>
      <c r="AQ881" s="84"/>
      <c r="AR881" s="84"/>
      <c r="AS881" s="84"/>
      <c r="AT881" s="84"/>
      <c r="AU881" s="84"/>
      <c r="AV881" s="84"/>
      <c r="AW881" s="84"/>
      <c r="AX881" s="84"/>
    </row>
    <row r="882" spans="1:50" ht="16.5" customHeight="1">
      <c r="A882" s="83"/>
      <c r="B882" s="84"/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4"/>
      <c r="V882" s="84"/>
      <c r="W882" s="84"/>
      <c r="X882" s="84"/>
      <c r="Y882" s="84"/>
      <c r="Z882" s="84"/>
      <c r="AA882" s="84"/>
      <c r="AB882" s="84"/>
      <c r="AC882" s="84"/>
      <c r="AD882" s="84"/>
      <c r="AE882" s="84"/>
      <c r="AF882" s="84"/>
      <c r="AG882" s="84"/>
      <c r="AH882" s="84"/>
      <c r="AI882" s="84"/>
      <c r="AJ882" s="84"/>
      <c r="AK882" s="84"/>
      <c r="AL882" s="84"/>
      <c r="AM882" s="84"/>
      <c r="AN882" s="84"/>
      <c r="AO882" s="84"/>
      <c r="AP882" s="84"/>
      <c r="AQ882" s="84"/>
      <c r="AR882" s="84"/>
      <c r="AS882" s="84"/>
      <c r="AT882" s="84"/>
      <c r="AU882" s="84"/>
      <c r="AV882" s="84"/>
      <c r="AW882" s="84"/>
      <c r="AX882" s="84"/>
    </row>
    <row r="883" spans="1:50" ht="16.5" customHeight="1">
      <c r="A883" s="83"/>
      <c r="B883" s="84"/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4"/>
      <c r="V883" s="84"/>
      <c r="W883" s="84"/>
      <c r="X883" s="84"/>
      <c r="Y883" s="84"/>
      <c r="Z883" s="84"/>
      <c r="AA883" s="84"/>
      <c r="AB883" s="84"/>
      <c r="AC883" s="84"/>
      <c r="AD883" s="84"/>
      <c r="AE883" s="84"/>
      <c r="AF883" s="84"/>
      <c r="AG883" s="84"/>
      <c r="AH883" s="84"/>
      <c r="AI883" s="84"/>
      <c r="AJ883" s="84"/>
      <c r="AK883" s="84"/>
      <c r="AL883" s="84"/>
      <c r="AM883" s="84"/>
      <c r="AN883" s="84"/>
      <c r="AO883" s="84"/>
      <c r="AP883" s="84"/>
      <c r="AQ883" s="84"/>
      <c r="AR883" s="84"/>
      <c r="AS883" s="84"/>
      <c r="AT883" s="84"/>
      <c r="AU883" s="84"/>
      <c r="AV883" s="84"/>
      <c r="AW883" s="84"/>
      <c r="AX883" s="84"/>
    </row>
    <row r="884" spans="1:50" ht="16.5" customHeight="1">
      <c r="A884" s="83"/>
      <c r="B884" s="84"/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4"/>
      <c r="V884" s="84"/>
      <c r="W884" s="84"/>
      <c r="X884" s="84"/>
      <c r="Y884" s="84"/>
      <c r="Z884" s="84"/>
      <c r="AA884" s="84"/>
      <c r="AB884" s="84"/>
      <c r="AC884" s="84"/>
      <c r="AD884" s="84"/>
      <c r="AE884" s="84"/>
      <c r="AF884" s="84"/>
      <c r="AG884" s="84"/>
      <c r="AH884" s="84"/>
      <c r="AI884" s="84"/>
      <c r="AJ884" s="84"/>
      <c r="AK884" s="84"/>
      <c r="AL884" s="84"/>
      <c r="AM884" s="84"/>
      <c r="AN884" s="84"/>
      <c r="AO884" s="84"/>
      <c r="AP884" s="84"/>
      <c r="AQ884" s="84"/>
      <c r="AR884" s="84"/>
      <c r="AS884" s="84"/>
      <c r="AT884" s="84"/>
      <c r="AU884" s="84"/>
      <c r="AV884" s="84"/>
      <c r="AW884" s="84"/>
      <c r="AX884" s="84"/>
    </row>
    <row r="885" spans="1:50" ht="16.5" customHeight="1">
      <c r="A885" s="83"/>
      <c r="B885" s="84"/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4"/>
      <c r="V885" s="84"/>
      <c r="W885" s="84"/>
      <c r="X885" s="84"/>
      <c r="Y885" s="84"/>
      <c r="Z885" s="84"/>
      <c r="AA885" s="84"/>
      <c r="AB885" s="84"/>
      <c r="AC885" s="84"/>
      <c r="AD885" s="84"/>
      <c r="AE885" s="84"/>
      <c r="AF885" s="84"/>
      <c r="AG885" s="84"/>
      <c r="AH885" s="84"/>
      <c r="AI885" s="84"/>
      <c r="AJ885" s="84"/>
      <c r="AK885" s="84"/>
      <c r="AL885" s="84"/>
      <c r="AM885" s="84"/>
      <c r="AN885" s="84"/>
      <c r="AO885" s="84"/>
      <c r="AP885" s="84"/>
      <c r="AQ885" s="84"/>
      <c r="AR885" s="84"/>
      <c r="AS885" s="84"/>
      <c r="AT885" s="84"/>
      <c r="AU885" s="84"/>
      <c r="AV885" s="84"/>
      <c r="AW885" s="84"/>
      <c r="AX885" s="84"/>
    </row>
    <row r="886" spans="1:50" ht="16.5" customHeight="1">
      <c r="A886" s="83"/>
      <c r="B886" s="84"/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4"/>
      <c r="V886" s="84"/>
      <c r="W886" s="84"/>
      <c r="X886" s="84"/>
      <c r="Y886" s="84"/>
      <c r="Z886" s="84"/>
      <c r="AA886" s="84"/>
      <c r="AB886" s="84"/>
      <c r="AC886" s="84"/>
      <c r="AD886" s="84"/>
      <c r="AE886" s="84"/>
      <c r="AF886" s="84"/>
      <c r="AG886" s="84"/>
      <c r="AH886" s="84"/>
      <c r="AI886" s="84"/>
      <c r="AJ886" s="84"/>
      <c r="AK886" s="84"/>
      <c r="AL886" s="84"/>
      <c r="AM886" s="84"/>
      <c r="AN886" s="84"/>
      <c r="AO886" s="84"/>
      <c r="AP886" s="84"/>
      <c r="AQ886" s="84"/>
      <c r="AR886" s="84"/>
      <c r="AS886" s="84"/>
      <c r="AT886" s="84"/>
      <c r="AU886" s="84"/>
      <c r="AV886" s="84"/>
      <c r="AW886" s="84"/>
      <c r="AX886" s="84"/>
    </row>
    <row r="887" spans="1:50" ht="16.5" customHeight="1">
      <c r="A887" s="83"/>
      <c r="B887" s="84"/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  <c r="S887" s="84"/>
      <c r="T887" s="84"/>
      <c r="U887" s="84"/>
      <c r="V887" s="84"/>
      <c r="W887" s="84"/>
      <c r="X887" s="84"/>
      <c r="Y887" s="84"/>
      <c r="Z887" s="84"/>
      <c r="AA887" s="84"/>
      <c r="AB887" s="84"/>
      <c r="AC887" s="84"/>
      <c r="AD887" s="84"/>
      <c r="AE887" s="84"/>
      <c r="AF887" s="84"/>
      <c r="AG887" s="84"/>
      <c r="AH887" s="84"/>
      <c r="AI887" s="84"/>
      <c r="AJ887" s="84"/>
      <c r="AK887" s="84"/>
      <c r="AL887" s="84"/>
      <c r="AM887" s="84"/>
      <c r="AN887" s="84"/>
      <c r="AO887" s="84"/>
      <c r="AP887" s="84"/>
      <c r="AQ887" s="84"/>
      <c r="AR887" s="84"/>
      <c r="AS887" s="84"/>
      <c r="AT887" s="84"/>
      <c r="AU887" s="84"/>
      <c r="AV887" s="84"/>
      <c r="AW887" s="84"/>
      <c r="AX887" s="84"/>
    </row>
    <row r="888" spans="1:50" ht="16.5" customHeight="1">
      <c r="A888" s="83"/>
      <c r="B888" s="84"/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4"/>
      <c r="V888" s="84"/>
      <c r="W888" s="84"/>
      <c r="X888" s="84"/>
      <c r="Y888" s="84"/>
      <c r="Z888" s="84"/>
      <c r="AA888" s="84"/>
      <c r="AB888" s="84"/>
      <c r="AC888" s="84"/>
      <c r="AD888" s="84"/>
      <c r="AE888" s="84"/>
      <c r="AF888" s="84"/>
      <c r="AG888" s="84"/>
      <c r="AH888" s="84"/>
      <c r="AI888" s="84"/>
      <c r="AJ888" s="84"/>
      <c r="AK888" s="84"/>
      <c r="AL888" s="84"/>
      <c r="AM888" s="84"/>
      <c r="AN888" s="84"/>
      <c r="AO888" s="84"/>
      <c r="AP888" s="84"/>
      <c r="AQ888" s="84"/>
      <c r="AR888" s="84"/>
      <c r="AS888" s="84"/>
      <c r="AT888" s="84"/>
      <c r="AU888" s="84"/>
      <c r="AV888" s="84"/>
      <c r="AW888" s="84"/>
      <c r="AX888" s="84"/>
    </row>
    <row r="889" spans="1:50" ht="16.5" customHeight="1">
      <c r="A889" s="83"/>
      <c r="B889" s="84"/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4"/>
      <c r="V889" s="84"/>
      <c r="W889" s="84"/>
      <c r="X889" s="84"/>
      <c r="Y889" s="84"/>
      <c r="Z889" s="84"/>
      <c r="AA889" s="84"/>
      <c r="AB889" s="84"/>
      <c r="AC889" s="84"/>
      <c r="AD889" s="84"/>
      <c r="AE889" s="84"/>
      <c r="AF889" s="84"/>
      <c r="AG889" s="84"/>
      <c r="AH889" s="84"/>
      <c r="AI889" s="84"/>
      <c r="AJ889" s="84"/>
      <c r="AK889" s="84"/>
      <c r="AL889" s="84"/>
      <c r="AM889" s="84"/>
      <c r="AN889" s="84"/>
      <c r="AO889" s="84"/>
      <c r="AP889" s="84"/>
      <c r="AQ889" s="84"/>
      <c r="AR889" s="84"/>
      <c r="AS889" s="84"/>
      <c r="AT889" s="84"/>
      <c r="AU889" s="84"/>
      <c r="AV889" s="84"/>
      <c r="AW889" s="84"/>
      <c r="AX889" s="84"/>
    </row>
    <row r="890" spans="1:50" ht="16.5" customHeight="1">
      <c r="A890" s="83"/>
      <c r="B890" s="84"/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4"/>
      <c r="V890" s="84"/>
      <c r="W890" s="84"/>
      <c r="X890" s="84"/>
      <c r="Y890" s="84"/>
      <c r="Z890" s="84"/>
      <c r="AA890" s="84"/>
      <c r="AB890" s="84"/>
      <c r="AC890" s="84"/>
      <c r="AD890" s="84"/>
      <c r="AE890" s="84"/>
      <c r="AF890" s="84"/>
      <c r="AG890" s="84"/>
      <c r="AH890" s="84"/>
      <c r="AI890" s="84"/>
      <c r="AJ890" s="84"/>
      <c r="AK890" s="84"/>
      <c r="AL890" s="84"/>
      <c r="AM890" s="84"/>
      <c r="AN890" s="84"/>
      <c r="AO890" s="84"/>
      <c r="AP890" s="84"/>
      <c r="AQ890" s="84"/>
      <c r="AR890" s="84"/>
      <c r="AS890" s="84"/>
      <c r="AT890" s="84"/>
      <c r="AU890" s="84"/>
      <c r="AV890" s="84"/>
      <c r="AW890" s="84"/>
      <c r="AX890" s="84"/>
    </row>
    <row r="891" spans="1:50" ht="16.5" customHeight="1">
      <c r="A891" s="83"/>
      <c r="B891" s="84"/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4"/>
      <c r="V891" s="84"/>
      <c r="W891" s="84"/>
      <c r="X891" s="84"/>
      <c r="Y891" s="84"/>
      <c r="Z891" s="84"/>
      <c r="AA891" s="84"/>
      <c r="AB891" s="84"/>
      <c r="AC891" s="84"/>
      <c r="AD891" s="84"/>
      <c r="AE891" s="84"/>
      <c r="AF891" s="84"/>
      <c r="AG891" s="84"/>
      <c r="AH891" s="84"/>
      <c r="AI891" s="84"/>
      <c r="AJ891" s="84"/>
      <c r="AK891" s="84"/>
      <c r="AL891" s="84"/>
      <c r="AM891" s="84"/>
      <c r="AN891" s="84"/>
      <c r="AO891" s="84"/>
      <c r="AP891" s="84"/>
      <c r="AQ891" s="84"/>
      <c r="AR891" s="84"/>
      <c r="AS891" s="84"/>
      <c r="AT891" s="84"/>
      <c r="AU891" s="84"/>
      <c r="AV891" s="84"/>
      <c r="AW891" s="84"/>
      <c r="AX891" s="84"/>
    </row>
    <row r="892" spans="1:50" ht="16.5" customHeight="1">
      <c r="A892" s="83"/>
      <c r="B892" s="84"/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4"/>
      <c r="V892" s="84"/>
      <c r="W892" s="84"/>
      <c r="X892" s="84"/>
      <c r="Y892" s="84"/>
      <c r="Z892" s="84"/>
      <c r="AA892" s="84"/>
      <c r="AB892" s="84"/>
      <c r="AC892" s="84"/>
      <c r="AD892" s="84"/>
      <c r="AE892" s="84"/>
      <c r="AF892" s="84"/>
      <c r="AG892" s="84"/>
      <c r="AH892" s="84"/>
      <c r="AI892" s="84"/>
      <c r="AJ892" s="84"/>
      <c r="AK892" s="84"/>
      <c r="AL892" s="84"/>
      <c r="AM892" s="84"/>
      <c r="AN892" s="84"/>
      <c r="AO892" s="84"/>
      <c r="AP892" s="84"/>
      <c r="AQ892" s="84"/>
      <c r="AR892" s="84"/>
      <c r="AS892" s="84"/>
      <c r="AT892" s="84"/>
      <c r="AU892" s="84"/>
      <c r="AV892" s="84"/>
      <c r="AW892" s="84"/>
      <c r="AX892" s="84"/>
    </row>
    <row r="893" spans="1:50" ht="16.5" customHeight="1">
      <c r="A893" s="83"/>
      <c r="B893" s="84"/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4"/>
      <c r="V893" s="84"/>
      <c r="W893" s="84"/>
      <c r="X893" s="84"/>
      <c r="Y893" s="84"/>
      <c r="Z893" s="84"/>
      <c r="AA893" s="84"/>
      <c r="AB893" s="84"/>
      <c r="AC893" s="84"/>
      <c r="AD893" s="84"/>
      <c r="AE893" s="84"/>
      <c r="AF893" s="84"/>
      <c r="AG893" s="84"/>
      <c r="AH893" s="84"/>
      <c r="AI893" s="84"/>
      <c r="AJ893" s="84"/>
      <c r="AK893" s="84"/>
      <c r="AL893" s="84"/>
      <c r="AM893" s="84"/>
      <c r="AN893" s="84"/>
      <c r="AO893" s="84"/>
      <c r="AP893" s="84"/>
      <c r="AQ893" s="84"/>
      <c r="AR893" s="84"/>
      <c r="AS893" s="84"/>
      <c r="AT893" s="84"/>
      <c r="AU893" s="84"/>
      <c r="AV893" s="84"/>
      <c r="AW893" s="84"/>
      <c r="AX893" s="84"/>
    </row>
    <row r="894" spans="1:50" ht="16.5" customHeight="1">
      <c r="A894" s="83"/>
      <c r="B894" s="84"/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4"/>
      <c r="V894" s="84"/>
      <c r="W894" s="84"/>
      <c r="X894" s="84"/>
      <c r="Y894" s="84"/>
      <c r="Z894" s="84"/>
      <c r="AA894" s="84"/>
      <c r="AB894" s="84"/>
      <c r="AC894" s="84"/>
      <c r="AD894" s="84"/>
      <c r="AE894" s="84"/>
      <c r="AF894" s="84"/>
      <c r="AG894" s="84"/>
      <c r="AH894" s="84"/>
      <c r="AI894" s="84"/>
      <c r="AJ894" s="84"/>
      <c r="AK894" s="84"/>
      <c r="AL894" s="84"/>
      <c r="AM894" s="84"/>
      <c r="AN894" s="84"/>
      <c r="AO894" s="84"/>
      <c r="AP894" s="84"/>
      <c r="AQ894" s="84"/>
      <c r="AR894" s="84"/>
      <c r="AS894" s="84"/>
      <c r="AT894" s="84"/>
      <c r="AU894" s="84"/>
      <c r="AV894" s="84"/>
      <c r="AW894" s="84"/>
      <c r="AX894" s="84"/>
    </row>
    <row r="895" spans="1:50" ht="16.5" customHeight="1">
      <c r="A895" s="83"/>
      <c r="B895" s="84"/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4"/>
      <c r="V895" s="84"/>
      <c r="W895" s="84"/>
      <c r="X895" s="84"/>
      <c r="Y895" s="84"/>
      <c r="Z895" s="84"/>
      <c r="AA895" s="84"/>
      <c r="AB895" s="84"/>
      <c r="AC895" s="84"/>
      <c r="AD895" s="84"/>
      <c r="AE895" s="84"/>
      <c r="AF895" s="84"/>
      <c r="AG895" s="84"/>
      <c r="AH895" s="84"/>
      <c r="AI895" s="84"/>
      <c r="AJ895" s="84"/>
      <c r="AK895" s="84"/>
      <c r="AL895" s="84"/>
      <c r="AM895" s="84"/>
      <c r="AN895" s="84"/>
      <c r="AO895" s="84"/>
      <c r="AP895" s="84"/>
      <c r="AQ895" s="84"/>
      <c r="AR895" s="84"/>
      <c r="AS895" s="84"/>
      <c r="AT895" s="84"/>
      <c r="AU895" s="84"/>
      <c r="AV895" s="84"/>
      <c r="AW895" s="84"/>
      <c r="AX895" s="84"/>
    </row>
    <row r="896" spans="1:50" ht="16.5" customHeight="1">
      <c r="A896" s="83"/>
      <c r="B896" s="84"/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4"/>
      <c r="V896" s="84"/>
      <c r="W896" s="84"/>
      <c r="X896" s="84"/>
      <c r="Y896" s="84"/>
      <c r="Z896" s="84"/>
      <c r="AA896" s="84"/>
      <c r="AB896" s="84"/>
      <c r="AC896" s="84"/>
      <c r="AD896" s="84"/>
      <c r="AE896" s="84"/>
      <c r="AF896" s="84"/>
      <c r="AG896" s="84"/>
      <c r="AH896" s="84"/>
      <c r="AI896" s="84"/>
      <c r="AJ896" s="84"/>
      <c r="AK896" s="84"/>
      <c r="AL896" s="84"/>
      <c r="AM896" s="84"/>
      <c r="AN896" s="84"/>
      <c r="AO896" s="84"/>
      <c r="AP896" s="84"/>
      <c r="AQ896" s="84"/>
      <c r="AR896" s="84"/>
      <c r="AS896" s="84"/>
      <c r="AT896" s="84"/>
      <c r="AU896" s="84"/>
      <c r="AV896" s="84"/>
      <c r="AW896" s="84"/>
      <c r="AX896" s="84"/>
    </row>
    <row r="897" spans="1:50" ht="16.5" customHeight="1">
      <c r="A897" s="83"/>
      <c r="B897" s="84"/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4"/>
      <c r="V897" s="84"/>
      <c r="W897" s="84"/>
      <c r="X897" s="84"/>
      <c r="Y897" s="84"/>
      <c r="Z897" s="84"/>
      <c r="AA897" s="84"/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  <c r="AP897" s="84"/>
      <c r="AQ897" s="84"/>
      <c r="AR897" s="84"/>
      <c r="AS897" s="84"/>
      <c r="AT897" s="84"/>
      <c r="AU897" s="84"/>
      <c r="AV897" s="84"/>
      <c r="AW897" s="84"/>
      <c r="AX897" s="84"/>
    </row>
    <row r="898" spans="1:50" ht="16.5" customHeight="1">
      <c r="A898" s="83"/>
      <c r="B898" s="84"/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4"/>
      <c r="V898" s="84"/>
      <c r="W898" s="84"/>
      <c r="X898" s="84"/>
      <c r="Y898" s="84"/>
      <c r="Z898" s="84"/>
      <c r="AA898" s="84"/>
      <c r="AB898" s="84"/>
      <c r="AC898" s="84"/>
      <c r="AD898" s="84"/>
      <c r="AE898" s="84"/>
      <c r="AF898" s="84"/>
      <c r="AG898" s="84"/>
      <c r="AH898" s="84"/>
      <c r="AI898" s="84"/>
      <c r="AJ898" s="84"/>
      <c r="AK898" s="84"/>
      <c r="AL898" s="84"/>
      <c r="AM898" s="84"/>
      <c r="AN898" s="84"/>
      <c r="AO898" s="84"/>
      <c r="AP898" s="84"/>
      <c r="AQ898" s="84"/>
      <c r="AR898" s="84"/>
      <c r="AS898" s="84"/>
      <c r="AT898" s="84"/>
      <c r="AU898" s="84"/>
      <c r="AV898" s="84"/>
      <c r="AW898" s="84"/>
      <c r="AX898" s="84"/>
    </row>
    <row r="899" spans="1:50" ht="16.5" customHeight="1">
      <c r="A899" s="83"/>
      <c r="B899" s="84"/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4"/>
      <c r="V899" s="84"/>
      <c r="W899" s="84"/>
      <c r="X899" s="84"/>
      <c r="Y899" s="84"/>
      <c r="Z899" s="84"/>
      <c r="AA899" s="84"/>
      <c r="AB899" s="84"/>
      <c r="AC899" s="84"/>
      <c r="AD899" s="84"/>
      <c r="AE899" s="84"/>
      <c r="AF899" s="84"/>
      <c r="AG899" s="84"/>
      <c r="AH899" s="84"/>
      <c r="AI899" s="84"/>
      <c r="AJ899" s="84"/>
      <c r="AK899" s="84"/>
      <c r="AL899" s="84"/>
      <c r="AM899" s="84"/>
      <c r="AN899" s="84"/>
      <c r="AO899" s="84"/>
      <c r="AP899" s="84"/>
      <c r="AQ899" s="84"/>
      <c r="AR899" s="84"/>
      <c r="AS899" s="84"/>
      <c r="AT899" s="84"/>
      <c r="AU899" s="84"/>
      <c r="AV899" s="84"/>
      <c r="AW899" s="84"/>
      <c r="AX899" s="84"/>
    </row>
    <row r="900" spans="1:50" ht="16.5" customHeight="1">
      <c r="A900" s="83"/>
      <c r="B900" s="84"/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4"/>
      <c r="V900" s="84"/>
      <c r="W900" s="84"/>
      <c r="X900" s="84"/>
      <c r="Y900" s="84"/>
      <c r="Z900" s="84"/>
      <c r="AA900" s="84"/>
      <c r="AB900" s="84"/>
      <c r="AC900" s="84"/>
      <c r="AD900" s="84"/>
      <c r="AE900" s="84"/>
      <c r="AF900" s="84"/>
      <c r="AG900" s="84"/>
      <c r="AH900" s="84"/>
      <c r="AI900" s="84"/>
      <c r="AJ900" s="84"/>
      <c r="AK900" s="84"/>
      <c r="AL900" s="84"/>
      <c r="AM900" s="84"/>
      <c r="AN900" s="84"/>
      <c r="AO900" s="84"/>
      <c r="AP900" s="84"/>
      <c r="AQ900" s="84"/>
      <c r="AR900" s="84"/>
      <c r="AS900" s="84"/>
      <c r="AT900" s="84"/>
      <c r="AU900" s="84"/>
      <c r="AV900" s="84"/>
      <c r="AW900" s="84"/>
      <c r="AX900" s="84"/>
    </row>
    <row r="901" spans="1:50" ht="16.5" customHeight="1">
      <c r="A901" s="83"/>
      <c r="B901" s="84"/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4"/>
      <c r="V901" s="84"/>
      <c r="W901" s="84"/>
      <c r="X901" s="84"/>
      <c r="Y901" s="84"/>
      <c r="Z901" s="84"/>
      <c r="AA901" s="84"/>
      <c r="AB901" s="84"/>
      <c r="AC901" s="84"/>
      <c r="AD901" s="84"/>
      <c r="AE901" s="84"/>
      <c r="AF901" s="84"/>
      <c r="AG901" s="84"/>
      <c r="AH901" s="84"/>
      <c r="AI901" s="84"/>
      <c r="AJ901" s="84"/>
      <c r="AK901" s="84"/>
      <c r="AL901" s="84"/>
      <c r="AM901" s="84"/>
      <c r="AN901" s="84"/>
      <c r="AO901" s="84"/>
      <c r="AP901" s="84"/>
      <c r="AQ901" s="84"/>
      <c r="AR901" s="84"/>
      <c r="AS901" s="84"/>
      <c r="AT901" s="84"/>
      <c r="AU901" s="84"/>
      <c r="AV901" s="84"/>
      <c r="AW901" s="84"/>
      <c r="AX901" s="84"/>
    </row>
    <row r="902" spans="1:50" ht="16.5" customHeight="1">
      <c r="A902" s="83"/>
      <c r="B902" s="84"/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4"/>
      <c r="V902" s="84"/>
      <c r="W902" s="84"/>
      <c r="X902" s="84"/>
      <c r="Y902" s="84"/>
      <c r="Z902" s="84"/>
      <c r="AA902" s="84"/>
      <c r="AB902" s="84"/>
      <c r="AC902" s="84"/>
      <c r="AD902" s="84"/>
      <c r="AE902" s="84"/>
      <c r="AF902" s="84"/>
      <c r="AG902" s="84"/>
      <c r="AH902" s="84"/>
      <c r="AI902" s="84"/>
      <c r="AJ902" s="84"/>
      <c r="AK902" s="84"/>
      <c r="AL902" s="84"/>
      <c r="AM902" s="84"/>
      <c r="AN902" s="84"/>
      <c r="AO902" s="84"/>
      <c r="AP902" s="84"/>
      <c r="AQ902" s="84"/>
      <c r="AR902" s="84"/>
      <c r="AS902" s="84"/>
      <c r="AT902" s="84"/>
      <c r="AU902" s="84"/>
      <c r="AV902" s="84"/>
      <c r="AW902" s="84"/>
      <c r="AX902" s="84"/>
    </row>
    <row r="903" spans="1:50" ht="16.5" customHeight="1">
      <c r="A903" s="83"/>
      <c r="B903" s="84"/>
      <c r="C903" s="84"/>
      <c r="D903" s="84"/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4"/>
      <c r="V903" s="84"/>
      <c r="W903" s="84"/>
      <c r="X903" s="84"/>
      <c r="Y903" s="84"/>
      <c r="Z903" s="84"/>
      <c r="AA903" s="84"/>
      <c r="AB903" s="84"/>
      <c r="AC903" s="84"/>
      <c r="AD903" s="84"/>
      <c r="AE903" s="84"/>
      <c r="AF903" s="84"/>
      <c r="AG903" s="84"/>
      <c r="AH903" s="84"/>
      <c r="AI903" s="84"/>
      <c r="AJ903" s="84"/>
      <c r="AK903" s="84"/>
      <c r="AL903" s="84"/>
      <c r="AM903" s="84"/>
      <c r="AN903" s="84"/>
      <c r="AO903" s="84"/>
      <c r="AP903" s="84"/>
      <c r="AQ903" s="84"/>
      <c r="AR903" s="84"/>
      <c r="AS903" s="84"/>
      <c r="AT903" s="84"/>
      <c r="AU903" s="84"/>
      <c r="AV903" s="84"/>
      <c r="AW903" s="84"/>
      <c r="AX903" s="84"/>
    </row>
    <row r="904" spans="1:50" ht="16.5" customHeight="1">
      <c r="A904" s="83"/>
      <c r="B904" s="84"/>
      <c r="C904" s="84"/>
      <c r="D904" s="84"/>
      <c r="E904" s="84"/>
      <c r="F904" s="84"/>
      <c r="G904" s="84"/>
      <c r="H904" s="84"/>
      <c r="I904" s="84"/>
      <c r="J904" s="84"/>
      <c r="K904" s="84"/>
      <c r="L904" s="84"/>
      <c r="M904" s="84"/>
      <c r="N904" s="84"/>
      <c r="O904" s="84"/>
      <c r="P904" s="84"/>
      <c r="Q904" s="84"/>
      <c r="R904" s="84"/>
      <c r="S904" s="84"/>
      <c r="T904" s="84"/>
      <c r="U904" s="84"/>
      <c r="V904" s="84"/>
      <c r="W904" s="84"/>
      <c r="X904" s="84"/>
      <c r="Y904" s="84"/>
      <c r="Z904" s="84"/>
      <c r="AA904" s="84"/>
      <c r="AB904" s="84"/>
      <c r="AC904" s="84"/>
      <c r="AD904" s="84"/>
      <c r="AE904" s="84"/>
      <c r="AF904" s="84"/>
      <c r="AG904" s="84"/>
      <c r="AH904" s="84"/>
      <c r="AI904" s="84"/>
      <c r="AJ904" s="84"/>
      <c r="AK904" s="84"/>
      <c r="AL904" s="84"/>
      <c r="AM904" s="84"/>
      <c r="AN904" s="84"/>
      <c r="AO904" s="84"/>
      <c r="AP904" s="84"/>
      <c r="AQ904" s="84"/>
      <c r="AR904" s="84"/>
      <c r="AS904" s="84"/>
      <c r="AT904" s="84"/>
      <c r="AU904" s="84"/>
      <c r="AV904" s="84"/>
      <c r="AW904" s="84"/>
      <c r="AX904" s="84"/>
    </row>
    <row r="905" spans="1:50" ht="16.5" customHeight="1">
      <c r="A905" s="83"/>
      <c r="B905" s="84"/>
      <c r="C905" s="84"/>
      <c r="D905" s="84"/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4"/>
      <c r="V905" s="84"/>
      <c r="W905" s="84"/>
      <c r="X905" s="84"/>
      <c r="Y905" s="84"/>
      <c r="Z905" s="84"/>
      <c r="AA905" s="84"/>
      <c r="AB905" s="84"/>
      <c r="AC905" s="84"/>
      <c r="AD905" s="84"/>
      <c r="AE905" s="84"/>
      <c r="AF905" s="84"/>
      <c r="AG905" s="84"/>
      <c r="AH905" s="84"/>
      <c r="AI905" s="84"/>
      <c r="AJ905" s="84"/>
      <c r="AK905" s="84"/>
      <c r="AL905" s="84"/>
      <c r="AM905" s="84"/>
      <c r="AN905" s="84"/>
      <c r="AO905" s="84"/>
      <c r="AP905" s="84"/>
      <c r="AQ905" s="84"/>
      <c r="AR905" s="84"/>
      <c r="AS905" s="84"/>
      <c r="AT905" s="84"/>
      <c r="AU905" s="84"/>
      <c r="AV905" s="84"/>
      <c r="AW905" s="84"/>
      <c r="AX905" s="84"/>
    </row>
    <row r="906" spans="1:50" ht="16.5" customHeight="1">
      <c r="A906" s="83"/>
      <c r="B906" s="84"/>
      <c r="C906" s="84"/>
      <c r="D906" s="84"/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4"/>
      <c r="V906" s="84"/>
      <c r="W906" s="84"/>
      <c r="X906" s="84"/>
      <c r="Y906" s="84"/>
      <c r="Z906" s="84"/>
      <c r="AA906" s="84"/>
      <c r="AB906" s="84"/>
      <c r="AC906" s="84"/>
      <c r="AD906" s="84"/>
      <c r="AE906" s="84"/>
      <c r="AF906" s="84"/>
      <c r="AG906" s="84"/>
      <c r="AH906" s="84"/>
      <c r="AI906" s="84"/>
      <c r="AJ906" s="84"/>
      <c r="AK906" s="84"/>
      <c r="AL906" s="84"/>
      <c r="AM906" s="84"/>
      <c r="AN906" s="84"/>
      <c r="AO906" s="84"/>
      <c r="AP906" s="84"/>
      <c r="AQ906" s="84"/>
      <c r="AR906" s="84"/>
      <c r="AS906" s="84"/>
      <c r="AT906" s="84"/>
      <c r="AU906" s="84"/>
      <c r="AV906" s="84"/>
      <c r="AW906" s="84"/>
      <c r="AX906" s="84"/>
    </row>
    <row r="907" spans="1:50" ht="16.5" customHeight="1">
      <c r="A907" s="83"/>
      <c r="B907" s="84"/>
      <c r="C907" s="84"/>
      <c r="D907" s="84"/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4"/>
      <c r="V907" s="84"/>
      <c r="W907" s="84"/>
      <c r="X907" s="84"/>
      <c r="Y907" s="84"/>
      <c r="Z907" s="84"/>
      <c r="AA907" s="84"/>
      <c r="AB907" s="84"/>
      <c r="AC907" s="84"/>
      <c r="AD907" s="84"/>
      <c r="AE907" s="84"/>
      <c r="AF907" s="84"/>
      <c r="AG907" s="84"/>
      <c r="AH907" s="84"/>
      <c r="AI907" s="84"/>
      <c r="AJ907" s="84"/>
      <c r="AK907" s="84"/>
      <c r="AL907" s="84"/>
      <c r="AM907" s="84"/>
      <c r="AN907" s="84"/>
      <c r="AO907" s="84"/>
      <c r="AP907" s="84"/>
      <c r="AQ907" s="84"/>
      <c r="AR907" s="84"/>
      <c r="AS907" s="84"/>
      <c r="AT907" s="84"/>
      <c r="AU907" s="84"/>
      <c r="AV907" s="84"/>
      <c r="AW907" s="84"/>
      <c r="AX907" s="84"/>
    </row>
    <row r="908" spans="1:50" ht="16.5" customHeight="1">
      <c r="A908" s="83"/>
      <c r="B908" s="84"/>
      <c r="C908" s="84"/>
      <c r="D908" s="84"/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4"/>
      <c r="V908" s="84"/>
      <c r="W908" s="84"/>
      <c r="X908" s="84"/>
      <c r="Y908" s="84"/>
      <c r="Z908" s="84"/>
      <c r="AA908" s="84"/>
      <c r="AB908" s="84"/>
      <c r="AC908" s="84"/>
      <c r="AD908" s="84"/>
      <c r="AE908" s="84"/>
      <c r="AF908" s="84"/>
      <c r="AG908" s="84"/>
      <c r="AH908" s="84"/>
      <c r="AI908" s="84"/>
      <c r="AJ908" s="84"/>
      <c r="AK908" s="84"/>
      <c r="AL908" s="84"/>
      <c r="AM908" s="84"/>
      <c r="AN908" s="84"/>
      <c r="AO908" s="84"/>
      <c r="AP908" s="84"/>
      <c r="AQ908" s="84"/>
      <c r="AR908" s="84"/>
      <c r="AS908" s="84"/>
      <c r="AT908" s="84"/>
      <c r="AU908" s="84"/>
      <c r="AV908" s="84"/>
      <c r="AW908" s="84"/>
      <c r="AX908" s="84"/>
    </row>
    <row r="909" spans="1:50" ht="16.5" customHeight="1">
      <c r="A909" s="83"/>
      <c r="B909" s="84"/>
      <c r="C909" s="84"/>
      <c r="D909" s="84"/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4"/>
      <c r="V909" s="84"/>
      <c r="W909" s="84"/>
      <c r="X909" s="84"/>
      <c r="Y909" s="84"/>
      <c r="Z909" s="84"/>
      <c r="AA909" s="84"/>
      <c r="AB909" s="84"/>
      <c r="AC909" s="84"/>
      <c r="AD909" s="84"/>
      <c r="AE909" s="84"/>
      <c r="AF909" s="84"/>
      <c r="AG909" s="84"/>
      <c r="AH909" s="84"/>
      <c r="AI909" s="84"/>
      <c r="AJ909" s="84"/>
      <c r="AK909" s="84"/>
      <c r="AL909" s="84"/>
      <c r="AM909" s="84"/>
      <c r="AN909" s="84"/>
      <c r="AO909" s="84"/>
      <c r="AP909" s="84"/>
      <c r="AQ909" s="84"/>
      <c r="AR909" s="84"/>
      <c r="AS909" s="84"/>
      <c r="AT909" s="84"/>
      <c r="AU909" s="84"/>
      <c r="AV909" s="84"/>
      <c r="AW909" s="84"/>
      <c r="AX909" s="84"/>
    </row>
    <row r="910" spans="1:50" ht="16.5" customHeight="1">
      <c r="A910" s="83"/>
      <c r="B910" s="84"/>
      <c r="C910" s="84"/>
      <c r="D910" s="84"/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4"/>
      <c r="V910" s="84"/>
      <c r="W910" s="84"/>
      <c r="X910" s="84"/>
      <c r="Y910" s="84"/>
      <c r="Z910" s="84"/>
      <c r="AA910" s="84"/>
      <c r="AB910" s="84"/>
      <c r="AC910" s="84"/>
      <c r="AD910" s="84"/>
      <c r="AE910" s="84"/>
      <c r="AF910" s="84"/>
      <c r="AG910" s="84"/>
      <c r="AH910" s="84"/>
      <c r="AI910" s="84"/>
      <c r="AJ910" s="84"/>
      <c r="AK910" s="84"/>
      <c r="AL910" s="84"/>
      <c r="AM910" s="84"/>
      <c r="AN910" s="84"/>
      <c r="AO910" s="84"/>
      <c r="AP910" s="84"/>
      <c r="AQ910" s="84"/>
      <c r="AR910" s="84"/>
      <c r="AS910" s="84"/>
      <c r="AT910" s="84"/>
      <c r="AU910" s="84"/>
      <c r="AV910" s="84"/>
      <c r="AW910" s="84"/>
      <c r="AX910" s="84"/>
    </row>
    <row r="911" spans="1:50" ht="16.5" customHeight="1">
      <c r="A911" s="83"/>
      <c r="B911" s="84"/>
      <c r="C911" s="84"/>
      <c r="D911" s="84"/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4"/>
      <c r="V911" s="84"/>
      <c r="W911" s="84"/>
      <c r="X911" s="84"/>
      <c r="Y911" s="84"/>
      <c r="Z911" s="84"/>
      <c r="AA911" s="84"/>
      <c r="AB911" s="84"/>
      <c r="AC911" s="84"/>
      <c r="AD911" s="84"/>
      <c r="AE911" s="84"/>
      <c r="AF911" s="84"/>
      <c r="AG911" s="84"/>
      <c r="AH911" s="84"/>
      <c r="AI911" s="84"/>
      <c r="AJ911" s="84"/>
      <c r="AK911" s="84"/>
      <c r="AL911" s="84"/>
      <c r="AM911" s="84"/>
      <c r="AN911" s="84"/>
      <c r="AO911" s="84"/>
      <c r="AP911" s="84"/>
      <c r="AQ911" s="84"/>
      <c r="AR911" s="84"/>
      <c r="AS911" s="84"/>
      <c r="AT911" s="84"/>
      <c r="AU911" s="84"/>
      <c r="AV911" s="84"/>
      <c r="AW911" s="84"/>
      <c r="AX911" s="84"/>
    </row>
    <row r="912" spans="1:50" ht="16.5" customHeight="1">
      <c r="A912" s="83"/>
      <c r="B912" s="84"/>
      <c r="C912" s="84"/>
      <c r="D912" s="84"/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4"/>
      <c r="V912" s="84"/>
      <c r="W912" s="84"/>
      <c r="X912" s="84"/>
      <c r="Y912" s="84"/>
      <c r="Z912" s="84"/>
      <c r="AA912" s="84"/>
      <c r="AB912" s="84"/>
      <c r="AC912" s="84"/>
      <c r="AD912" s="84"/>
      <c r="AE912" s="84"/>
      <c r="AF912" s="84"/>
      <c r="AG912" s="84"/>
      <c r="AH912" s="84"/>
      <c r="AI912" s="84"/>
      <c r="AJ912" s="84"/>
      <c r="AK912" s="84"/>
      <c r="AL912" s="84"/>
      <c r="AM912" s="84"/>
      <c r="AN912" s="84"/>
      <c r="AO912" s="84"/>
      <c r="AP912" s="84"/>
      <c r="AQ912" s="84"/>
      <c r="AR912" s="84"/>
      <c r="AS912" s="84"/>
      <c r="AT912" s="84"/>
      <c r="AU912" s="84"/>
      <c r="AV912" s="84"/>
      <c r="AW912" s="84"/>
      <c r="AX912" s="84"/>
    </row>
    <row r="913" spans="1:50" ht="16.5" customHeight="1">
      <c r="A913" s="83"/>
      <c r="B913" s="84"/>
      <c r="C913" s="84"/>
      <c r="D913" s="84"/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4"/>
      <c r="V913" s="84"/>
      <c r="W913" s="84"/>
      <c r="X913" s="84"/>
      <c r="Y913" s="84"/>
      <c r="Z913" s="84"/>
      <c r="AA913" s="84"/>
      <c r="AB913" s="84"/>
      <c r="AC913" s="84"/>
      <c r="AD913" s="84"/>
      <c r="AE913" s="84"/>
      <c r="AF913" s="84"/>
      <c r="AG913" s="84"/>
      <c r="AH913" s="84"/>
      <c r="AI913" s="84"/>
      <c r="AJ913" s="84"/>
      <c r="AK913" s="84"/>
      <c r="AL913" s="84"/>
      <c r="AM913" s="84"/>
      <c r="AN913" s="84"/>
      <c r="AO913" s="84"/>
      <c r="AP913" s="84"/>
      <c r="AQ913" s="84"/>
      <c r="AR913" s="84"/>
      <c r="AS913" s="84"/>
      <c r="AT913" s="84"/>
      <c r="AU913" s="84"/>
      <c r="AV913" s="84"/>
      <c r="AW913" s="84"/>
      <c r="AX913" s="84"/>
    </row>
    <row r="914" spans="1:50" ht="16.5" customHeight="1">
      <c r="A914" s="83"/>
      <c r="B914" s="84"/>
      <c r="C914" s="84"/>
      <c r="D914" s="84"/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4"/>
      <c r="V914" s="84"/>
      <c r="W914" s="84"/>
      <c r="X914" s="84"/>
      <c r="Y914" s="84"/>
      <c r="Z914" s="84"/>
      <c r="AA914" s="84"/>
      <c r="AB914" s="84"/>
      <c r="AC914" s="84"/>
      <c r="AD914" s="84"/>
      <c r="AE914" s="84"/>
      <c r="AF914" s="84"/>
      <c r="AG914" s="84"/>
      <c r="AH914" s="84"/>
      <c r="AI914" s="84"/>
      <c r="AJ914" s="84"/>
      <c r="AK914" s="84"/>
      <c r="AL914" s="84"/>
      <c r="AM914" s="84"/>
      <c r="AN914" s="84"/>
      <c r="AO914" s="84"/>
      <c r="AP914" s="84"/>
      <c r="AQ914" s="84"/>
      <c r="AR914" s="84"/>
      <c r="AS914" s="84"/>
      <c r="AT914" s="84"/>
      <c r="AU914" s="84"/>
      <c r="AV914" s="84"/>
      <c r="AW914" s="84"/>
      <c r="AX914" s="84"/>
    </row>
    <row r="915" spans="1:50" ht="16.5" customHeight="1">
      <c r="A915" s="83"/>
      <c r="B915" s="84"/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4"/>
      <c r="V915" s="84"/>
      <c r="W915" s="84"/>
      <c r="X915" s="84"/>
      <c r="Y915" s="84"/>
      <c r="Z915" s="84"/>
      <c r="AA915" s="84"/>
      <c r="AB915" s="84"/>
      <c r="AC915" s="84"/>
      <c r="AD915" s="84"/>
      <c r="AE915" s="84"/>
      <c r="AF915" s="84"/>
      <c r="AG915" s="84"/>
      <c r="AH915" s="84"/>
      <c r="AI915" s="84"/>
      <c r="AJ915" s="84"/>
      <c r="AK915" s="84"/>
      <c r="AL915" s="84"/>
      <c r="AM915" s="84"/>
      <c r="AN915" s="84"/>
      <c r="AO915" s="84"/>
      <c r="AP915" s="84"/>
      <c r="AQ915" s="84"/>
      <c r="AR915" s="84"/>
      <c r="AS915" s="84"/>
      <c r="AT915" s="84"/>
      <c r="AU915" s="84"/>
      <c r="AV915" s="84"/>
      <c r="AW915" s="84"/>
      <c r="AX915" s="84"/>
    </row>
    <row r="916" spans="1:50" ht="16.5" customHeight="1">
      <c r="A916" s="83"/>
      <c r="B916" s="84"/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4"/>
      <c r="V916" s="84"/>
      <c r="W916" s="84"/>
      <c r="X916" s="84"/>
      <c r="Y916" s="84"/>
      <c r="Z916" s="84"/>
      <c r="AA916" s="84"/>
      <c r="AB916" s="84"/>
      <c r="AC916" s="84"/>
      <c r="AD916" s="84"/>
      <c r="AE916" s="84"/>
      <c r="AF916" s="84"/>
      <c r="AG916" s="84"/>
      <c r="AH916" s="84"/>
      <c r="AI916" s="84"/>
      <c r="AJ916" s="84"/>
      <c r="AK916" s="84"/>
      <c r="AL916" s="84"/>
      <c r="AM916" s="84"/>
      <c r="AN916" s="84"/>
      <c r="AO916" s="84"/>
      <c r="AP916" s="84"/>
      <c r="AQ916" s="84"/>
      <c r="AR916" s="84"/>
      <c r="AS916" s="84"/>
      <c r="AT916" s="84"/>
      <c r="AU916" s="84"/>
      <c r="AV916" s="84"/>
      <c r="AW916" s="84"/>
      <c r="AX916" s="84"/>
    </row>
    <row r="917" spans="1:50" ht="16.5" customHeight="1">
      <c r="A917" s="83"/>
      <c r="B917" s="84"/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4"/>
      <c r="V917" s="84"/>
      <c r="W917" s="84"/>
      <c r="X917" s="84"/>
      <c r="Y917" s="84"/>
      <c r="Z917" s="84"/>
      <c r="AA917" s="84"/>
      <c r="AB917" s="84"/>
      <c r="AC917" s="84"/>
      <c r="AD917" s="84"/>
      <c r="AE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  <c r="AP917" s="84"/>
      <c r="AQ917" s="84"/>
      <c r="AR917" s="84"/>
      <c r="AS917" s="84"/>
      <c r="AT917" s="84"/>
      <c r="AU917" s="84"/>
      <c r="AV917" s="84"/>
      <c r="AW917" s="84"/>
      <c r="AX917" s="84"/>
    </row>
    <row r="918" spans="1:50" ht="16.5" customHeight="1">
      <c r="A918" s="83"/>
      <c r="B918" s="84"/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4"/>
      <c r="V918" s="84"/>
      <c r="W918" s="84"/>
      <c r="X918" s="84"/>
      <c r="Y918" s="84"/>
      <c r="Z918" s="84"/>
      <c r="AA918" s="84"/>
      <c r="AB918" s="84"/>
      <c r="AC918" s="84"/>
      <c r="AD918" s="84"/>
      <c r="AE918" s="84"/>
      <c r="AF918" s="84"/>
      <c r="AG918" s="84"/>
      <c r="AH918" s="84"/>
      <c r="AI918" s="84"/>
      <c r="AJ918" s="84"/>
      <c r="AK918" s="84"/>
      <c r="AL918" s="84"/>
      <c r="AM918" s="84"/>
      <c r="AN918" s="84"/>
      <c r="AO918" s="84"/>
      <c r="AP918" s="84"/>
      <c r="AQ918" s="84"/>
      <c r="AR918" s="84"/>
      <c r="AS918" s="84"/>
      <c r="AT918" s="84"/>
      <c r="AU918" s="84"/>
      <c r="AV918" s="84"/>
      <c r="AW918" s="84"/>
      <c r="AX918" s="84"/>
    </row>
    <row r="919" spans="1:50" ht="16.5" customHeight="1">
      <c r="A919" s="83"/>
      <c r="B919" s="84"/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4"/>
      <c r="V919" s="84"/>
      <c r="W919" s="84"/>
      <c r="X919" s="84"/>
      <c r="Y919" s="84"/>
      <c r="Z919" s="84"/>
      <c r="AA919" s="84"/>
      <c r="AB919" s="84"/>
      <c r="AC919" s="84"/>
      <c r="AD919" s="84"/>
      <c r="AE919" s="84"/>
      <c r="AF919" s="84"/>
      <c r="AG919" s="84"/>
      <c r="AH919" s="84"/>
      <c r="AI919" s="84"/>
      <c r="AJ919" s="84"/>
      <c r="AK919" s="84"/>
      <c r="AL919" s="84"/>
      <c r="AM919" s="84"/>
      <c r="AN919" s="84"/>
      <c r="AO919" s="84"/>
      <c r="AP919" s="84"/>
      <c r="AQ919" s="84"/>
      <c r="AR919" s="84"/>
      <c r="AS919" s="84"/>
      <c r="AT919" s="84"/>
      <c r="AU919" s="84"/>
      <c r="AV919" s="84"/>
      <c r="AW919" s="84"/>
      <c r="AX919" s="84"/>
    </row>
    <row r="920" spans="1:50" ht="16.5" customHeight="1">
      <c r="A920" s="83"/>
      <c r="B920" s="84"/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4"/>
      <c r="V920" s="84"/>
      <c r="W920" s="84"/>
      <c r="X920" s="84"/>
      <c r="Y920" s="84"/>
      <c r="Z920" s="84"/>
      <c r="AA920" s="84"/>
      <c r="AB920" s="84"/>
      <c r="AC920" s="84"/>
      <c r="AD920" s="84"/>
      <c r="AE920" s="84"/>
      <c r="AF920" s="84"/>
      <c r="AG920" s="84"/>
      <c r="AH920" s="84"/>
      <c r="AI920" s="84"/>
      <c r="AJ920" s="84"/>
      <c r="AK920" s="84"/>
      <c r="AL920" s="84"/>
      <c r="AM920" s="84"/>
      <c r="AN920" s="84"/>
      <c r="AO920" s="84"/>
      <c r="AP920" s="84"/>
      <c r="AQ920" s="84"/>
      <c r="AR920" s="84"/>
      <c r="AS920" s="84"/>
      <c r="AT920" s="84"/>
      <c r="AU920" s="84"/>
      <c r="AV920" s="84"/>
      <c r="AW920" s="84"/>
      <c r="AX920" s="84"/>
    </row>
    <row r="921" spans="1:50" ht="16.5" customHeight="1">
      <c r="A921" s="83"/>
      <c r="B921" s="84"/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  <c r="S921" s="84"/>
      <c r="T921" s="84"/>
      <c r="U921" s="84"/>
      <c r="V921" s="84"/>
      <c r="W921" s="84"/>
      <c r="X921" s="84"/>
      <c r="Y921" s="84"/>
      <c r="Z921" s="84"/>
      <c r="AA921" s="84"/>
      <c r="AB921" s="84"/>
      <c r="AC921" s="84"/>
      <c r="AD921" s="84"/>
      <c r="AE921" s="84"/>
      <c r="AF921" s="84"/>
      <c r="AG921" s="84"/>
      <c r="AH921" s="84"/>
      <c r="AI921" s="84"/>
      <c r="AJ921" s="84"/>
      <c r="AK921" s="84"/>
      <c r="AL921" s="84"/>
      <c r="AM921" s="84"/>
      <c r="AN921" s="84"/>
      <c r="AO921" s="84"/>
      <c r="AP921" s="84"/>
      <c r="AQ921" s="84"/>
      <c r="AR921" s="84"/>
      <c r="AS921" s="84"/>
      <c r="AT921" s="84"/>
      <c r="AU921" s="84"/>
      <c r="AV921" s="84"/>
      <c r="AW921" s="84"/>
      <c r="AX921" s="84"/>
    </row>
    <row r="922" spans="1:50" ht="16.5" customHeight="1">
      <c r="A922" s="83"/>
      <c r="B922" s="84"/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4"/>
      <c r="V922" s="84"/>
      <c r="W922" s="84"/>
      <c r="X922" s="84"/>
      <c r="Y922" s="84"/>
      <c r="Z922" s="84"/>
      <c r="AA922" s="84"/>
      <c r="AB922" s="84"/>
      <c r="AC922" s="84"/>
      <c r="AD922" s="84"/>
      <c r="AE922" s="84"/>
      <c r="AF922" s="84"/>
      <c r="AG922" s="84"/>
      <c r="AH922" s="84"/>
      <c r="AI922" s="84"/>
      <c r="AJ922" s="84"/>
      <c r="AK922" s="84"/>
      <c r="AL922" s="84"/>
      <c r="AM922" s="84"/>
      <c r="AN922" s="84"/>
      <c r="AO922" s="84"/>
      <c r="AP922" s="84"/>
      <c r="AQ922" s="84"/>
      <c r="AR922" s="84"/>
      <c r="AS922" s="84"/>
      <c r="AT922" s="84"/>
      <c r="AU922" s="84"/>
      <c r="AV922" s="84"/>
      <c r="AW922" s="84"/>
      <c r="AX922" s="84"/>
    </row>
    <row r="923" spans="1:50" ht="16.5" customHeight="1">
      <c r="A923" s="83"/>
      <c r="B923" s="84"/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4"/>
      <c r="V923" s="84"/>
      <c r="W923" s="84"/>
      <c r="X923" s="84"/>
      <c r="Y923" s="84"/>
      <c r="Z923" s="84"/>
      <c r="AA923" s="84"/>
      <c r="AB923" s="84"/>
      <c r="AC923" s="84"/>
      <c r="AD923" s="84"/>
      <c r="AE923" s="84"/>
      <c r="AF923" s="84"/>
      <c r="AG923" s="84"/>
      <c r="AH923" s="84"/>
      <c r="AI923" s="84"/>
      <c r="AJ923" s="84"/>
      <c r="AK923" s="84"/>
      <c r="AL923" s="84"/>
      <c r="AM923" s="84"/>
      <c r="AN923" s="84"/>
      <c r="AO923" s="84"/>
      <c r="AP923" s="84"/>
      <c r="AQ923" s="84"/>
      <c r="AR923" s="84"/>
      <c r="AS923" s="84"/>
      <c r="AT923" s="84"/>
      <c r="AU923" s="84"/>
      <c r="AV923" s="84"/>
      <c r="AW923" s="84"/>
      <c r="AX923" s="84"/>
    </row>
    <row r="924" spans="1:50" ht="16.5" customHeight="1">
      <c r="A924" s="83"/>
      <c r="B924" s="84"/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4"/>
      <c r="V924" s="84"/>
      <c r="W924" s="84"/>
      <c r="X924" s="84"/>
      <c r="Y924" s="84"/>
      <c r="Z924" s="84"/>
      <c r="AA924" s="84"/>
      <c r="AB924" s="84"/>
      <c r="AC924" s="84"/>
      <c r="AD924" s="84"/>
      <c r="AE924" s="84"/>
      <c r="AF924" s="84"/>
      <c r="AG924" s="84"/>
      <c r="AH924" s="84"/>
      <c r="AI924" s="84"/>
      <c r="AJ924" s="84"/>
      <c r="AK924" s="84"/>
      <c r="AL924" s="84"/>
      <c r="AM924" s="84"/>
      <c r="AN924" s="84"/>
      <c r="AO924" s="84"/>
      <c r="AP924" s="84"/>
      <c r="AQ924" s="84"/>
      <c r="AR924" s="84"/>
      <c r="AS924" s="84"/>
      <c r="AT924" s="84"/>
      <c r="AU924" s="84"/>
      <c r="AV924" s="84"/>
      <c r="AW924" s="84"/>
      <c r="AX924" s="84"/>
    </row>
    <row r="925" spans="1:50" ht="16.5" customHeight="1">
      <c r="A925" s="83"/>
      <c r="B925" s="84"/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4"/>
      <c r="V925" s="84"/>
      <c r="W925" s="84"/>
      <c r="X925" s="84"/>
      <c r="Y925" s="84"/>
      <c r="Z925" s="84"/>
      <c r="AA925" s="84"/>
      <c r="AB925" s="84"/>
      <c r="AC925" s="84"/>
      <c r="AD925" s="84"/>
      <c r="AE925" s="84"/>
      <c r="AF925" s="84"/>
      <c r="AG925" s="84"/>
      <c r="AH925" s="84"/>
      <c r="AI925" s="84"/>
      <c r="AJ925" s="84"/>
      <c r="AK925" s="84"/>
      <c r="AL925" s="84"/>
      <c r="AM925" s="84"/>
      <c r="AN925" s="84"/>
      <c r="AO925" s="84"/>
      <c r="AP925" s="84"/>
      <c r="AQ925" s="84"/>
      <c r="AR925" s="84"/>
      <c r="AS925" s="84"/>
      <c r="AT925" s="84"/>
      <c r="AU925" s="84"/>
      <c r="AV925" s="84"/>
      <c r="AW925" s="84"/>
      <c r="AX925" s="84"/>
    </row>
    <row r="926" spans="1:50" ht="16.5" customHeight="1">
      <c r="A926" s="83"/>
      <c r="B926" s="84"/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4"/>
      <c r="V926" s="84"/>
      <c r="W926" s="84"/>
      <c r="X926" s="84"/>
      <c r="Y926" s="84"/>
      <c r="Z926" s="84"/>
      <c r="AA926" s="84"/>
      <c r="AB926" s="84"/>
      <c r="AC926" s="84"/>
      <c r="AD926" s="84"/>
      <c r="AE926" s="84"/>
      <c r="AF926" s="84"/>
      <c r="AG926" s="84"/>
      <c r="AH926" s="84"/>
      <c r="AI926" s="84"/>
      <c r="AJ926" s="84"/>
      <c r="AK926" s="84"/>
      <c r="AL926" s="84"/>
      <c r="AM926" s="84"/>
      <c r="AN926" s="84"/>
      <c r="AO926" s="84"/>
      <c r="AP926" s="84"/>
      <c r="AQ926" s="84"/>
      <c r="AR926" s="84"/>
      <c r="AS926" s="84"/>
      <c r="AT926" s="84"/>
      <c r="AU926" s="84"/>
      <c r="AV926" s="84"/>
      <c r="AW926" s="84"/>
      <c r="AX926" s="84"/>
    </row>
    <row r="927" spans="1:50" ht="16.5" customHeight="1">
      <c r="A927" s="83"/>
      <c r="B927" s="84"/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4"/>
      <c r="V927" s="84"/>
      <c r="W927" s="84"/>
      <c r="X927" s="84"/>
      <c r="Y927" s="84"/>
      <c r="Z927" s="84"/>
      <c r="AA927" s="84"/>
      <c r="AB927" s="84"/>
      <c r="AC927" s="84"/>
      <c r="AD927" s="84"/>
      <c r="AE927" s="84"/>
      <c r="AF927" s="84"/>
      <c r="AG927" s="84"/>
      <c r="AH927" s="84"/>
      <c r="AI927" s="84"/>
      <c r="AJ927" s="84"/>
      <c r="AK927" s="84"/>
      <c r="AL927" s="84"/>
      <c r="AM927" s="84"/>
      <c r="AN927" s="84"/>
      <c r="AO927" s="84"/>
      <c r="AP927" s="84"/>
      <c r="AQ927" s="84"/>
      <c r="AR927" s="84"/>
      <c r="AS927" s="84"/>
      <c r="AT927" s="84"/>
      <c r="AU927" s="84"/>
      <c r="AV927" s="84"/>
      <c r="AW927" s="84"/>
      <c r="AX927" s="84"/>
    </row>
    <row r="928" spans="1:50" ht="16.5" customHeight="1">
      <c r="A928" s="83"/>
      <c r="B928" s="84"/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4"/>
      <c r="V928" s="84"/>
      <c r="W928" s="84"/>
      <c r="X928" s="84"/>
      <c r="Y928" s="84"/>
      <c r="Z928" s="84"/>
      <c r="AA928" s="84"/>
      <c r="AB928" s="84"/>
      <c r="AC928" s="84"/>
      <c r="AD928" s="84"/>
      <c r="AE928" s="84"/>
      <c r="AF928" s="84"/>
      <c r="AG928" s="84"/>
      <c r="AH928" s="84"/>
      <c r="AI928" s="84"/>
      <c r="AJ928" s="84"/>
      <c r="AK928" s="84"/>
      <c r="AL928" s="84"/>
      <c r="AM928" s="84"/>
      <c r="AN928" s="84"/>
      <c r="AO928" s="84"/>
      <c r="AP928" s="84"/>
      <c r="AQ928" s="84"/>
      <c r="AR928" s="84"/>
      <c r="AS928" s="84"/>
      <c r="AT928" s="84"/>
      <c r="AU928" s="84"/>
      <c r="AV928" s="84"/>
      <c r="AW928" s="84"/>
      <c r="AX928" s="84"/>
    </row>
    <row r="929" spans="1:50" ht="16.5" customHeight="1">
      <c r="A929" s="83"/>
      <c r="B929" s="84"/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4"/>
      <c r="V929" s="84"/>
      <c r="W929" s="84"/>
      <c r="X929" s="84"/>
      <c r="Y929" s="84"/>
      <c r="Z929" s="84"/>
      <c r="AA929" s="84"/>
      <c r="AB929" s="84"/>
      <c r="AC929" s="84"/>
      <c r="AD929" s="84"/>
      <c r="AE929" s="84"/>
      <c r="AF929" s="84"/>
      <c r="AG929" s="84"/>
      <c r="AH929" s="84"/>
      <c r="AI929" s="84"/>
      <c r="AJ929" s="84"/>
      <c r="AK929" s="84"/>
      <c r="AL929" s="84"/>
      <c r="AM929" s="84"/>
      <c r="AN929" s="84"/>
      <c r="AO929" s="84"/>
      <c r="AP929" s="84"/>
      <c r="AQ929" s="84"/>
      <c r="AR929" s="84"/>
      <c r="AS929" s="84"/>
      <c r="AT929" s="84"/>
      <c r="AU929" s="84"/>
      <c r="AV929" s="84"/>
      <c r="AW929" s="84"/>
      <c r="AX929" s="84"/>
    </row>
    <row r="930" spans="1:50" ht="16.5" customHeight="1">
      <c r="A930" s="83"/>
      <c r="B930" s="84"/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4"/>
      <c r="V930" s="84"/>
      <c r="W930" s="84"/>
      <c r="X930" s="84"/>
      <c r="Y930" s="84"/>
      <c r="Z930" s="84"/>
      <c r="AA930" s="84"/>
      <c r="AB930" s="84"/>
      <c r="AC930" s="84"/>
      <c r="AD930" s="84"/>
      <c r="AE930" s="84"/>
      <c r="AF930" s="84"/>
      <c r="AG930" s="84"/>
      <c r="AH930" s="84"/>
      <c r="AI930" s="84"/>
      <c r="AJ930" s="84"/>
      <c r="AK930" s="84"/>
      <c r="AL930" s="84"/>
      <c r="AM930" s="84"/>
      <c r="AN930" s="84"/>
      <c r="AO930" s="84"/>
      <c r="AP930" s="84"/>
      <c r="AQ930" s="84"/>
      <c r="AR930" s="84"/>
      <c r="AS930" s="84"/>
      <c r="AT930" s="84"/>
      <c r="AU930" s="84"/>
      <c r="AV930" s="84"/>
      <c r="AW930" s="84"/>
      <c r="AX930" s="84"/>
    </row>
    <row r="931" spans="1:50" ht="16.5" customHeight="1">
      <c r="A931" s="83"/>
      <c r="B931" s="84"/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4"/>
      <c r="V931" s="84"/>
      <c r="W931" s="84"/>
      <c r="X931" s="84"/>
      <c r="Y931" s="84"/>
      <c r="Z931" s="84"/>
      <c r="AA931" s="84"/>
      <c r="AB931" s="84"/>
      <c r="AC931" s="84"/>
      <c r="AD931" s="84"/>
      <c r="AE931" s="84"/>
      <c r="AF931" s="84"/>
      <c r="AG931" s="84"/>
      <c r="AH931" s="84"/>
      <c r="AI931" s="84"/>
      <c r="AJ931" s="84"/>
      <c r="AK931" s="84"/>
      <c r="AL931" s="84"/>
      <c r="AM931" s="84"/>
      <c r="AN931" s="84"/>
      <c r="AO931" s="84"/>
      <c r="AP931" s="84"/>
      <c r="AQ931" s="84"/>
      <c r="AR931" s="84"/>
      <c r="AS931" s="84"/>
      <c r="AT931" s="84"/>
      <c r="AU931" s="84"/>
      <c r="AV931" s="84"/>
      <c r="AW931" s="84"/>
      <c r="AX931" s="84"/>
    </row>
    <row r="932" spans="1:50" ht="16.5" customHeight="1">
      <c r="A932" s="83"/>
      <c r="B932" s="84"/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4"/>
      <c r="V932" s="84"/>
      <c r="W932" s="84"/>
      <c r="X932" s="84"/>
      <c r="Y932" s="84"/>
      <c r="Z932" s="84"/>
      <c r="AA932" s="84"/>
      <c r="AB932" s="84"/>
      <c r="AC932" s="84"/>
      <c r="AD932" s="84"/>
      <c r="AE932" s="84"/>
      <c r="AF932" s="84"/>
      <c r="AG932" s="84"/>
      <c r="AH932" s="84"/>
      <c r="AI932" s="84"/>
      <c r="AJ932" s="84"/>
      <c r="AK932" s="84"/>
      <c r="AL932" s="84"/>
      <c r="AM932" s="84"/>
      <c r="AN932" s="84"/>
      <c r="AO932" s="84"/>
      <c r="AP932" s="84"/>
      <c r="AQ932" s="84"/>
      <c r="AR932" s="84"/>
      <c r="AS932" s="84"/>
      <c r="AT932" s="84"/>
      <c r="AU932" s="84"/>
      <c r="AV932" s="84"/>
      <c r="AW932" s="84"/>
      <c r="AX932" s="84"/>
    </row>
    <row r="933" spans="1:50" ht="16.5" customHeight="1">
      <c r="A933" s="83"/>
      <c r="B933" s="84"/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4"/>
      <c r="V933" s="84"/>
      <c r="W933" s="84"/>
      <c r="X933" s="84"/>
      <c r="Y933" s="84"/>
      <c r="Z933" s="84"/>
      <c r="AA933" s="84"/>
      <c r="AB933" s="84"/>
      <c r="AC933" s="84"/>
      <c r="AD933" s="84"/>
      <c r="AE933" s="84"/>
      <c r="AF933" s="84"/>
      <c r="AG933" s="84"/>
      <c r="AH933" s="84"/>
      <c r="AI933" s="84"/>
      <c r="AJ933" s="84"/>
      <c r="AK933" s="84"/>
      <c r="AL933" s="84"/>
      <c r="AM933" s="84"/>
      <c r="AN933" s="84"/>
      <c r="AO933" s="84"/>
      <c r="AP933" s="84"/>
      <c r="AQ933" s="84"/>
      <c r="AR933" s="84"/>
      <c r="AS933" s="84"/>
      <c r="AT933" s="84"/>
      <c r="AU933" s="84"/>
      <c r="AV933" s="84"/>
      <c r="AW933" s="84"/>
      <c r="AX933" s="84"/>
    </row>
    <row r="934" spans="1:50" ht="16.5" customHeight="1">
      <c r="A934" s="83"/>
      <c r="B934" s="84"/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4"/>
      <c r="V934" s="84"/>
      <c r="W934" s="84"/>
      <c r="X934" s="84"/>
      <c r="Y934" s="84"/>
      <c r="Z934" s="84"/>
      <c r="AA934" s="84"/>
      <c r="AB934" s="84"/>
      <c r="AC934" s="84"/>
      <c r="AD934" s="84"/>
      <c r="AE934" s="84"/>
      <c r="AF934" s="84"/>
      <c r="AG934" s="84"/>
      <c r="AH934" s="84"/>
      <c r="AI934" s="84"/>
      <c r="AJ934" s="84"/>
      <c r="AK934" s="84"/>
      <c r="AL934" s="84"/>
      <c r="AM934" s="84"/>
      <c r="AN934" s="84"/>
      <c r="AO934" s="84"/>
      <c r="AP934" s="84"/>
      <c r="AQ934" s="84"/>
      <c r="AR934" s="84"/>
      <c r="AS934" s="84"/>
      <c r="AT934" s="84"/>
      <c r="AU934" s="84"/>
      <c r="AV934" s="84"/>
      <c r="AW934" s="84"/>
      <c r="AX934" s="84"/>
    </row>
    <row r="935" spans="1:50" ht="16.5" customHeight="1">
      <c r="A935" s="83"/>
      <c r="B935" s="84"/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4"/>
      <c r="V935" s="84"/>
      <c r="W935" s="84"/>
      <c r="X935" s="84"/>
      <c r="Y935" s="84"/>
      <c r="Z935" s="84"/>
      <c r="AA935" s="84"/>
      <c r="AB935" s="84"/>
      <c r="AC935" s="84"/>
      <c r="AD935" s="84"/>
      <c r="AE935" s="84"/>
      <c r="AF935" s="84"/>
      <c r="AG935" s="84"/>
      <c r="AH935" s="84"/>
      <c r="AI935" s="84"/>
      <c r="AJ935" s="84"/>
      <c r="AK935" s="84"/>
      <c r="AL935" s="84"/>
      <c r="AM935" s="84"/>
      <c r="AN935" s="84"/>
      <c r="AO935" s="84"/>
      <c r="AP935" s="84"/>
      <c r="AQ935" s="84"/>
      <c r="AR935" s="84"/>
      <c r="AS935" s="84"/>
      <c r="AT935" s="84"/>
      <c r="AU935" s="84"/>
      <c r="AV935" s="84"/>
      <c r="AW935" s="84"/>
      <c r="AX935" s="84"/>
    </row>
    <row r="936" spans="1:50" ht="16.5" customHeight="1">
      <c r="A936" s="83"/>
      <c r="B936" s="84"/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4"/>
      <c r="V936" s="84"/>
      <c r="W936" s="84"/>
      <c r="X936" s="84"/>
      <c r="Y936" s="84"/>
      <c r="Z936" s="84"/>
      <c r="AA936" s="84"/>
      <c r="AB936" s="84"/>
      <c r="AC936" s="84"/>
      <c r="AD936" s="84"/>
      <c r="AE936" s="84"/>
      <c r="AF936" s="84"/>
      <c r="AG936" s="84"/>
      <c r="AH936" s="84"/>
      <c r="AI936" s="84"/>
      <c r="AJ936" s="84"/>
      <c r="AK936" s="84"/>
      <c r="AL936" s="84"/>
      <c r="AM936" s="84"/>
      <c r="AN936" s="84"/>
      <c r="AO936" s="84"/>
      <c r="AP936" s="84"/>
      <c r="AQ936" s="84"/>
      <c r="AR936" s="84"/>
      <c r="AS936" s="84"/>
      <c r="AT936" s="84"/>
      <c r="AU936" s="84"/>
      <c r="AV936" s="84"/>
      <c r="AW936" s="84"/>
      <c r="AX936" s="84"/>
    </row>
    <row r="937" spans="1:50" ht="16.5" customHeight="1">
      <c r="A937" s="83"/>
      <c r="B937" s="84"/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4"/>
      <c r="V937" s="84"/>
      <c r="W937" s="84"/>
      <c r="X937" s="84"/>
      <c r="Y937" s="84"/>
      <c r="Z937" s="84"/>
      <c r="AA937" s="84"/>
      <c r="AB937" s="84"/>
      <c r="AC937" s="84"/>
      <c r="AD937" s="84"/>
      <c r="AE937" s="84"/>
      <c r="AF937" s="84"/>
      <c r="AG937" s="84"/>
      <c r="AH937" s="84"/>
      <c r="AI937" s="84"/>
      <c r="AJ937" s="84"/>
      <c r="AK937" s="84"/>
      <c r="AL937" s="84"/>
      <c r="AM937" s="84"/>
      <c r="AN937" s="84"/>
      <c r="AO937" s="84"/>
      <c r="AP937" s="84"/>
      <c r="AQ937" s="84"/>
      <c r="AR937" s="84"/>
      <c r="AS937" s="84"/>
      <c r="AT937" s="84"/>
      <c r="AU937" s="84"/>
      <c r="AV937" s="84"/>
      <c r="AW937" s="84"/>
      <c r="AX937" s="84"/>
    </row>
    <row r="938" spans="1:50" ht="16.5" customHeight="1">
      <c r="A938" s="83"/>
      <c r="B938" s="84"/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  <c r="S938" s="84"/>
      <c r="T938" s="84"/>
      <c r="U938" s="84"/>
      <c r="V938" s="84"/>
      <c r="W938" s="84"/>
      <c r="X938" s="84"/>
      <c r="Y938" s="84"/>
      <c r="Z938" s="84"/>
      <c r="AA938" s="84"/>
      <c r="AB938" s="84"/>
      <c r="AC938" s="84"/>
      <c r="AD938" s="84"/>
      <c r="AE938" s="84"/>
      <c r="AF938" s="84"/>
      <c r="AG938" s="84"/>
      <c r="AH938" s="84"/>
      <c r="AI938" s="84"/>
      <c r="AJ938" s="84"/>
      <c r="AK938" s="84"/>
      <c r="AL938" s="84"/>
      <c r="AM938" s="84"/>
      <c r="AN938" s="84"/>
      <c r="AO938" s="84"/>
      <c r="AP938" s="84"/>
      <c r="AQ938" s="84"/>
      <c r="AR938" s="84"/>
      <c r="AS938" s="84"/>
      <c r="AT938" s="84"/>
      <c r="AU938" s="84"/>
      <c r="AV938" s="84"/>
      <c r="AW938" s="84"/>
      <c r="AX938" s="84"/>
    </row>
    <row r="939" spans="1:50" ht="16.5" customHeight="1">
      <c r="A939" s="83"/>
      <c r="B939" s="84"/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4"/>
      <c r="V939" s="84"/>
      <c r="W939" s="84"/>
      <c r="X939" s="84"/>
      <c r="Y939" s="84"/>
      <c r="Z939" s="84"/>
      <c r="AA939" s="84"/>
      <c r="AB939" s="84"/>
      <c r="AC939" s="84"/>
      <c r="AD939" s="84"/>
      <c r="AE939" s="84"/>
      <c r="AF939" s="84"/>
      <c r="AG939" s="84"/>
      <c r="AH939" s="84"/>
      <c r="AI939" s="84"/>
      <c r="AJ939" s="84"/>
      <c r="AK939" s="84"/>
      <c r="AL939" s="84"/>
      <c r="AM939" s="84"/>
      <c r="AN939" s="84"/>
      <c r="AO939" s="84"/>
      <c r="AP939" s="84"/>
      <c r="AQ939" s="84"/>
      <c r="AR939" s="84"/>
      <c r="AS939" s="84"/>
      <c r="AT939" s="84"/>
      <c r="AU939" s="84"/>
      <c r="AV939" s="84"/>
      <c r="AW939" s="84"/>
      <c r="AX939" s="84"/>
    </row>
    <row r="940" spans="1:50" ht="16.5" customHeight="1">
      <c r="A940" s="83"/>
      <c r="B940" s="84"/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4"/>
      <c r="V940" s="84"/>
      <c r="W940" s="84"/>
      <c r="X940" s="84"/>
      <c r="Y940" s="84"/>
      <c r="Z940" s="84"/>
      <c r="AA940" s="84"/>
      <c r="AB940" s="84"/>
      <c r="AC940" s="84"/>
      <c r="AD940" s="84"/>
      <c r="AE940" s="84"/>
      <c r="AF940" s="84"/>
      <c r="AG940" s="84"/>
      <c r="AH940" s="84"/>
      <c r="AI940" s="84"/>
      <c r="AJ940" s="84"/>
      <c r="AK940" s="84"/>
      <c r="AL940" s="84"/>
      <c r="AM940" s="84"/>
      <c r="AN940" s="84"/>
      <c r="AO940" s="84"/>
      <c r="AP940" s="84"/>
      <c r="AQ940" s="84"/>
      <c r="AR940" s="84"/>
      <c r="AS940" s="84"/>
      <c r="AT940" s="84"/>
      <c r="AU940" s="84"/>
      <c r="AV940" s="84"/>
      <c r="AW940" s="84"/>
      <c r="AX940" s="84"/>
    </row>
    <row r="941" spans="1:50" ht="16.5" customHeight="1">
      <c r="A941" s="83"/>
      <c r="B941" s="84"/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  <c r="AE941" s="84"/>
      <c r="AF941" s="84"/>
      <c r="AG941" s="84"/>
      <c r="AH941" s="84"/>
      <c r="AI941" s="84"/>
      <c r="AJ941" s="84"/>
      <c r="AK941" s="84"/>
      <c r="AL941" s="84"/>
      <c r="AM941" s="84"/>
      <c r="AN941" s="84"/>
      <c r="AO941" s="84"/>
      <c r="AP941" s="84"/>
      <c r="AQ941" s="84"/>
      <c r="AR941" s="84"/>
      <c r="AS941" s="84"/>
      <c r="AT941" s="84"/>
      <c r="AU941" s="84"/>
      <c r="AV941" s="84"/>
      <c r="AW941" s="84"/>
      <c r="AX941" s="84"/>
    </row>
    <row r="942" spans="1:50" ht="16.5" customHeight="1">
      <c r="A942" s="83"/>
      <c r="B942" s="84"/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4"/>
      <c r="V942" s="84"/>
      <c r="W942" s="84"/>
      <c r="X942" s="84"/>
      <c r="Y942" s="84"/>
      <c r="Z942" s="84"/>
      <c r="AA942" s="84"/>
      <c r="AB942" s="84"/>
      <c r="AC942" s="84"/>
      <c r="AD942" s="84"/>
      <c r="AE942" s="84"/>
      <c r="AF942" s="84"/>
      <c r="AG942" s="84"/>
      <c r="AH942" s="84"/>
      <c r="AI942" s="84"/>
      <c r="AJ942" s="84"/>
      <c r="AK942" s="84"/>
      <c r="AL942" s="84"/>
      <c r="AM942" s="84"/>
      <c r="AN942" s="84"/>
      <c r="AO942" s="84"/>
      <c r="AP942" s="84"/>
      <c r="AQ942" s="84"/>
      <c r="AR942" s="84"/>
      <c r="AS942" s="84"/>
      <c r="AT942" s="84"/>
      <c r="AU942" s="84"/>
      <c r="AV942" s="84"/>
      <c r="AW942" s="84"/>
      <c r="AX942" s="84"/>
    </row>
    <row r="943" spans="1:50" ht="16.5" customHeight="1">
      <c r="A943" s="83"/>
      <c r="B943" s="84"/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  <c r="W943" s="84"/>
      <c r="X943" s="84"/>
      <c r="Y943" s="84"/>
      <c r="Z943" s="84"/>
      <c r="AA943" s="84"/>
      <c r="AB943" s="84"/>
      <c r="AC943" s="84"/>
      <c r="AD943" s="84"/>
      <c r="AE943" s="84"/>
      <c r="AF943" s="84"/>
      <c r="AG943" s="84"/>
      <c r="AH943" s="84"/>
      <c r="AI943" s="84"/>
      <c r="AJ943" s="84"/>
      <c r="AK943" s="84"/>
      <c r="AL943" s="84"/>
      <c r="AM943" s="84"/>
      <c r="AN943" s="84"/>
      <c r="AO943" s="84"/>
      <c r="AP943" s="84"/>
      <c r="AQ943" s="84"/>
      <c r="AR943" s="84"/>
      <c r="AS943" s="84"/>
      <c r="AT943" s="84"/>
      <c r="AU943" s="84"/>
      <c r="AV943" s="84"/>
      <c r="AW943" s="84"/>
      <c r="AX943" s="84"/>
    </row>
    <row r="944" spans="1:50" ht="16.5" customHeight="1">
      <c r="A944" s="83"/>
      <c r="B944" s="84"/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  <c r="W944" s="84"/>
      <c r="X944" s="84"/>
      <c r="Y944" s="84"/>
      <c r="Z944" s="84"/>
      <c r="AA944" s="84"/>
      <c r="AB944" s="84"/>
      <c r="AC944" s="84"/>
      <c r="AD944" s="84"/>
      <c r="AE944" s="84"/>
      <c r="AF944" s="84"/>
      <c r="AG944" s="84"/>
      <c r="AH944" s="84"/>
      <c r="AI944" s="84"/>
      <c r="AJ944" s="84"/>
      <c r="AK944" s="84"/>
      <c r="AL944" s="84"/>
      <c r="AM944" s="84"/>
      <c r="AN944" s="84"/>
      <c r="AO944" s="84"/>
      <c r="AP944" s="84"/>
      <c r="AQ944" s="84"/>
      <c r="AR944" s="84"/>
      <c r="AS944" s="84"/>
      <c r="AT944" s="84"/>
      <c r="AU944" s="84"/>
      <c r="AV944" s="84"/>
      <c r="AW944" s="84"/>
      <c r="AX944" s="84"/>
    </row>
    <row r="945" spans="1:50" ht="16.5" customHeight="1">
      <c r="A945" s="83"/>
      <c r="B945" s="84"/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4"/>
      <c r="V945" s="84"/>
      <c r="W945" s="84"/>
      <c r="X945" s="84"/>
      <c r="Y945" s="84"/>
      <c r="Z945" s="84"/>
      <c r="AA945" s="84"/>
      <c r="AB945" s="84"/>
      <c r="AC945" s="84"/>
      <c r="AD945" s="84"/>
      <c r="AE945" s="84"/>
      <c r="AF945" s="84"/>
      <c r="AG945" s="84"/>
      <c r="AH945" s="84"/>
      <c r="AI945" s="84"/>
      <c r="AJ945" s="84"/>
      <c r="AK945" s="84"/>
      <c r="AL945" s="84"/>
      <c r="AM945" s="84"/>
      <c r="AN945" s="84"/>
      <c r="AO945" s="84"/>
      <c r="AP945" s="84"/>
      <c r="AQ945" s="84"/>
      <c r="AR945" s="84"/>
      <c r="AS945" s="84"/>
      <c r="AT945" s="84"/>
      <c r="AU945" s="84"/>
      <c r="AV945" s="84"/>
      <c r="AW945" s="84"/>
      <c r="AX945" s="84"/>
    </row>
    <row r="946" spans="1:50" ht="16.5" customHeight="1">
      <c r="A946" s="83"/>
      <c r="B946" s="84"/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4"/>
      <c r="V946" s="84"/>
      <c r="W946" s="84"/>
      <c r="X946" s="84"/>
      <c r="Y946" s="84"/>
      <c r="Z946" s="84"/>
      <c r="AA946" s="84"/>
      <c r="AB946" s="84"/>
      <c r="AC946" s="84"/>
      <c r="AD946" s="84"/>
      <c r="AE946" s="84"/>
      <c r="AF946" s="84"/>
      <c r="AG946" s="84"/>
      <c r="AH946" s="84"/>
      <c r="AI946" s="84"/>
      <c r="AJ946" s="84"/>
      <c r="AK946" s="84"/>
      <c r="AL946" s="84"/>
      <c r="AM946" s="84"/>
      <c r="AN946" s="84"/>
      <c r="AO946" s="84"/>
      <c r="AP946" s="84"/>
      <c r="AQ946" s="84"/>
      <c r="AR946" s="84"/>
      <c r="AS946" s="84"/>
      <c r="AT946" s="84"/>
      <c r="AU946" s="84"/>
      <c r="AV946" s="84"/>
      <c r="AW946" s="84"/>
      <c r="AX946" s="84"/>
    </row>
    <row r="947" spans="1:50" ht="16.5" customHeight="1">
      <c r="A947" s="83"/>
      <c r="B947" s="84"/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4"/>
      <c r="V947" s="84"/>
      <c r="W947" s="84"/>
      <c r="X947" s="84"/>
      <c r="Y947" s="84"/>
      <c r="Z947" s="84"/>
      <c r="AA947" s="84"/>
      <c r="AB947" s="84"/>
      <c r="AC947" s="84"/>
      <c r="AD947" s="84"/>
      <c r="AE947" s="84"/>
      <c r="AF947" s="84"/>
      <c r="AG947" s="84"/>
      <c r="AH947" s="84"/>
      <c r="AI947" s="84"/>
      <c r="AJ947" s="84"/>
      <c r="AK947" s="84"/>
      <c r="AL947" s="84"/>
      <c r="AM947" s="84"/>
      <c r="AN947" s="84"/>
      <c r="AO947" s="84"/>
      <c r="AP947" s="84"/>
      <c r="AQ947" s="84"/>
      <c r="AR947" s="84"/>
      <c r="AS947" s="84"/>
      <c r="AT947" s="84"/>
      <c r="AU947" s="84"/>
      <c r="AV947" s="84"/>
      <c r="AW947" s="84"/>
      <c r="AX947" s="84"/>
    </row>
    <row r="948" spans="1:50" ht="16.5" customHeight="1">
      <c r="A948" s="83"/>
      <c r="B948" s="84"/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4"/>
      <c r="V948" s="84"/>
      <c r="W948" s="84"/>
      <c r="X948" s="84"/>
      <c r="Y948" s="84"/>
      <c r="Z948" s="84"/>
      <c r="AA948" s="84"/>
      <c r="AB948" s="84"/>
      <c r="AC948" s="84"/>
      <c r="AD948" s="84"/>
      <c r="AE948" s="84"/>
      <c r="AF948" s="84"/>
      <c r="AG948" s="84"/>
      <c r="AH948" s="84"/>
      <c r="AI948" s="84"/>
      <c r="AJ948" s="84"/>
      <c r="AK948" s="84"/>
      <c r="AL948" s="84"/>
      <c r="AM948" s="84"/>
      <c r="AN948" s="84"/>
      <c r="AO948" s="84"/>
      <c r="AP948" s="84"/>
      <c r="AQ948" s="84"/>
      <c r="AR948" s="84"/>
      <c r="AS948" s="84"/>
      <c r="AT948" s="84"/>
      <c r="AU948" s="84"/>
      <c r="AV948" s="84"/>
      <c r="AW948" s="84"/>
      <c r="AX948" s="84"/>
    </row>
    <row r="949" spans="1:50" ht="16.5" customHeight="1">
      <c r="A949" s="83"/>
      <c r="B949" s="84"/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4"/>
      <c r="V949" s="84"/>
      <c r="W949" s="84"/>
      <c r="X949" s="84"/>
      <c r="Y949" s="84"/>
      <c r="Z949" s="84"/>
      <c r="AA949" s="84"/>
      <c r="AB949" s="84"/>
      <c r="AC949" s="84"/>
      <c r="AD949" s="84"/>
      <c r="AE949" s="84"/>
      <c r="AF949" s="84"/>
      <c r="AG949" s="84"/>
      <c r="AH949" s="84"/>
      <c r="AI949" s="84"/>
      <c r="AJ949" s="84"/>
      <c r="AK949" s="84"/>
      <c r="AL949" s="84"/>
      <c r="AM949" s="84"/>
      <c r="AN949" s="84"/>
      <c r="AO949" s="84"/>
      <c r="AP949" s="84"/>
      <c r="AQ949" s="84"/>
      <c r="AR949" s="84"/>
      <c r="AS949" s="84"/>
      <c r="AT949" s="84"/>
      <c r="AU949" s="84"/>
      <c r="AV949" s="84"/>
      <c r="AW949" s="84"/>
      <c r="AX949" s="84"/>
    </row>
    <row r="950" spans="1:50" ht="16.5" customHeight="1">
      <c r="A950" s="83"/>
      <c r="B950" s="84"/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4"/>
      <c r="V950" s="84"/>
      <c r="W950" s="84"/>
      <c r="X950" s="84"/>
      <c r="Y950" s="84"/>
      <c r="Z950" s="84"/>
      <c r="AA950" s="84"/>
      <c r="AB950" s="84"/>
      <c r="AC950" s="84"/>
      <c r="AD950" s="84"/>
      <c r="AE950" s="84"/>
      <c r="AF950" s="84"/>
      <c r="AG950" s="84"/>
      <c r="AH950" s="84"/>
      <c r="AI950" s="84"/>
      <c r="AJ950" s="84"/>
      <c r="AK950" s="84"/>
      <c r="AL950" s="84"/>
      <c r="AM950" s="84"/>
      <c r="AN950" s="84"/>
      <c r="AO950" s="84"/>
      <c r="AP950" s="84"/>
      <c r="AQ950" s="84"/>
      <c r="AR950" s="84"/>
      <c r="AS950" s="84"/>
      <c r="AT950" s="84"/>
      <c r="AU950" s="84"/>
      <c r="AV950" s="84"/>
      <c r="AW950" s="84"/>
      <c r="AX950" s="84"/>
    </row>
    <row r="951" spans="1:50" ht="16.5" customHeight="1">
      <c r="A951" s="83"/>
      <c r="B951" s="84"/>
      <c r="C951" s="84"/>
      <c r="D951" s="84"/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  <c r="Y951" s="84"/>
      <c r="Z951" s="84"/>
      <c r="AA951" s="84"/>
      <c r="AB951" s="84"/>
      <c r="AC951" s="84"/>
      <c r="AD951" s="84"/>
      <c r="AE951" s="84"/>
      <c r="AF951" s="84"/>
      <c r="AG951" s="84"/>
      <c r="AH951" s="84"/>
      <c r="AI951" s="84"/>
      <c r="AJ951" s="84"/>
      <c r="AK951" s="84"/>
      <c r="AL951" s="84"/>
      <c r="AM951" s="84"/>
      <c r="AN951" s="84"/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</row>
    <row r="952" spans="1:50" ht="16.5" customHeight="1">
      <c r="A952" s="83"/>
      <c r="B952" s="84"/>
      <c r="C952" s="84"/>
      <c r="D952" s="84"/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4"/>
      <c r="V952" s="84"/>
      <c r="W952" s="84"/>
      <c r="X952" s="84"/>
      <c r="Y952" s="84"/>
      <c r="Z952" s="84"/>
      <c r="AA952" s="84"/>
      <c r="AB952" s="84"/>
      <c r="AC952" s="84"/>
      <c r="AD952" s="84"/>
      <c r="AE952" s="84"/>
      <c r="AF952" s="84"/>
      <c r="AG952" s="84"/>
      <c r="AH952" s="84"/>
      <c r="AI952" s="84"/>
      <c r="AJ952" s="84"/>
      <c r="AK952" s="84"/>
      <c r="AL952" s="84"/>
      <c r="AM952" s="84"/>
      <c r="AN952" s="84"/>
      <c r="AO952" s="84"/>
      <c r="AP952" s="84"/>
      <c r="AQ952" s="84"/>
      <c r="AR952" s="84"/>
      <c r="AS952" s="84"/>
      <c r="AT952" s="84"/>
      <c r="AU952" s="84"/>
      <c r="AV952" s="84"/>
      <c r="AW952" s="84"/>
      <c r="AX952" s="84"/>
    </row>
    <row r="953" spans="1:50" ht="16.5" customHeight="1">
      <c r="A953" s="83"/>
      <c r="B953" s="84"/>
      <c r="C953" s="84"/>
      <c r="D953" s="84"/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V953" s="84"/>
      <c r="W953" s="84"/>
      <c r="X953" s="84"/>
      <c r="Y953" s="84"/>
      <c r="Z953" s="84"/>
      <c r="AA953" s="84"/>
      <c r="AB953" s="84"/>
      <c r="AC953" s="84"/>
      <c r="AD953" s="84"/>
      <c r="AE953" s="84"/>
      <c r="AF953" s="84"/>
      <c r="AG953" s="84"/>
      <c r="AH953" s="84"/>
      <c r="AI953" s="84"/>
      <c r="AJ953" s="84"/>
      <c r="AK953" s="84"/>
      <c r="AL953" s="84"/>
      <c r="AM953" s="84"/>
      <c r="AN953" s="84"/>
      <c r="AO953" s="84"/>
      <c r="AP953" s="84"/>
      <c r="AQ953" s="84"/>
      <c r="AR953" s="84"/>
      <c r="AS953" s="84"/>
      <c r="AT953" s="84"/>
      <c r="AU953" s="84"/>
      <c r="AV953" s="84"/>
      <c r="AW953" s="84"/>
      <c r="AX953" s="84"/>
    </row>
    <row r="954" spans="1:50" ht="16.5" customHeight="1">
      <c r="A954" s="83"/>
      <c r="B954" s="84"/>
      <c r="C954" s="84"/>
      <c r="D954" s="84"/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4"/>
      <c r="V954" s="84"/>
      <c r="W954" s="84"/>
      <c r="X954" s="84"/>
      <c r="Y954" s="84"/>
      <c r="Z954" s="84"/>
      <c r="AA954" s="84"/>
      <c r="AB954" s="84"/>
      <c r="AC954" s="84"/>
      <c r="AD954" s="84"/>
      <c r="AE954" s="84"/>
      <c r="AF954" s="84"/>
      <c r="AG954" s="84"/>
      <c r="AH954" s="84"/>
      <c r="AI954" s="84"/>
      <c r="AJ954" s="84"/>
      <c r="AK954" s="84"/>
      <c r="AL954" s="84"/>
      <c r="AM954" s="84"/>
      <c r="AN954" s="84"/>
      <c r="AO954" s="84"/>
      <c r="AP954" s="84"/>
      <c r="AQ954" s="84"/>
      <c r="AR954" s="84"/>
      <c r="AS954" s="84"/>
      <c r="AT954" s="84"/>
      <c r="AU954" s="84"/>
      <c r="AV954" s="84"/>
      <c r="AW954" s="84"/>
      <c r="AX954" s="84"/>
    </row>
    <row r="955" spans="1:50" ht="16.5" customHeight="1">
      <c r="A955" s="83"/>
      <c r="B955" s="84"/>
      <c r="C955" s="84"/>
      <c r="D955" s="84"/>
      <c r="E955" s="84"/>
      <c r="F955" s="84"/>
      <c r="G955" s="84"/>
      <c r="H955" s="84"/>
      <c r="I955" s="84"/>
      <c r="J955" s="84"/>
      <c r="K955" s="84"/>
      <c r="L955" s="84"/>
      <c r="M955" s="84"/>
      <c r="N955" s="84"/>
      <c r="O955" s="84"/>
      <c r="P955" s="84"/>
      <c r="Q955" s="84"/>
      <c r="R955" s="84"/>
      <c r="S955" s="84"/>
      <c r="T955" s="84"/>
      <c r="U955" s="84"/>
      <c r="V955" s="84"/>
      <c r="W955" s="84"/>
      <c r="X955" s="84"/>
      <c r="Y955" s="84"/>
      <c r="Z955" s="84"/>
      <c r="AA955" s="84"/>
      <c r="AB955" s="84"/>
      <c r="AC955" s="84"/>
      <c r="AD955" s="84"/>
      <c r="AE955" s="84"/>
      <c r="AF955" s="84"/>
      <c r="AG955" s="84"/>
      <c r="AH955" s="84"/>
      <c r="AI955" s="84"/>
      <c r="AJ955" s="84"/>
      <c r="AK955" s="84"/>
      <c r="AL955" s="84"/>
      <c r="AM955" s="84"/>
      <c r="AN955" s="84"/>
      <c r="AO955" s="84"/>
      <c r="AP955" s="84"/>
      <c r="AQ955" s="84"/>
      <c r="AR955" s="84"/>
      <c r="AS955" s="84"/>
      <c r="AT955" s="84"/>
      <c r="AU955" s="84"/>
      <c r="AV955" s="84"/>
      <c r="AW955" s="84"/>
      <c r="AX955" s="84"/>
    </row>
    <row r="956" spans="1:50" ht="16.5" customHeight="1">
      <c r="A956" s="83"/>
      <c r="B956" s="84"/>
      <c r="C956" s="84"/>
      <c r="D956" s="84"/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4"/>
      <c r="V956" s="84"/>
      <c r="W956" s="84"/>
      <c r="X956" s="84"/>
      <c r="Y956" s="84"/>
      <c r="Z956" s="84"/>
      <c r="AA956" s="84"/>
      <c r="AB956" s="84"/>
      <c r="AC956" s="84"/>
      <c r="AD956" s="84"/>
      <c r="AE956" s="84"/>
      <c r="AF956" s="84"/>
      <c r="AG956" s="84"/>
      <c r="AH956" s="84"/>
      <c r="AI956" s="84"/>
      <c r="AJ956" s="84"/>
      <c r="AK956" s="84"/>
      <c r="AL956" s="84"/>
      <c r="AM956" s="84"/>
      <c r="AN956" s="84"/>
      <c r="AO956" s="84"/>
      <c r="AP956" s="84"/>
      <c r="AQ956" s="84"/>
      <c r="AR956" s="84"/>
      <c r="AS956" s="84"/>
      <c r="AT956" s="84"/>
      <c r="AU956" s="84"/>
      <c r="AV956" s="84"/>
      <c r="AW956" s="84"/>
      <c r="AX956" s="84"/>
    </row>
    <row r="957" spans="1:50" ht="16.5" customHeight="1">
      <c r="A957" s="83"/>
      <c r="B957" s="84"/>
      <c r="C957" s="84"/>
      <c r="D957" s="84"/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4"/>
      <c r="V957" s="84"/>
      <c r="W957" s="84"/>
      <c r="X957" s="84"/>
      <c r="Y957" s="84"/>
      <c r="Z957" s="84"/>
      <c r="AA957" s="84"/>
      <c r="AB957" s="84"/>
      <c r="AC957" s="84"/>
      <c r="AD957" s="84"/>
      <c r="AE957" s="84"/>
      <c r="AF957" s="84"/>
      <c r="AG957" s="84"/>
      <c r="AH957" s="84"/>
      <c r="AI957" s="84"/>
      <c r="AJ957" s="84"/>
      <c r="AK957" s="84"/>
      <c r="AL957" s="84"/>
      <c r="AM957" s="84"/>
      <c r="AN957" s="84"/>
      <c r="AO957" s="84"/>
      <c r="AP957" s="84"/>
      <c r="AQ957" s="84"/>
      <c r="AR957" s="84"/>
      <c r="AS957" s="84"/>
      <c r="AT957" s="84"/>
      <c r="AU957" s="84"/>
      <c r="AV957" s="84"/>
      <c r="AW957" s="84"/>
      <c r="AX957" s="84"/>
    </row>
    <row r="958" spans="1:50" ht="16.5" customHeight="1">
      <c r="A958" s="83"/>
      <c r="B958" s="84"/>
      <c r="C958" s="84"/>
      <c r="D958" s="84"/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4"/>
      <c r="V958" s="84"/>
      <c r="W958" s="84"/>
      <c r="X958" s="84"/>
      <c r="Y958" s="84"/>
      <c r="Z958" s="84"/>
      <c r="AA958" s="84"/>
      <c r="AB958" s="84"/>
      <c r="AC958" s="84"/>
      <c r="AD958" s="84"/>
      <c r="AE958" s="84"/>
      <c r="AF958" s="84"/>
      <c r="AG958" s="84"/>
      <c r="AH958" s="84"/>
      <c r="AI958" s="84"/>
      <c r="AJ958" s="84"/>
      <c r="AK958" s="84"/>
      <c r="AL958" s="84"/>
      <c r="AM958" s="84"/>
      <c r="AN958" s="84"/>
      <c r="AO958" s="84"/>
      <c r="AP958" s="84"/>
      <c r="AQ958" s="84"/>
      <c r="AR958" s="84"/>
      <c r="AS958" s="84"/>
      <c r="AT958" s="84"/>
      <c r="AU958" s="84"/>
      <c r="AV958" s="84"/>
      <c r="AW958" s="84"/>
      <c r="AX958" s="84"/>
    </row>
    <row r="959" spans="1:50" ht="16.5" customHeight="1">
      <c r="A959" s="83"/>
      <c r="B959" s="84"/>
      <c r="C959" s="84"/>
      <c r="D959" s="84"/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4"/>
      <c r="V959" s="84"/>
      <c r="W959" s="84"/>
      <c r="X959" s="84"/>
      <c r="Y959" s="84"/>
      <c r="Z959" s="84"/>
      <c r="AA959" s="84"/>
      <c r="AB959" s="84"/>
      <c r="AC959" s="84"/>
      <c r="AD959" s="84"/>
      <c r="AE959" s="84"/>
      <c r="AF959" s="84"/>
      <c r="AG959" s="84"/>
      <c r="AH959" s="84"/>
      <c r="AI959" s="84"/>
      <c r="AJ959" s="84"/>
      <c r="AK959" s="84"/>
      <c r="AL959" s="84"/>
      <c r="AM959" s="84"/>
      <c r="AN959" s="84"/>
      <c r="AO959" s="84"/>
      <c r="AP959" s="84"/>
      <c r="AQ959" s="84"/>
      <c r="AR959" s="84"/>
      <c r="AS959" s="84"/>
      <c r="AT959" s="84"/>
      <c r="AU959" s="84"/>
      <c r="AV959" s="84"/>
      <c r="AW959" s="84"/>
      <c r="AX959" s="84"/>
    </row>
    <row r="960" spans="1:50" ht="16.5" customHeight="1">
      <c r="A960" s="83"/>
      <c r="B960" s="84"/>
      <c r="C960" s="84"/>
      <c r="D960" s="84"/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4"/>
      <c r="V960" s="84"/>
      <c r="W960" s="84"/>
      <c r="X960" s="84"/>
      <c r="Y960" s="84"/>
      <c r="Z960" s="84"/>
      <c r="AA960" s="84"/>
      <c r="AB960" s="84"/>
      <c r="AC960" s="84"/>
      <c r="AD960" s="84"/>
      <c r="AE960" s="84"/>
      <c r="AF960" s="84"/>
      <c r="AG960" s="84"/>
      <c r="AH960" s="84"/>
      <c r="AI960" s="84"/>
      <c r="AJ960" s="84"/>
      <c r="AK960" s="84"/>
      <c r="AL960" s="84"/>
      <c r="AM960" s="84"/>
      <c r="AN960" s="84"/>
      <c r="AO960" s="84"/>
      <c r="AP960" s="84"/>
      <c r="AQ960" s="84"/>
      <c r="AR960" s="84"/>
      <c r="AS960" s="84"/>
      <c r="AT960" s="84"/>
      <c r="AU960" s="84"/>
      <c r="AV960" s="84"/>
      <c r="AW960" s="84"/>
      <c r="AX960" s="84"/>
    </row>
    <row r="961" spans="1:50" ht="16.5" customHeight="1">
      <c r="A961" s="83"/>
      <c r="B961" s="84"/>
      <c r="C961" s="84"/>
      <c r="D961" s="84"/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4"/>
      <c r="V961" s="84"/>
      <c r="W961" s="84"/>
      <c r="X961" s="84"/>
      <c r="Y961" s="84"/>
      <c r="Z961" s="84"/>
      <c r="AA961" s="84"/>
      <c r="AB961" s="84"/>
      <c r="AC961" s="84"/>
      <c r="AD961" s="84"/>
      <c r="AE961" s="84"/>
      <c r="AF961" s="84"/>
      <c r="AG961" s="84"/>
      <c r="AH961" s="84"/>
      <c r="AI961" s="84"/>
      <c r="AJ961" s="84"/>
      <c r="AK961" s="84"/>
      <c r="AL961" s="84"/>
      <c r="AM961" s="84"/>
      <c r="AN961" s="84"/>
      <c r="AO961" s="84"/>
      <c r="AP961" s="84"/>
      <c r="AQ961" s="84"/>
      <c r="AR961" s="84"/>
      <c r="AS961" s="84"/>
      <c r="AT961" s="84"/>
      <c r="AU961" s="84"/>
      <c r="AV961" s="84"/>
      <c r="AW961" s="84"/>
      <c r="AX961" s="84"/>
    </row>
    <row r="962" spans="1:50" ht="16.5" customHeight="1">
      <c r="A962" s="83"/>
      <c r="B962" s="84"/>
      <c r="C962" s="84"/>
      <c r="D962" s="84"/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4"/>
      <c r="V962" s="84"/>
      <c r="W962" s="84"/>
      <c r="X962" s="84"/>
      <c r="Y962" s="84"/>
      <c r="Z962" s="84"/>
      <c r="AA962" s="84"/>
      <c r="AB962" s="84"/>
      <c r="AC962" s="84"/>
      <c r="AD962" s="84"/>
      <c r="AE962" s="84"/>
      <c r="AF962" s="84"/>
      <c r="AG962" s="84"/>
      <c r="AH962" s="84"/>
      <c r="AI962" s="84"/>
      <c r="AJ962" s="84"/>
      <c r="AK962" s="84"/>
      <c r="AL962" s="84"/>
      <c r="AM962" s="84"/>
      <c r="AN962" s="84"/>
      <c r="AO962" s="84"/>
      <c r="AP962" s="84"/>
      <c r="AQ962" s="84"/>
      <c r="AR962" s="84"/>
      <c r="AS962" s="84"/>
      <c r="AT962" s="84"/>
      <c r="AU962" s="84"/>
      <c r="AV962" s="84"/>
      <c r="AW962" s="84"/>
      <c r="AX962" s="84"/>
    </row>
    <row r="963" spans="1:50" ht="16.5" customHeight="1">
      <c r="A963" s="83"/>
      <c r="B963" s="84"/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  <c r="AD963" s="84"/>
      <c r="AE963" s="84"/>
      <c r="AF963" s="84"/>
      <c r="AG963" s="84"/>
      <c r="AH963" s="84"/>
      <c r="AI963" s="84"/>
      <c r="AJ963" s="84"/>
      <c r="AK963" s="84"/>
      <c r="AL963" s="84"/>
      <c r="AM963" s="84"/>
      <c r="AN963" s="84"/>
      <c r="AO963" s="84"/>
      <c r="AP963" s="84"/>
      <c r="AQ963" s="84"/>
      <c r="AR963" s="84"/>
      <c r="AS963" s="84"/>
      <c r="AT963" s="84"/>
      <c r="AU963" s="84"/>
      <c r="AV963" s="84"/>
      <c r="AW963" s="84"/>
      <c r="AX963" s="84"/>
    </row>
    <row r="964" spans="1:50" ht="16.5" customHeight="1">
      <c r="A964" s="83"/>
      <c r="B964" s="84"/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4"/>
      <c r="V964" s="84"/>
      <c r="W964" s="84"/>
      <c r="X964" s="84"/>
      <c r="Y964" s="84"/>
      <c r="Z964" s="84"/>
      <c r="AA964" s="84"/>
      <c r="AB964" s="84"/>
      <c r="AC964" s="84"/>
      <c r="AD964" s="84"/>
      <c r="AE964" s="84"/>
      <c r="AF964" s="84"/>
      <c r="AG964" s="84"/>
      <c r="AH964" s="84"/>
      <c r="AI964" s="84"/>
      <c r="AJ964" s="84"/>
      <c r="AK964" s="84"/>
      <c r="AL964" s="84"/>
      <c r="AM964" s="84"/>
      <c r="AN964" s="84"/>
      <c r="AO964" s="84"/>
      <c r="AP964" s="84"/>
      <c r="AQ964" s="84"/>
      <c r="AR964" s="84"/>
      <c r="AS964" s="84"/>
      <c r="AT964" s="84"/>
      <c r="AU964" s="84"/>
      <c r="AV964" s="84"/>
      <c r="AW964" s="84"/>
      <c r="AX964" s="84"/>
    </row>
    <row r="965" spans="1:50" ht="16.5" customHeight="1">
      <c r="A965" s="83"/>
      <c r="B965" s="84"/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4"/>
      <c r="V965" s="84"/>
      <c r="W965" s="84"/>
      <c r="X965" s="84"/>
      <c r="Y965" s="84"/>
      <c r="Z965" s="84"/>
      <c r="AA965" s="84"/>
      <c r="AB965" s="84"/>
      <c r="AC965" s="84"/>
      <c r="AD965" s="84"/>
      <c r="AE965" s="84"/>
      <c r="AF965" s="84"/>
      <c r="AG965" s="84"/>
      <c r="AH965" s="84"/>
      <c r="AI965" s="84"/>
      <c r="AJ965" s="84"/>
      <c r="AK965" s="84"/>
      <c r="AL965" s="84"/>
      <c r="AM965" s="84"/>
      <c r="AN965" s="84"/>
      <c r="AO965" s="84"/>
      <c r="AP965" s="84"/>
      <c r="AQ965" s="84"/>
      <c r="AR965" s="84"/>
      <c r="AS965" s="84"/>
      <c r="AT965" s="84"/>
      <c r="AU965" s="84"/>
      <c r="AV965" s="84"/>
      <c r="AW965" s="84"/>
      <c r="AX965" s="84"/>
    </row>
    <row r="966" spans="1:50" ht="16.5" customHeight="1">
      <c r="A966" s="83"/>
      <c r="B966" s="84"/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4"/>
      <c r="V966" s="84"/>
      <c r="W966" s="84"/>
      <c r="X966" s="84"/>
      <c r="Y966" s="84"/>
      <c r="Z966" s="84"/>
      <c r="AA966" s="84"/>
      <c r="AB966" s="84"/>
      <c r="AC966" s="84"/>
      <c r="AD966" s="84"/>
      <c r="AE966" s="84"/>
      <c r="AF966" s="84"/>
      <c r="AG966" s="84"/>
      <c r="AH966" s="84"/>
      <c r="AI966" s="84"/>
      <c r="AJ966" s="84"/>
      <c r="AK966" s="84"/>
      <c r="AL966" s="84"/>
      <c r="AM966" s="84"/>
      <c r="AN966" s="84"/>
      <c r="AO966" s="84"/>
      <c r="AP966" s="84"/>
      <c r="AQ966" s="84"/>
      <c r="AR966" s="84"/>
      <c r="AS966" s="84"/>
      <c r="AT966" s="84"/>
      <c r="AU966" s="84"/>
      <c r="AV966" s="84"/>
      <c r="AW966" s="84"/>
      <c r="AX966" s="84"/>
    </row>
    <row r="967" spans="1:50" ht="16.5" customHeight="1">
      <c r="A967" s="83"/>
      <c r="B967" s="84"/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4"/>
      <c r="V967" s="84"/>
      <c r="W967" s="84"/>
      <c r="X967" s="84"/>
      <c r="Y967" s="84"/>
      <c r="Z967" s="84"/>
      <c r="AA967" s="84"/>
      <c r="AB967" s="84"/>
      <c r="AC967" s="84"/>
      <c r="AD967" s="84"/>
      <c r="AE967" s="84"/>
      <c r="AF967" s="84"/>
      <c r="AG967" s="84"/>
      <c r="AH967" s="84"/>
      <c r="AI967" s="84"/>
      <c r="AJ967" s="84"/>
      <c r="AK967" s="84"/>
      <c r="AL967" s="84"/>
      <c r="AM967" s="84"/>
      <c r="AN967" s="84"/>
      <c r="AO967" s="84"/>
      <c r="AP967" s="84"/>
      <c r="AQ967" s="84"/>
      <c r="AR967" s="84"/>
      <c r="AS967" s="84"/>
      <c r="AT967" s="84"/>
      <c r="AU967" s="84"/>
      <c r="AV967" s="84"/>
      <c r="AW967" s="84"/>
      <c r="AX967" s="84"/>
    </row>
    <row r="968" spans="1:50" ht="16.5" customHeight="1">
      <c r="A968" s="83"/>
      <c r="B968" s="84"/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4"/>
      <c r="V968" s="84"/>
      <c r="W968" s="84"/>
      <c r="X968" s="84"/>
      <c r="Y968" s="84"/>
      <c r="Z968" s="84"/>
      <c r="AA968" s="84"/>
      <c r="AB968" s="84"/>
      <c r="AC968" s="84"/>
      <c r="AD968" s="84"/>
      <c r="AE968" s="84"/>
      <c r="AF968" s="84"/>
      <c r="AG968" s="84"/>
      <c r="AH968" s="84"/>
      <c r="AI968" s="84"/>
      <c r="AJ968" s="84"/>
      <c r="AK968" s="84"/>
      <c r="AL968" s="84"/>
      <c r="AM968" s="84"/>
      <c r="AN968" s="84"/>
      <c r="AO968" s="84"/>
      <c r="AP968" s="84"/>
      <c r="AQ968" s="84"/>
      <c r="AR968" s="84"/>
      <c r="AS968" s="84"/>
      <c r="AT968" s="84"/>
      <c r="AU968" s="84"/>
      <c r="AV968" s="84"/>
      <c r="AW968" s="84"/>
      <c r="AX968" s="84"/>
    </row>
    <row r="969" spans="1:50" ht="16.5" customHeight="1">
      <c r="A969" s="83"/>
      <c r="B969" s="84"/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4"/>
      <c r="V969" s="84"/>
      <c r="W969" s="84"/>
      <c r="X969" s="84"/>
      <c r="Y969" s="84"/>
      <c r="Z969" s="84"/>
      <c r="AA969" s="84"/>
      <c r="AB969" s="84"/>
      <c r="AC969" s="84"/>
      <c r="AD969" s="84"/>
      <c r="AE969" s="84"/>
      <c r="AF969" s="84"/>
      <c r="AG969" s="84"/>
      <c r="AH969" s="84"/>
      <c r="AI969" s="84"/>
      <c r="AJ969" s="84"/>
      <c r="AK969" s="84"/>
      <c r="AL969" s="84"/>
      <c r="AM969" s="84"/>
      <c r="AN969" s="84"/>
      <c r="AO969" s="84"/>
      <c r="AP969" s="84"/>
      <c r="AQ969" s="84"/>
      <c r="AR969" s="84"/>
      <c r="AS969" s="84"/>
      <c r="AT969" s="84"/>
      <c r="AU969" s="84"/>
      <c r="AV969" s="84"/>
      <c r="AW969" s="84"/>
      <c r="AX969" s="84"/>
    </row>
    <row r="970" spans="1:50" ht="16.5" customHeight="1">
      <c r="A970" s="83"/>
      <c r="B970" s="84"/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E970" s="84"/>
      <c r="AF970" s="84"/>
      <c r="AG970" s="84"/>
      <c r="AH970" s="84"/>
      <c r="AI970" s="84"/>
      <c r="AJ970" s="84"/>
      <c r="AK970" s="84"/>
      <c r="AL970" s="84"/>
      <c r="AM970" s="84"/>
      <c r="AN970" s="84"/>
      <c r="AO970" s="84"/>
      <c r="AP970" s="84"/>
      <c r="AQ970" s="84"/>
      <c r="AR970" s="84"/>
      <c r="AS970" s="84"/>
      <c r="AT970" s="84"/>
      <c r="AU970" s="84"/>
      <c r="AV970" s="84"/>
      <c r="AW970" s="84"/>
      <c r="AX970" s="84"/>
    </row>
    <row r="971" spans="1:50" ht="16.5" customHeight="1">
      <c r="A971" s="83"/>
      <c r="B971" s="84"/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4"/>
      <c r="V971" s="84"/>
      <c r="W971" s="84"/>
      <c r="X971" s="84"/>
      <c r="Y971" s="84"/>
      <c r="Z971" s="84"/>
      <c r="AA971" s="84"/>
      <c r="AB971" s="84"/>
      <c r="AC971" s="84"/>
      <c r="AD971" s="84"/>
      <c r="AE971" s="84"/>
      <c r="AF971" s="84"/>
      <c r="AG971" s="84"/>
      <c r="AH971" s="84"/>
      <c r="AI971" s="84"/>
      <c r="AJ971" s="84"/>
      <c r="AK971" s="84"/>
      <c r="AL971" s="84"/>
      <c r="AM971" s="84"/>
      <c r="AN971" s="84"/>
      <c r="AO971" s="84"/>
      <c r="AP971" s="84"/>
      <c r="AQ971" s="84"/>
      <c r="AR971" s="84"/>
      <c r="AS971" s="84"/>
      <c r="AT971" s="84"/>
      <c r="AU971" s="84"/>
      <c r="AV971" s="84"/>
      <c r="AW971" s="84"/>
      <c r="AX971" s="84"/>
    </row>
    <row r="972" spans="1:50" ht="16.5" customHeight="1">
      <c r="A972" s="83"/>
      <c r="B972" s="84"/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  <c r="S972" s="84"/>
      <c r="T972" s="84"/>
      <c r="U972" s="84"/>
      <c r="V972" s="84"/>
      <c r="W972" s="84"/>
      <c r="X972" s="84"/>
      <c r="Y972" s="84"/>
      <c r="Z972" s="84"/>
      <c r="AA972" s="84"/>
      <c r="AB972" s="84"/>
      <c r="AC972" s="84"/>
      <c r="AD972" s="84"/>
      <c r="AE972" s="84"/>
      <c r="AF972" s="84"/>
      <c r="AG972" s="84"/>
      <c r="AH972" s="84"/>
      <c r="AI972" s="84"/>
      <c r="AJ972" s="84"/>
      <c r="AK972" s="84"/>
      <c r="AL972" s="84"/>
      <c r="AM972" s="84"/>
      <c r="AN972" s="84"/>
      <c r="AO972" s="84"/>
      <c r="AP972" s="84"/>
      <c r="AQ972" s="84"/>
      <c r="AR972" s="84"/>
      <c r="AS972" s="84"/>
      <c r="AT972" s="84"/>
      <c r="AU972" s="84"/>
      <c r="AV972" s="84"/>
      <c r="AW972" s="84"/>
      <c r="AX972" s="84"/>
    </row>
    <row r="973" spans="1:50" ht="16.5" customHeight="1">
      <c r="A973" s="83"/>
      <c r="B973" s="84"/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4"/>
      <c r="V973" s="84"/>
      <c r="W973" s="84"/>
      <c r="X973" s="84"/>
      <c r="Y973" s="84"/>
      <c r="Z973" s="84"/>
      <c r="AA973" s="84"/>
      <c r="AB973" s="84"/>
      <c r="AC973" s="84"/>
      <c r="AD973" s="84"/>
      <c r="AE973" s="84"/>
      <c r="AF973" s="84"/>
      <c r="AG973" s="84"/>
      <c r="AH973" s="84"/>
      <c r="AI973" s="84"/>
      <c r="AJ973" s="84"/>
      <c r="AK973" s="84"/>
      <c r="AL973" s="84"/>
      <c r="AM973" s="84"/>
      <c r="AN973" s="84"/>
      <c r="AO973" s="84"/>
      <c r="AP973" s="84"/>
      <c r="AQ973" s="84"/>
      <c r="AR973" s="84"/>
      <c r="AS973" s="84"/>
      <c r="AT973" s="84"/>
      <c r="AU973" s="84"/>
      <c r="AV973" s="84"/>
      <c r="AW973" s="84"/>
      <c r="AX973" s="84"/>
    </row>
    <row r="974" spans="1:50" ht="16.5" customHeight="1">
      <c r="A974" s="83"/>
      <c r="B974" s="84"/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4"/>
      <c r="V974" s="84"/>
      <c r="W974" s="84"/>
      <c r="X974" s="84"/>
      <c r="Y974" s="84"/>
      <c r="Z974" s="84"/>
      <c r="AA974" s="84"/>
      <c r="AB974" s="84"/>
      <c r="AC974" s="84"/>
      <c r="AD974" s="84"/>
      <c r="AE974" s="84"/>
      <c r="AF974" s="84"/>
      <c r="AG974" s="84"/>
      <c r="AH974" s="84"/>
      <c r="AI974" s="84"/>
      <c r="AJ974" s="84"/>
      <c r="AK974" s="84"/>
      <c r="AL974" s="84"/>
      <c r="AM974" s="84"/>
      <c r="AN974" s="84"/>
      <c r="AO974" s="84"/>
      <c r="AP974" s="84"/>
      <c r="AQ974" s="84"/>
      <c r="AR974" s="84"/>
      <c r="AS974" s="84"/>
      <c r="AT974" s="84"/>
      <c r="AU974" s="84"/>
      <c r="AV974" s="84"/>
      <c r="AW974" s="84"/>
      <c r="AX974" s="84"/>
    </row>
    <row r="975" spans="1:50" ht="16.5" customHeight="1">
      <c r="A975" s="83"/>
      <c r="B975" s="84"/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4"/>
      <c r="V975" s="84"/>
      <c r="W975" s="84"/>
      <c r="X975" s="84"/>
      <c r="Y975" s="84"/>
      <c r="Z975" s="84"/>
      <c r="AA975" s="84"/>
      <c r="AB975" s="84"/>
      <c r="AC975" s="84"/>
      <c r="AD975" s="84"/>
      <c r="AE975" s="84"/>
      <c r="AF975" s="84"/>
      <c r="AG975" s="84"/>
      <c r="AH975" s="84"/>
      <c r="AI975" s="84"/>
      <c r="AJ975" s="84"/>
      <c r="AK975" s="84"/>
      <c r="AL975" s="84"/>
      <c r="AM975" s="84"/>
      <c r="AN975" s="84"/>
      <c r="AO975" s="84"/>
      <c r="AP975" s="84"/>
      <c r="AQ975" s="84"/>
      <c r="AR975" s="84"/>
      <c r="AS975" s="84"/>
      <c r="AT975" s="84"/>
      <c r="AU975" s="84"/>
      <c r="AV975" s="84"/>
      <c r="AW975" s="84"/>
      <c r="AX975" s="84"/>
    </row>
    <row r="976" spans="1:50" ht="16.5" customHeight="1">
      <c r="A976" s="83"/>
      <c r="B976" s="84"/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4"/>
      <c r="V976" s="84"/>
      <c r="W976" s="84"/>
      <c r="X976" s="84"/>
      <c r="Y976" s="84"/>
      <c r="Z976" s="84"/>
      <c r="AA976" s="84"/>
      <c r="AB976" s="84"/>
      <c r="AC976" s="84"/>
      <c r="AD976" s="84"/>
      <c r="AE976" s="84"/>
      <c r="AF976" s="84"/>
      <c r="AG976" s="84"/>
      <c r="AH976" s="84"/>
      <c r="AI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</row>
    <row r="977" spans="1:50" ht="16.5" customHeight="1">
      <c r="A977" s="83"/>
      <c r="B977" s="84"/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4"/>
      <c r="V977" s="84"/>
      <c r="W977" s="84"/>
      <c r="X977" s="84"/>
      <c r="Y977" s="84"/>
      <c r="Z977" s="84"/>
      <c r="AA977" s="84"/>
      <c r="AB977" s="84"/>
      <c r="AC977" s="84"/>
      <c r="AD977" s="84"/>
      <c r="AE977" s="84"/>
      <c r="AF977" s="84"/>
      <c r="AG977" s="84"/>
      <c r="AH977" s="84"/>
      <c r="AI977" s="84"/>
      <c r="AJ977" s="84"/>
      <c r="AK977" s="84"/>
      <c r="AL977" s="84"/>
      <c r="AM977" s="84"/>
      <c r="AN977" s="84"/>
      <c r="AO977" s="84"/>
      <c r="AP977" s="84"/>
      <c r="AQ977" s="84"/>
      <c r="AR977" s="84"/>
      <c r="AS977" s="84"/>
      <c r="AT977" s="84"/>
      <c r="AU977" s="84"/>
      <c r="AV977" s="84"/>
      <c r="AW977" s="84"/>
      <c r="AX977" s="84"/>
    </row>
    <row r="978" spans="1:50" ht="16.5" customHeight="1">
      <c r="A978" s="83"/>
      <c r="B978" s="84"/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4"/>
      <c r="V978" s="84"/>
      <c r="W978" s="84"/>
      <c r="X978" s="84"/>
      <c r="Y978" s="84"/>
      <c r="Z978" s="84"/>
      <c r="AA978" s="84"/>
      <c r="AB978" s="84"/>
      <c r="AC978" s="84"/>
      <c r="AD978" s="84"/>
      <c r="AE978" s="84"/>
      <c r="AF978" s="84"/>
      <c r="AG978" s="84"/>
      <c r="AH978" s="84"/>
      <c r="AI978" s="84"/>
      <c r="AJ978" s="84"/>
      <c r="AK978" s="84"/>
      <c r="AL978" s="84"/>
      <c r="AM978" s="84"/>
      <c r="AN978" s="84"/>
      <c r="AO978" s="84"/>
      <c r="AP978" s="84"/>
      <c r="AQ978" s="84"/>
      <c r="AR978" s="84"/>
      <c r="AS978" s="84"/>
      <c r="AT978" s="84"/>
      <c r="AU978" s="84"/>
      <c r="AV978" s="84"/>
      <c r="AW978" s="84"/>
      <c r="AX978" s="84"/>
    </row>
    <row r="979" spans="1:50" ht="16.5" customHeight="1">
      <c r="A979" s="83"/>
      <c r="B979" s="84"/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</row>
    <row r="980" spans="1:50" ht="16.5" customHeight="1">
      <c r="A980" s="83"/>
      <c r="B980" s="84"/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</row>
    <row r="981" spans="1:50" ht="16.5" customHeight="1">
      <c r="A981" s="83"/>
      <c r="B981" s="84"/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</row>
    <row r="982" spans="1:50" ht="16.5" customHeight="1">
      <c r="A982" s="83"/>
      <c r="B982" s="84"/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</row>
    <row r="983" spans="1:50" ht="16.5" customHeight="1">
      <c r="A983" s="83"/>
      <c r="B983" s="84"/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</row>
    <row r="984" spans="1:50" ht="16.5" customHeight="1">
      <c r="A984" s="83"/>
      <c r="B984" s="84"/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4"/>
      <c r="V984" s="84"/>
      <c r="W984" s="84"/>
      <c r="X984" s="84"/>
      <c r="Y984" s="84"/>
      <c r="Z984" s="84"/>
      <c r="AA984" s="84"/>
      <c r="AB984" s="84"/>
      <c r="AC984" s="84"/>
      <c r="AD984" s="84"/>
      <c r="AE984" s="84"/>
      <c r="AF984" s="84"/>
      <c r="AG984" s="84"/>
      <c r="AH984" s="84"/>
      <c r="AI984" s="84"/>
      <c r="AJ984" s="84"/>
      <c r="AK984" s="84"/>
      <c r="AL984" s="84"/>
      <c r="AM984" s="84"/>
      <c r="AN984" s="84"/>
      <c r="AO984" s="84"/>
      <c r="AP984" s="84"/>
      <c r="AQ984" s="84"/>
      <c r="AR984" s="84"/>
      <c r="AS984" s="84"/>
      <c r="AT984" s="84"/>
      <c r="AU984" s="84"/>
      <c r="AV984" s="84"/>
      <c r="AW984" s="84"/>
      <c r="AX984" s="84"/>
    </row>
    <row r="985" spans="1:50" ht="16.5" customHeight="1">
      <c r="A985" s="83"/>
      <c r="B985" s="84"/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4"/>
      <c r="V985" s="84"/>
      <c r="W985" s="84"/>
      <c r="X985" s="84"/>
      <c r="Y985" s="84"/>
      <c r="Z985" s="84"/>
      <c r="AA985" s="84"/>
      <c r="AB985" s="84"/>
      <c r="AC985" s="84"/>
      <c r="AD985" s="84"/>
      <c r="AE985" s="84"/>
      <c r="AF985" s="84"/>
      <c r="AG985" s="84"/>
      <c r="AH985" s="84"/>
      <c r="AI985" s="84"/>
      <c r="AJ985" s="84"/>
      <c r="AK985" s="84"/>
      <c r="AL985" s="84"/>
      <c r="AM985" s="84"/>
      <c r="AN985" s="84"/>
      <c r="AO985" s="84"/>
      <c r="AP985" s="84"/>
      <c r="AQ985" s="84"/>
      <c r="AR985" s="84"/>
      <c r="AS985" s="84"/>
      <c r="AT985" s="84"/>
      <c r="AU985" s="84"/>
      <c r="AV985" s="84"/>
      <c r="AW985" s="84"/>
      <c r="AX985" s="84"/>
    </row>
    <row r="986" spans="1:50" ht="16.5" customHeight="1">
      <c r="A986" s="83"/>
      <c r="B986" s="84"/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A986" s="84"/>
      <c r="AB986" s="84"/>
      <c r="AC986" s="84"/>
      <c r="AD986" s="84"/>
      <c r="AE986" s="84"/>
      <c r="AF986" s="84"/>
      <c r="AG986" s="84"/>
      <c r="AH986" s="84"/>
      <c r="AI986" s="84"/>
      <c r="AJ986" s="84"/>
      <c r="AK986" s="84"/>
      <c r="AL986" s="84"/>
      <c r="AM986" s="84"/>
      <c r="AN986" s="84"/>
      <c r="AO986" s="84"/>
      <c r="AP986" s="84"/>
      <c r="AQ986" s="84"/>
      <c r="AR986" s="84"/>
      <c r="AS986" s="84"/>
      <c r="AT986" s="84"/>
      <c r="AU986" s="84"/>
      <c r="AV986" s="84"/>
      <c r="AW986" s="84"/>
      <c r="AX986" s="84"/>
    </row>
    <row r="987" spans="1:50" ht="16.5" customHeight="1">
      <c r="A987" s="83"/>
      <c r="B987" s="84"/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4"/>
      <c r="V987" s="84"/>
      <c r="W987" s="84"/>
      <c r="X987" s="84"/>
      <c r="Y987" s="84"/>
      <c r="Z987" s="84"/>
      <c r="AA987" s="84"/>
      <c r="AB987" s="84"/>
      <c r="AC987" s="84"/>
      <c r="AD987" s="84"/>
      <c r="AE987" s="84"/>
      <c r="AF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U987" s="84"/>
      <c r="AV987" s="84"/>
      <c r="AW987" s="84"/>
      <c r="AX987" s="84"/>
    </row>
    <row r="988" spans="1:50" ht="16.5" customHeight="1">
      <c r="A988" s="83"/>
      <c r="B988" s="84"/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4"/>
      <c r="V988" s="84"/>
      <c r="W988" s="84"/>
      <c r="X988" s="84"/>
      <c r="Y988" s="84"/>
      <c r="Z988" s="84"/>
      <c r="AA988" s="84"/>
      <c r="AB988" s="84"/>
      <c r="AC988" s="84"/>
      <c r="AD988" s="84"/>
      <c r="AE988" s="84"/>
      <c r="AF988" s="84"/>
      <c r="AG988" s="84"/>
      <c r="AH988" s="84"/>
      <c r="AI988" s="84"/>
      <c r="AJ988" s="84"/>
      <c r="AK988" s="84"/>
      <c r="AL988" s="84"/>
      <c r="AM988" s="84"/>
      <c r="AN988" s="84"/>
      <c r="AO988" s="84"/>
      <c r="AP988" s="84"/>
      <c r="AQ988" s="84"/>
      <c r="AR988" s="84"/>
      <c r="AS988" s="84"/>
      <c r="AT988" s="84"/>
      <c r="AU988" s="84"/>
      <c r="AV988" s="84"/>
      <c r="AW988" s="84"/>
      <c r="AX988" s="84"/>
    </row>
    <row r="989" spans="1:50" ht="16.5" customHeight="1">
      <c r="A989" s="83"/>
      <c r="B989" s="84"/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  <c r="S989" s="84"/>
      <c r="T989" s="84"/>
      <c r="U989" s="84"/>
      <c r="V989" s="84"/>
      <c r="W989" s="84"/>
      <c r="X989" s="84"/>
      <c r="Y989" s="84"/>
      <c r="Z989" s="84"/>
      <c r="AA989" s="84"/>
      <c r="AB989" s="84"/>
      <c r="AC989" s="84"/>
      <c r="AD989" s="84"/>
      <c r="AE989" s="84"/>
      <c r="AF989" s="84"/>
      <c r="AG989" s="84"/>
      <c r="AH989" s="84"/>
      <c r="AI989" s="84"/>
      <c r="AJ989" s="84"/>
      <c r="AK989" s="84"/>
      <c r="AL989" s="84"/>
      <c r="AM989" s="84"/>
      <c r="AN989" s="84"/>
      <c r="AO989" s="84"/>
      <c r="AP989" s="84"/>
      <c r="AQ989" s="84"/>
      <c r="AR989" s="84"/>
      <c r="AS989" s="84"/>
      <c r="AT989" s="84"/>
      <c r="AU989" s="84"/>
      <c r="AV989" s="84"/>
      <c r="AW989" s="84"/>
      <c r="AX989" s="84"/>
    </row>
    <row r="990" spans="1:50" ht="16.5" customHeight="1">
      <c r="A990" s="83"/>
      <c r="B990" s="84"/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4"/>
      <c r="V990" s="84"/>
      <c r="W990" s="84"/>
      <c r="X990" s="84"/>
      <c r="Y990" s="84"/>
      <c r="Z990" s="84"/>
      <c r="AA990" s="84"/>
      <c r="AB990" s="84"/>
      <c r="AC990" s="84"/>
      <c r="AD990" s="84"/>
      <c r="AE990" s="84"/>
      <c r="AF990" s="84"/>
      <c r="AG990" s="84"/>
      <c r="AH990" s="84"/>
      <c r="AI990" s="84"/>
      <c r="AJ990" s="84"/>
      <c r="AK990" s="84"/>
      <c r="AL990" s="84"/>
      <c r="AM990" s="84"/>
      <c r="AN990" s="84"/>
      <c r="AO990" s="84"/>
      <c r="AP990" s="84"/>
      <c r="AQ990" s="84"/>
      <c r="AR990" s="84"/>
      <c r="AS990" s="84"/>
      <c r="AT990" s="84"/>
      <c r="AU990" s="84"/>
      <c r="AV990" s="84"/>
      <c r="AW990" s="84"/>
      <c r="AX990" s="84"/>
    </row>
    <row r="991" spans="1:50" ht="16.5" customHeight="1">
      <c r="A991" s="83"/>
      <c r="B991" s="84"/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4"/>
      <c r="V991" s="84"/>
      <c r="W991" s="84"/>
      <c r="X991" s="84"/>
      <c r="Y991" s="84"/>
      <c r="Z991" s="84"/>
      <c r="AA991" s="84"/>
      <c r="AB991" s="84"/>
      <c r="AC991" s="84"/>
      <c r="AD991" s="84"/>
      <c r="AE991" s="84"/>
      <c r="AF991" s="84"/>
      <c r="AG991" s="84"/>
      <c r="AH991" s="84"/>
      <c r="AI991" s="84"/>
      <c r="AJ991" s="84"/>
      <c r="AK991" s="84"/>
      <c r="AL991" s="84"/>
      <c r="AM991" s="84"/>
      <c r="AN991" s="84"/>
      <c r="AO991" s="84"/>
      <c r="AP991" s="84"/>
      <c r="AQ991" s="84"/>
      <c r="AR991" s="84"/>
      <c r="AS991" s="84"/>
      <c r="AT991" s="84"/>
      <c r="AU991" s="84"/>
      <c r="AV991" s="84"/>
      <c r="AW991" s="84"/>
      <c r="AX991" s="84"/>
    </row>
    <row r="992" spans="1:50" ht="16.5" customHeight="1">
      <c r="A992" s="83"/>
      <c r="B992" s="84"/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4"/>
      <c r="V992" s="84"/>
      <c r="W992" s="84"/>
      <c r="X992" s="84"/>
      <c r="Y992" s="84"/>
      <c r="Z992" s="84"/>
      <c r="AA992" s="84"/>
      <c r="AB992" s="84"/>
      <c r="AC992" s="84"/>
      <c r="AD992" s="84"/>
      <c r="AE992" s="84"/>
      <c r="AF992" s="84"/>
      <c r="AG992" s="84"/>
      <c r="AH992" s="84"/>
      <c r="AI992" s="84"/>
      <c r="AJ992" s="84"/>
      <c r="AK992" s="84"/>
      <c r="AL992" s="84"/>
      <c r="AM992" s="84"/>
      <c r="AN992" s="84"/>
      <c r="AO992" s="84"/>
      <c r="AP992" s="84"/>
      <c r="AQ992" s="84"/>
      <c r="AR992" s="84"/>
      <c r="AS992" s="84"/>
      <c r="AT992" s="84"/>
      <c r="AU992" s="84"/>
      <c r="AV992" s="84"/>
      <c r="AW992" s="84"/>
      <c r="AX992" s="84"/>
    </row>
    <row r="993" spans="1:50" ht="16.5" customHeight="1">
      <c r="A993" s="83"/>
      <c r="B993" s="84"/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4"/>
      <c r="V993" s="84"/>
      <c r="W993" s="84"/>
      <c r="X993" s="84"/>
      <c r="Y993" s="84"/>
      <c r="Z993" s="84"/>
      <c r="AA993" s="84"/>
      <c r="AB993" s="84"/>
      <c r="AC993" s="84"/>
      <c r="AD993" s="84"/>
      <c r="AE993" s="84"/>
      <c r="AF993" s="84"/>
      <c r="AG993" s="84"/>
      <c r="AH993" s="84"/>
      <c r="AI993" s="84"/>
      <c r="AJ993" s="84"/>
      <c r="AK993" s="84"/>
      <c r="AL993" s="84"/>
      <c r="AM993" s="84"/>
      <c r="AN993" s="84"/>
      <c r="AO993" s="84"/>
      <c r="AP993" s="84"/>
      <c r="AQ993" s="84"/>
      <c r="AR993" s="84"/>
      <c r="AS993" s="84"/>
      <c r="AT993" s="84"/>
      <c r="AU993" s="84"/>
      <c r="AV993" s="84"/>
      <c r="AW993" s="84"/>
      <c r="AX993" s="84"/>
    </row>
    <row r="994" spans="1:50" ht="16.5" customHeight="1">
      <c r="A994" s="83"/>
      <c r="B994" s="84"/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4"/>
      <c r="V994" s="84"/>
      <c r="W994" s="84"/>
      <c r="X994" s="84"/>
      <c r="Y994" s="84"/>
      <c r="Z994" s="84"/>
      <c r="AA994" s="84"/>
      <c r="AB994" s="84"/>
      <c r="AC994" s="84"/>
      <c r="AD994" s="84"/>
      <c r="AE994" s="84"/>
      <c r="AF994" s="84"/>
      <c r="AG994" s="84"/>
      <c r="AH994" s="84"/>
      <c r="AI994" s="84"/>
      <c r="AJ994" s="84"/>
      <c r="AK994" s="84"/>
      <c r="AL994" s="84"/>
      <c r="AM994" s="84"/>
      <c r="AN994" s="84"/>
      <c r="AO994" s="84"/>
      <c r="AP994" s="84"/>
      <c r="AQ994" s="84"/>
      <c r="AR994" s="84"/>
      <c r="AS994" s="84"/>
      <c r="AT994" s="84"/>
      <c r="AU994" s="84"/>
      <c r="AV994" s="84"/>
      <c r="AW994" s="84"/>
      <c r="AX994" s="84"/>
    </row>
    <row r="995" spans="1:50" ht="16.5" customHeight="1">
      <c r="A995" s="83"/>
      <c r="B995" s="84"/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4"/>
      <c r="V995" s="84"/>
      <c r="W995" s="84"/>
      <c r="X995" s="84"/>
      <c r="Y995" s="84"/>
      <c r="Z995" s="84"/>
      <c r="AA995" s="84"/>
      <c r="AB995" s="84"/>
      <c r="AC995" s="84"/>
      <c r="AD995" s="84"/>
      <c r="AE995" s="84"/>
      <c r="AF995" s="84"/>
      <c r="AG995" s="84"/>
      <c r="AH995" s="84"/>
      <c r="AI995" s="84"/>
      <c r="AJ995" s="84"/>
      <c r="AK995" s="84"/>
      <c r="AL995" s="84"/>
      <c r="AM995" s="84"/>
      <c r="AN995" s="84"/>
      <c r="AO995" s="84"/>
      <c r="AP995" s="84"/>
      <c r="AQ995" s="84"/>
      <c r="AR995" s="84"/>
      <c r="AS995" s="84"/>
      <c r="AT995" s="84"/>
      <c r="AU995" s="84"/>
      <c r="AV995" s="84"/>
      <c r="AW995" s="84"/>
      <c r="AX995" s="84"/>
    </row>
    <row r="996" spans="1:50" ht="16.5" customHeight="1">
      <c r="A996" s="83"/>
      <c r="B996" s="84"/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4"/>
      <c r="V996" s="84"/>
      <c r="W996" s="84"/>
      <c r="X996" s="84"/>
      <c r="Y996" s="84"/>
      <c r="Z996" s="84"/>
      <c r="AA996" s="84"/>
      <c r="AB996" s="84"/>
      <c r="AC996" s="84"/>
      <c r="AD996" s="84"/>
      <c r="AE996" s="84"/>
      <c r="AF996" s="84"/>
      <c r="AG996" s="84"/>
      <c r="AH996" s="84"/>
      <c r="AI996" s="84"/>
      <c r="AJ996" s="84"/>
      <c r="AK996" s="84"/>
      <c r="AL996" s="84"/>
      <c r="AM996" s="84"/>
      <c r="AN996" s="84"/>
      <c r="AO996" s="84"/>
      <c r="AP996" s="84"/>
      <c r="AQ996" s="84"/>
      <c r="AR996" s="84"/>
      <c r="AS996" s="84"/>
      <c r="AT996" s="84"/>
      <c r="AU996" s="84"/>
      <c r="AV996" s="84"/>
      <c r="AW996" s="84"/>
      <c r="AX996" s="84"/>
    </row>
    <row r="997" spans="1:50" ht="16.5" customHeight="1">
      <c r="A997" s="83"/>
      <c r="B997" s="84"/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4"/>
      <c r="V997" s="84"/>
      <c r="W997" s="84"/>
      <c r="X997" s="84"/>
      <c r="Y997" s="84"/>
      <c r="Z997" s="84"/>
      <c r="AA997" s="84"/>
      <c r="AB997" s="84"/>
      <c r="AC997" s="84"/>
      <c r="AD997" s="84"/>
      <c r="AE997" s="84"/>
      <c r="AF997" s="84"/>
      <c r="AG997" s="84"/>
      <c r="AH997" s="84"/>
      <c r="AI997" s="84"/>
      <c r="AJ997" s="84"/>
      <c r="AK997" s="84"/>
      <c r="AL997" s="84"/>
      <c r="AM997" s="84"/>
      <c r="AN997" s="84"/>
      <c r="AO997" s="84"/>
      <c r="AP997" s="84"/>
      <c r="AQ997" s="84"/>
      <c r="AR997" s="84"/>
      <c r="AS997" s="84"/>
      <c r="AT997" s="84"/>
      <c r="AU997" s="84"/>
      <c r="AV997" s="84"/>
      <c r="AW997" s="84"/>
      <c r="AX997" s="84"/>
    </row>
    <row r="998" spans="1:50" ht="16.5" customHeight="1">
      <c r="A998" s="83"/>
      <c r="B998" s="84"/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4"/>
      <c r="V998" s="84"/>
      <c r="W998" s="84"/>
      <c r="X998" s="84"/>
      <c r="Y998" s="84"/>
      <c r="Z998" s="84"/>
      <c r="AA998" s="84"/>
      <c r="AB998" s="84"/>
      <c r="AC998" s="84"/>
      <c r="AD998" s="84"/>
      <c r="AE998" s="84"/>
      <c r="AF998" s="84"/>
      <c r="AG998" s="84"/>
      <c r="AH998" s="84"/>
      <c r="AI998" s="84"/>
      <c r="AJ998" s="84"/>
      <c r="AK998" s="84"/>
      <c r="AL998" s="84"/>
      <c r="AM998" s="84"/>
      <c r="AN998" s="84"/>
      <c r="AO998" s="84"/>
      <c r="AP998" s="84"/>
      <c r="AQ998" s="84"/>
      <c r="AR998" s="84"/>
      <c r="AS998" s="84"/>
      <c r="AT998" s="84"/>
      <c r="AU998" s="84"/>
      <c r="AV998" s="84"/>
      <c r="AW998" s="84"/>
      <c r="AX998" s="84"/>
    </row>
    <row r="999" spans="1:50" ht="16.5" customHeight="1">
      <c r="A999" s="83"/>
      <c r="B999" s="84"/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  <c r="W999" s="84"/>
      <c r="X999" s="84"/>
      <c r="Y999" s="84"/>
      <c r="Z999" s="84"/>
      <c r="AA999" s="84"/>
      <c r="AB999" s="84"/>
      <c r="AC999" s="84"/>
      <c r="AD999" s="84"/>
      <c r="AE999" s="84"/>
      <c r="AF999" s="84"/>
      <c r="AG999" s="84"/>
      <c r="AH999" s="84"/>
      <c r="AI999" s="84"/>
      <c r="AJ999" s="84"/>
      <c r="AK999" s="84"/>
      <c r="AL999" s="84"/>
      <c r="AM999" s="84"/>
      <c r="AN999" s="84"/>
      <c r="AO999" s="84"/>
      <c r="AP999" s="84"/>
      <c r="AQ999" s="84"/>
      <c r="AR999" s="84"/>
      <c r="AS999" s="84"/>
      <c r="AT999" s="84"/>
      <c r="AU999" s="84"/>
      <c r="AV999" s="84"/>
      <c r="AW999" s="84"/>
      <c r="AX999" s="84"/>
    </row>
    <row r="1000" spans="1:50" ht="16.5" customHeight="1">
      <c r="A1000" s="83"/>
      <c r="B1000" s="84"/>
      <c r="C1000" s="84"/>
      <c r="D1000" s="84"/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  <c r="Y1000" s="84"/>
      <c r="Z1000" s="84"/>
      <c r="AA1000" s="84"/>
      <c r="AB1000" s="84"/>
      <c r="AC1000" s="84"/>
      <c r="AD1000" s="84"/>
      <c r="AE1000" s="84"/>
      <c r="AF1000" s="84"/>
      <c r="AG1000" s="84"/>
      <c r="AH1000" s="84"/>
      <c r="AI1000" s="84"/>
      <c r="AJ1000" s="84"/>
      <c r="AK1000" s="84"/>
      <c r="AL1000" s="84"/>
      <c r="AM1000" s="84"/>
      <c r="AN1000" s="84"/>
      <c r="AO1000" s="84"/>
      <c r="AP1000" s="84"/>
      <c r="AQ1000" s="84"/>
      <c r="AR1000" s="84"/>
      <c r="AS1000" s="84"/>
      <c r="AT1000" s="84"/>
      <c r="AU1000" s="84"/>
      <c r="AV1000" s="84"/>
      <c r="AW1000" s="84"/>
      <c r="AX1000" s="84"/>
    </row>
  </sheetData>
  <phoneticPr fontId="12" type="noConversion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Z1000"/>
  <sheetViews>
    <sheetView workbookViewId="0"/>
  </sheetViews>
  <sheetFormatPr defaultColWidth="11.25" defaultRowHeight="15" customHeight="1"/>
  <cols>
    <col min="1" max="2" width="10.5" customWidth="1"/>
    <col min="3" max="11" width="15.625" customWidth="1"/>
    <col min="12" max="26" width="8" customWidth="1"/>
  </cols>
  <sheetData>
    <row r="1" spans="1:26" ht="18.75" customHeight="1">
      <c r="A1" s="118" t="s">
        <v>392</v>
      </c>
      <c r="B1" s="118" t="s">
        <v>393</v>
      </c>
      <c r="C1" s="120" t="s">
        <v>394</v>
      </c>
      <c r="D1" s="121" t="s">
        <v>395</v>
      </c>
      <c r="E1" s="119"/>
      <c r="F1" s="119"/>
      <c r="G1" s="119"/>
      <c r="H1" s="119"/>
      <c r="I1" s="119"/>
      <c r="J1" s="119"/>
      <c r="K1" s="119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1:26" ht="30.75" customHeight="1">
      <c r="A2" s="119"/>
      <c r="B2" s="119"/>
      <c r="C2" s="119"/>
      <c r="D2" s="85" t="s">
        <v>39</v>
      </c>
      <c r="E2" s="85" t="s">
        <v>396</v>
      </c>
      <c r="F2" s="85" t="s">
        <v>397</v>
      </c>
      <c r="G2" s="85" t="s">
        <v>398</v>
      </c>
      <c r="H2" s="85" t="s">
        <v>399</v>
      </c>
      <c r="I2" s="85" t="s">
        <v>400</v>
      </c>
      <c r="J2" s="85" t="s">
        <v>401</v>
      </c>
      <c r="K2" s="86" t="s">
        <v>40</v>
      </c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</row>
    <row r="3" spans="1:26" ht="16.5" customHeight="1">
      <c r="A3" s="87" t="s">
        <v>377</v>
      </c>
      <c r="B3" s="87">
        <v>0.26800000000000002</v>
      </c>
      <c r="C3" s="88">
        <v>2.7E-2</v>
      </c>
      <c r="D3" s="88">
        <f t="shared" ref="D3:D34" si="0">C3*8</f>
        <v>0.216</v>
      </c>
      <c r="E3" s="88">
        <f t="shared" ref="E3:E34" si="1">C3*14</f>
        <v>0.378</v>
      </c>
      <c r="F3" s="88">
        <f t="shared" ref="F3:F34" si="2">C3*16</f>
        <v>0.432</v>
      </c>
      <c r="G3" s="88">
        <f t="shared" ref="G3:G34" si="3">C3*20</f>
        <v>0.54</v>
      </c>
      <c r="H3" s="88">
        <f t="shared" ref="H3:H34" si="4">C3*60</f>
        <v>1.6199999999999999</v>
      </c>
      <c r="I3" s="88">
        <f t="shared" ref="I3:I34" si="5">0.5*(1-0.5^2)</f>
        <v>0.375</v>
      </c>
      <c r="J3" s="88">
        <f t="shared" ref="J3:J34" si="6">(1-0.5^2)^2</f>
        <v>0.5625</v>
      </c>
      <c r="K3" s="88">
        <v>1.5</v>
      </c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6.5" customHeight="1">
      <c r="A4" s="87" t="s">
        <v>378</v>
      </c>
      <c r="B4" s="87">
        <v>0.36199999999999999</v>
      </c>
      <c r="C4" s="88">
        <v>2.7E-2</v>
      </c>
      <c r="D4" s="88">
        <f t="shared" si="0"/>
        <v>0.216</v>
      </c>
      <c r="E4" s="88">
        <f t="shared" si="1"/>
        <v>0.378</v>
      </c>
      <c r="F4" s="88">
        <f t="shared" si="2"/>
        <v>0.432</v>
      </c>
      <c r="G4" s="88">
        <f t="shared" si="3"/>
        <v>0.54</v>
      </c>
      <c r="H4" s="88">
        <f t="shared" si="4"/>
        <v>1.6199999999999999</v>
      </c>
      <c r="I4" s="88">
        <f t="shared" si="5"/>
        <v>0.375</v>
      </c>
      <c r="J4" s="88">
        <f t="shared" si="6"/>
        <v>0.5625</v>
      </c>
      <c r="K4" s="88">
        <v>1.5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</row>
    <row r="5" spans="1:26" ht="16.5" customHeight="1">
      <c r="A5" s="87" t="s">
        <v>379</v>
      </c>
      <c r="B5" s="87">
        <v>0.49199999999999999</v>
      </c>
      <c r="C5" s="88">
        <v>2.7E-2</v>
      </c>
      <c r="D5" s="88">
        <f t="shared" si="0"/>
        <v>0.216</v>
      </c>
      <c r="E5" s="88">
        <f t="shared" si="1"/>
        <v>0.378</v>
      </c>
      <c r="F5" s="88">
        <f t="shared" si="2"/>
        <v>0.432</v>
      </c>
      <c r="G5" s="88">
        <f t="shared" si="3"/>
        <v>0.54</v>
      </c>
      <c r="H5" s="88">
        <f t="shared" si="4"/>
        <v>1.6199999999999999</v>
      </c>
      <c r="I5" s="88">
        <f t="shared" si="5"/>
        <v>0.375</v>
      </c>
      <c r="J5" s="88">
        <f t="shared" si="6"/>
        <v>0.5625</v>
      </c>
      <c r="K5" s="88">
        <v>1.5</v>
      </c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</row>
    <row r="6" spans="1:26" ht="16.5" customHeight="1">
      <c r="A6" s="87" t="s">
        <v>380</v>
      </c>
      <c r="B6" s="87">
        <v>0.622</v>
      </c>
      <c r="C6" s="88">
        <v>2.5000000000000001E-2</v>
      </c>
      <c r="D6" s="88">
        <f t="shared" si="0"/>
        <v>0.2</v>
      </c>
      <c r="E6" s="88">
        <f t="shared" si="1"/>
        <v>0.35000000000000003</v>
      </c>
      <c r="F6" s="88">
        <f t="shared" si="2"/>
        <v>0.4</v>
      </c>
      <c r="G6" s="88">
        <f t="shared" si="3"/>
        <v>0.5</v>
      </c>
      <c r="H6" s="88">
        <f t="shared" si="4"/>
        <v>1.5</v>
      </c>
      <c r="I6" s="88">
        <f t="shared" si="5"/>
        <v>0.375</v>
      </c>
      <c r="J6" s="88">
        <f t="shared" si="6"/>
        <v>0.5625</v>
      </c>
      <c r="K6" s="88">
        <v>1.5</v>
      </c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</row>
    <row r="7" spans="1:26" ht="16.5" customHeight="1">
      <c r="A7" s="87" t="s">
        <v>244</v>
      </c>
      <c r="B7" s="87">
        <v>0.82399999999999995</v>
      </c>
      <c r="C7" s="88">
        <v>2.3E-2</v>
      </c>
      <c r="D7" s="88">
        <f t="shared" si="0"/>
        <v>0.184</v>
      </c>
      <c r="E7" s="88">
        <f t="shared" si="1"/>
        <v>0.32200000000000001</v>
      </c>
      <c r="F7" s="88">
        <f t="shared" si="2"/>
        <v>0.36799999999999999</v>
      </c>
      <c r="G7" s="88">
        <f t="shared" si="3"/>
        <v>0.45999999999999996</v>
      </c>
      <c r="H7" s="88">
        <f t="shared" si="4"/>
        <v>1.38</v>
      </c>
      <c r="I7" s="88">
        <f t="shared" si="5"/>
        <v>0.375</v>
      </c>
      <c r="J7" s="88">
        <f t="shared" si="6"/>
        <v>0.5625</v>
      </c>
      <c r="K7" s="88">
        <v>1.5</v>
      </c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</row>
    <row r="8" spans="1:26" ht="16.5" customHeight="1">
      <c r="A8" s="87" t="s">
        <v>245</v>
      </c>
      <c r="B8" s="87">
        <v>1.0489999999999999</v>
      </c>
      <c r="C8" s="88">
        <v>2.1999999999999999E-2</v>
      </c>
      <c r="D8" s="88">
        <f t="shared" si="0"/>
        <v>0.17599999999999999</v>
      </c>
      <c r="E8" s="88">
        <f t="shared" si="1"/>
        <v>0.308</v>
      </c>
      <c r="F8" s="88">
        <f t="shared" si="2"/>
        <v>0.35199999999999998</v>
      </c>
      <c r="G8" s="88">
        <f t="shared" si="3"/>
        <v>0.43999999999999995</v>
      </c>
      <c r="H8" s="88">
        <f t="shared" si="4"/>
        <v>1.3199999999999998</v>
      </c>
      <c r="I8" s="88">
        <f t="shared" si="5"/>
        <v>0.375</v>
      </c>
      <c r="J8" s="88">
        <f t="shared" si="6"/>
        <v>0.5625</v>
      </c>
      <c r="K8" s="88">
        <v>1.5</v>
      </c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</row>
    <row r="9" spans="1:26" ht="16.5" customHeight="1">
      <c r="A9" s="87" t="s">
        <v>269</v>
      </c>
      <c r="B9" s="87">
        <v>1.61</v>
      </c>
      <c r="C9" s="88">
        <v>2.1000000000000001E-2</v>
      </c>
      <c r="D9" s="88">
        <f t="shared" si="0"/>
        <v>0.16800000000000001</v>
      </c>
      <c r="E9" s="88">
        <f t="shared" si="1"/>
        <v>0.29400000000000004</v>
      </c>
      <c r="F9" s="88">
        <f t="shared" si="2"/>
        <v>0.33600000000000002</v>
      </c>
      <c r="G9" s="88">
        <f t="shared" si="3"/>
        <v>0.42000000000000004</v>
      </c>
      <c r="H9" s="88">
        <f t="shared" si="4"/>
        <v>1.26</v>
      </c>
      <c r="I9" s="88">
        <f t="shared" si="5"/>
        <v>0.375</v>
      </c>
      <c r="J9" s="88">
        <f t="shared" si="6"/>
        <v>0.5625</v>
      </c>
      <c r="K9" s="88">
        <v>1.5</v>
      </c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</row>
    <row r="10" spans="1:26" ht="16.5" customHeight="1">
      <c r="A10" s="87" t="s">
        <v>270</v>
      </c>
      <c r="B10" s="87">
        <v>2.0670000000000002</v>
      </c>
      <c r="C10" s="88">
        <v>1.9E-2</v>
      </c>
      <c r="D10" s="88">
        <f t="shared" si="0"/>
        <v>0.152</v>
      </c>
      <c r="E10" s="88">
        <f t="shared" si="1"/>
        <v>0.26600000000000001</v>
      </c>
      <c r="F10" s="88">
        <f t="shared" si="2"/>
        <v>0.30399999999999999</v>
      </c>
      <c r="G10" s="88">
        <f t="shared" si="3"/>
        <v>0.38</v>
      </c>
      <c r="H10" s="88">
        <f t="shared" si="4"/>
        <v>1.1399999999999999</v>
      </c>
      <c r="I10" s="88">
        <f t="shared" si="5"/>
        <v>0.375</v>
      </c>
      <c r="J10" s="88">
        <f t="shared" si="6"/>
        <v>0.5625</v>
      </c>
      <c r="K10" s="88">
        <v>1.5</v>
      </c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</row>
    <row r="11" spans="1:26" ht="16.5" customHeight="1">
      <c r="A11" s="87" t="s">
        <v>271</v>
      </c>
      <c r="B11" s="87">
        <v>3.0680000000000001</v>
      </c>
      <c r="C11" s="88">
        <v>1.7999999999999999E-2</v>
      </c>
      <c r="D11" s="88">
        <f t="shared" si="0"/>
        <v>0.14399999999999999</v>
      </c>
      <c r="E11" s="88">
        <f t="shared" si="1"/>
        <v>0.252</v>
      </c>
      <c r="F11" s="88">
        <f t="shared" si="2"/>
        <v>0.28799999999999998</v>
      </c>
      <c r="G11" s="88">
        <f t="shared" si="3"/>
        <v>0.36</v>
      </c>
      <c r="H11" s="88">
        <f t="shared" si="4"/>
        <v>1.0799999999999998</v>
      </c>
      <c r="I11" s="88">
        <f t="shared" si="5"/>
        <v>0.375</v>
      </c>
      <c r="J11" s="88">
        <f t="shared" si="6"/>
        <v>0.5625</v>
      </c>
      <c r="K11" s="88">
        <v>1.5</v>
      </c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</row>
    <row r="12" spans="1:26" ht="16.5" customHeight="1">
      <c r="A12" s="87" t="s">
        <v>274</v>
      </c>
      <c r="B12" s="87">
        <v>4.0259999999999998</v>
      </c>
      <c r="C12" s="88">
        <v>1.7000000000000001E-2</v>
      </c>
      <c r="D12" s="88">
        <f t="shared" si="0"/>
        <v>0.13600000000000001</v>
      </c>
      <c r="E12" s="88">
        <f t="shared" si="1"/>
        <v>0.23800000000000002</v>
      </c>
      <c r="F12" s="88">
        <f t="shared" si="2"/>
        <v>0.27200000000000002</v>
      </c>
      <c r="G12" s="88">
        <f t="shared" si="3"/>
        <v>0.34</v>
      </c>
      <c r="H12" s="88">
        <f t="shared" si="4"/>
        <v>1.02</v>
      </c>
      <c r="I12" s="88">
        <f t="shared" si="5"/>
        <v>0.375</v>
      </c>
      <c r="J12" s="88">
        <f t="shared" si="6"/>
        <v>0.5625</v>
      </c>
      <c r="K12" s="88">
        <v>1.5</v>
      </c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</row>
    <row r="13" spans="1:26" ht="16.5" customHeight="1">
      <c r="A13" s="87" t="s">
        <v>276</v>
      </c>
      <c r="B13" s="87">
        <v>6.0650000000000004</v>
      </c>
      <c r="C13" s="88">
        <v>1.4999999999999999E-2</v>
      </c>
      <c r="D13" s="88">
        <f t="shared" si="0"/>
        <v>0.12</v>
      </c>
      <c r="E13" s="88">
        <f t="shared" si="1"/>
        <v>0.21</v>
      </c>
      <c r="F13" s="88">
        <f t="shared" si="2"/>
        <v>0.24</v>
      </c>
      <c r="G13" s="88">
        <f t="shared" si="3"/>
        <v>0.3</v>
      </c>
      <c r="H13" s="88">
        <f t="shared" si="4"/>
        <v>0.89999999999999991</v>
      </c>
      <c r="I13" s="88">
        <f t="shared" si="5"/>
        <v>0.375</v>
      </c>
      <c r="J13" s="88">
        <f t="shared" si="6"/>
        <v>0.5625</v>
      </c>
      <c r="K13" s="88">
        <v>1.5</v>
      </c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</row>
    <row r="14" spans="1:26" ht="16.5" customHeight="1">
      <c r="A14" s="87" t="s">
        <v>22</v>
      </c>
      <c r="B14" s="87">
        <v>7.9809999999999999</v>
      </c>
      <c r="C14" s="88">
        <v>1.4E-2</v>
      </c>
      <c r="D14" s="88">
        <f t="shared" si="0"/>
        <v>0.112</v>
      </c>
      <c r="E14" s="88">
        <f t="shared" si="1"/>
        <v>0.19600000000000001</v>
      </c>
      <c r="F14" s="88">
        <f t="shared" si="2"/>
        <v>0.224</v>
      </c>
      <c r="G14" s="88">
        <f t="shared" si="3"/>
        <v>0.28000000000000003</v>
      </c>
      <c r="H14" s="88">
        <f t="shared" si="4"/>
        <v>0.84</v>
      </c>
      <c r="I14" s="88">
        <f t="shared" si="5"/>
        <v>0.375</v>
      </c>
      <c r="J14" s="88">
        <f t="shared" si="6"/>
        <v>0.5625</v>
      </c>
      <c r="K14" s="88">
        <v>1.5</v>
      </c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</row>
    <row r="15" spans="1:26" ht="16.5" customHeight="1">
      <c r="A15" s="87" t="s">
        <v>282</v>
      </c>
      <c r="B15" s="87">
        <v>10.02</v>
      </c>
      <c r="C15" s="88">
        <v>1.4E-2</v>
      </c>
      <c r="D15" s="88">
        <f t="shared" si="0"/>
        <v>0.112</v>
      </c>
      <c r="E15" s="88">
        <f t="shared" si="1"/>
        <v>0.19600000000000001</v>
      </c>
      <c r="F15" s="88">
        <f t="shared" si="2"/>
        <v>0.224</v>
      </c>
      <c r="G15" s="88">
        <f t="shared" si="3"/>
        <v>0.28000000000000003</v>
      </c>
      <c r="H15" s="88">
        <f t="shared" si="4"/>
        <v>0.84</v>
      </c>
      <c r="I15" s="88">
        <f t="shared" si="5"/>
        <v>0.375</v>
      </c>
      <c r="J15" s="88">
        <f t="shared" si="6"/>
        <v>0.5625</v>
      </c>
      <c r="K15" s="88">
        <v>1.5</v>
      </c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</row>
    <row r="16" spans="1:26" ht="16.5" customHeight="1">
      <c r="A16" s="87" t="s">
        <v>381</v>
      </c>
      <c r="B16" s="87">
        <v>12</v>
      </c>
      <c r="C16" s="88">
        <v>1.2999999999999999E-2</v>
      </c>
      <c r="D16" s="88">
        <f t="shared" si="0"/>
        <v>0.104</v>
      </c>
      <c r="E16" s="88">
        <f t="shared" si="1"/>
        <v>0.182</v>
      </c>
      <c r="F16" s="88">
        <f t="shared" si="2"/>
        <v>0.20799999999999999</v>
      </c>
      <c r="G16" s="88">
        <f t="shared" si="3"/>
        <v>0.26</v>
      </c>
      <c r="H16" s="88">
        <f t="shared" si="4"/>
        <v>0.77999999999999992</v>
      </c>
      <c r="I16" s="88">
        <f t="shared" si="5"/>
        <v>0.375</v>
      </c>
      <c r="J16" s="88">
        <f t="shared" si="6"/>
        <v>0.5625</v>
      </c>
      <c r="K16" s="88">
        <v>1.5</v>
      </c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</row>
    <row r="17" spans="1:26" ht="16.5" customHeight="1">
      <c r="A17" s="87" t="s">
        <v>382</v>
      </c>
      <c r="B17" s="87">
        <v>13.25</v>
      </c>
      <c r="C17" s="88">
        <v>1.2999999999999999E-2</v>
      </c>
      <c r="D17" s="88">
        <f t="shared" si="0"/>
        <v>0.104</v>
      </c>
      <c r="E17" s="88">
        <f t="shared" si="1"/>
        <v>0.182</v>
      </c>
      <c r="F17" s="88">
        <f t="shared" si="2"/>
        <v>0.20799999999999999</v>
      </c>
      <c r="G17" s="88">
        <f t="shared" si="3"/>
        <v>0.26</v>
      </c>
      <c r="H17" s="88">
        <f t="shared" si="4"/>
        <v>0.77999999999999992</v>
      </c>
      <c r="I17" s="88">
        <f t="shared" si="5"/>
        <v>0.375</v>
      </c>
      <c r="J17" s="88">
        <f t="shared" si="6"/>
        <v>0.5625</v>
      </c>
      <c r="K17" s="88">
        <v>1.5</v>
      </c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</row>
    <row r="18" spans="1:26" ht="16.5" customHeight="1">
      <c r="A18" s="87" t="s">
        <v>383</v>
      </c>
      <c r="B18" s="87">
        <v>15.25</v>
      </c>
      <c r="C18" s="88">
        <v>1.2999999999999999E-2</v>
      </c>
      <c r="D18" s="88">
        <f t="shared" si="0"/>
        <v>0.104</v>
      </c>
      <c r="E18" s="88">
        <f t="shared" si="1"/>
        <v>0.182</v>
      </c>
      <c r="F18" s="88">
        <f t="shared" si="2"/>
        <v>0.20799999999999999</v>
      </c>
      <c r="G18" s="88">
        <f t="shared" si="3"/>
        <v>0.26</v>
      </c>
      <c r="H18" s="88">
        <f t="shared" si="4"/>
        <v>0.77999999999999992</v>
      </c>
      <c r="I18" s="88">
        <f t="shared" si="5"/>
        <v>0.375</v>
      </c>
      <c r="J18" s="88">
        <f t="shared" si="6"/>
        <v>0.5625</v>
      </c>
      <c r="K18" s="88">
        <v>1.5</v>
      </c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</row>
    <row r="19" spans="1:26" ht="16.5" customHeight="1">
      <c r="A19" s="87" t="s">
        <v>384</v>
      </c>
      <c r="B19" s="87">
        <v>17.25</v>
      </c>
      <c r="C19" s="88">
        <v>1.2E-2</v>
      </c>
      <c r="D19" s="88">
        <f t="shared" si="0"/>
        <v>9.6000000000000002E-2</v>
      </c>
      <c r="E19" s="88">
        <f t="shared" si="1"/>
        <v>0.16800000000000001</v>
      </c>
      <c r="F19" s="88">
        <f t="shared" si="2"/>
        <v>0.192</v>
      </c>
      <c r="G19" s="88">
        <f t="shared" si="3"/>
        <v>0.24</v>
      </c>
      <c r="H19" s="88">
        <f t="shared" si="4"/>
        <v>0.72</v>
      </c>
      <c r="I19" s="88">
        <f t="shared" si="5"/>
        <v>0.375</v>
      </c>
      <c r="J19" s="88">
        <f t="shared" si="6"/>
        <v>0.5625</v>
      </c>
      <c r="K19" s="88">
        <v>1.5</v>
      </c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 spans="1:26" ht="16.5" customHeight="1">
      <c r="A20" s="87" t="s">
        <v>301</v>
      </c>
      <c r="B20" s="87">
        <v>19.25</v>
      </c>
      <c r="C20" s="88">
        <v>1.2E-2</v>
      </c>
      <c r="D20" s="88">
        <f t="shared" si="0"/>
        <v>9.6000000000000002E-2</v>
      </c>
      <c r="E20" s="88">
        <f t="shared" si="1"/>
        <v>0.16800000000000001</v>
      </c>
      <c r="F20" s="88">
        <f t="shared" si="2"/>
        <v>0.192</v>
      </c>
      <c r="G20" s="88">
        <f t="shared" si="3"/>
        <v>0.24</v>
      </c>
      <c r="H20" s="88">
        <f t="shared" si="4"/>
        <v>0.72</v>
      </c>
      <c r="I20" s="88">
        <f t="shared" si="5"/>
        <v>0.375</v>
      </c>
      <c r="J20" s="88">
        <f t="shared" si="6"/>
        <v>0.5625</v>
      </c>
      <c r="K20" s="88">
        <v>1.5</v>
      </c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</row>
    <row r="21" spans="1:26" ht="16.5" customHeight="1">
      <c r="A21" s="72" t="s">
        <v>385</v>
      </c>
      <c r="B21" s="72">
        <v>21.25</v>
      </c>
      <c r="C21" s="88">
        <v>1.2E-2</v>
      </c>
      <c r="D21" s="88">
        <f t="shared" si="0"/>
        <v>9.6000000000000002E-2</v>
      </c>
      <c r="E21" s="88">
        <f t="shared" si="1"/>
        <v>0.16800000000000001</v>
      </c>
      <c r="F21" s="88">
        <f t="shared" si="2"/>
        <v>0.192</v>
      </c>
      <c r="G21" s="88">
        <f t="shared" si="3"/>
        <v>0.24</v>
      </c>
      <c r="H21" s="88">
        <f t="shared" si="4"/>
        <v>0.72</v>
      </c>
      <c r="I21" s="88">
        <f t="shared" si="5"/>
        <v>0.375</v>
      </c>
      <c r="J21" s="88">
        <f t="shared" si="6"/>
        <v>0.5625</v>
      </c>
      <c r="K21" s="88">
        <v>1.5</v>
      </c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</row>
    <row r="22" spans="1:26" ht="16.5" customHeight="1">
      <c r="A22" s="72" t="s">
        <v>386</v>
      </c>
      <c r="B22" s="72">
        <v>23.25</v>
      </c>
      <c r="C22" s="88">
        <v>1.2E-2</v>
      </c>
      <c r="D22" s="88">
        <f t="shared" si="0"/>
        <v>9.6000000000000002E-2</v>
      </c>
      <c r="E22" s="88">
        <f t="shared" si="1"/>
        <v>0.16800000000000001</v>
      </c>
      <c r="F22" s="88">
        <f t="shared" si="2"/>
        <v>0.192</v>
      </c>
      <c r="G22" s="88">
        <f t="shared" si="3"/>
        <v>0.24</v>
      </c>
      <c r="H22" s="88">
        <f t="shared" si="4"/>
        <v>0.72</v>
      </c>
      <c r="I22" s="88">
        <f t="shared" si="5"/>
        <v>0.375</v>
      </c>
      <c r="J22" s="88">
        <f t="shared" si="6"/>
        <v>0.5625</v>
      </c>
      <c r="K22" s="88">
        <v>1.5</v>
      </c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</row>
    <row r="23" spans="1:26" ht="16.5" customHeight="1">
      <c r="A23" s="72" t="s">
        <v>402</v>
      </c>
      <c r="B23" s="72" t="s">
        <v>403</v>
      </c>
      <c r="C23" s="88">
        <v>1.2E-2</v>
      </c>
      <c r="D23" s="88">
        <f t="shared" si="0"/>
        <v>9.6000000000000002E-2</v>
      </c>
      <c r="E23" s="88">
        <f t="shared" si="1"/>
        <v>0.16800000000000001</v>
      </c>
      <c r="F23" s="88">
        <f t="shared" si="2"/>
        <v>0.192</v>
      </c>
      <c r="G23" s="88">
        <f t="shared" si="3"/>
        <v>0.24</v>
      </c>
      <c r="H23" s="88">
        <f t="shared" si="4"/>
        <v>0.72</v>
      </c>
      <c r="I23" s="88">
        <f t="shared" si="5"/>
        <v>0.375</v>
      </c>
      <c r="J23" s="88">
        <f t="shared" si="6"/>
        <v>0.5625</v>
      </c>
      <c r="K23" s="88">
        <v>1.5</v>
      </c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</row>
    <row r="24" spans="1:26" ht="16.5" customHeight="1">
      <c r="A24" s="72" t="s">
        <v>404</v>
      </c>
      <c r="B24" s="72" t="s">
        <v>405</v>
      </c>
      <c r="C24" s="88">
        <v>1.2E-2</v>
      </c>
      <c r="D24" s="88">
        <f t="shared" si="0"/>
        <v>9.6000000000000002E-2</v>
      </c>
      <c r="E24" s="88">
        <f t="shared" si="1"/>
        <v>0.16800000000000001</v>
      </c>
      <c r="F24" s="88">
        <f t="shared" si="2"/>
        <v>0.192</v>
      </c>
      <c r="G24" s="88">
        <f t="shared" si="3"/>
        <v>0.24</v>
      </c>
      <c r="H24" s="88">
        <f t="shared" si="4"/>
        <v>0.72</v>
      </c>
      <c r="I24" s="88">
        <f t="shared" si="5"/>
        <v>0.375</v>
      </c>
      <c r="J24" s="88">
        <f t="shared" si="6"/>
        <v>0.5625</v>
      </c>
      <c r="K24" s="88">
        <v>1.5</v>
      </c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</row>
    <row r="25" spans="1:26" ht="16.5" customHeight="1">
      <c r="A25" s="72" t="s">
        <v>387</v>
      </c>
      <c r="B25" s="72">
        <v>29.25</v>
      </c>
      <c r="C25" s="88">
        <v>1.2E-2</v>
      </c>
      <c r="D25" s="88">
        <f t="shared" si="0"/>
        <v>9.6000000000000002E-2</v>
      </c>
      <c r="E25" s="88">
        <f t="shared" si="1"/>
        <v>0.16800000000000001</v>
      </c>
      <c r="F25" s="88">
        <f t="shared" si="2"/>
        <v>0.192</v>
      </c>
      <c r="G25" s="88">
        <f t="shared" si="3"/>
        <v>0.24</v>
      </c>
      <c r="H25" s="88">
        <f t="shared" si="4"/>
        <v>0.72</v>
      </c>
      <c r="I25" s="88">
        <f t="shared" si="5"/>
        <v>0.375</v>
      </c>
      <c r="J25" s="88">
        <f t="shared" si="6"/>
        <v>0.5625</v>
      </c>
      <c r="K25" s="88">
        <v>1.5</v>
      </c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</row>
    <row r="26" spans="1:26" ht="16.5" customHeight="1">
      <c r="A26" s="72" t="s">
        <v>406</v>
      </c>
      <c r="B26" s="72" t="s">
        <v>407</v>
      </c>
      <c r="C26" s="88">
        <v>1.2E-2</v>
      </c>
      <c r="D26" s="88">
        <f t="shared" si="0"/>
        <v>9.6000000000000002E-2</v>
      </c>
      <c r="E26" s="88">
        <f t="shared" si="1"/>
        <v>0.16800000000000001</v>
      </c>
      <c r="F26" s="88">
        <f t="shared" si="2"/>
        <v>0.192</v>
      </c>
      <c r="G26" s="88">
        <f t="shared" si="3"/>
        <v>0.24</v>
      </c>
      <c r="H26" s="88">
        <f t="shared" si="4"/>
        <v>0.72</v>
      </c>
      <c r="I26" s="88">
        <f t="shared" si="5"/>
        <v>0.375</v>
      </c>
      <c r="J26" s="88">
        <f t="shared" si="6"/>
        <v>0.5625</v>
      </c>
      <c r="K26" s="88">
        <v>1.5</v>
      </c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</row>
    <row r="27" spans="1:26" ht="16.5" customHeight="1">
      <c r="A27" s="72" t="s">
        <v>388</v>
      </c>
      <c r="B27" s="72">
        <v>35.25</v>
      </c>
      <c r="C27" s="88">
        <v>1.2E-2</v>
      </c>
      <c r="D27" s="88">
        <f t="shared" si="0"/>
        <v>9.6000000000000002E-2</v>
      </c>
      <c r="E27" s="88">
        <f t="shared" si="1"/>
        <v>0.16800000000000001</v>
      </c>
      <c r="F27" s="88">
        <f t="shared" si="2"/>
        <v>0.192</v>
      </c>
      <c r="G27" s="88">
        <f t="shared" si="3"/>
        <v>0.24</v>
      </c>
      <c r="H27" s="88">
        <f t="shared" si="4"/>
        <v>0.72</v>
      </c>
      <c r="I27" s="88">
        <f t="shared" si="5"/>
        <v>0.375</v>
      </c>
      <c r="J27" s="88">
        <f t="shared" si="6"/>
        <v>0.5625</v>
      </c>
      <c r="K27" s="88">
        <v>1.5</v>
      </c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</row>
    <row r="28" spans="1:26" ht="16.5" customHeight="1">
      <c r="A28" s="72" t="s">
        <v>389</v>
      </c>
      <c r="B28" s="72">
        <v>41.25</v>
      </c>
      <c r="C28" s="88">
        <v>1.2E-2</v>
      </c>
      <c r="D28" s="88">
        <f t="shared" si="0"/>
        <v>9.6000000000000002E-2</v>
      </c>
      <c r="E28" s="88">
        <f t="shared" si="1"/>
        <v>0.16800000000000001</v>
      </c>
      <c r="F28" s="88">
        <f t="shared" si="2"/>
        <v>0.192</v>
      </c>
      <c r="G28" s="88">
        <f t="shared" si="3"/>
        <v>0.24</v>
      </c>
      <c r="H28" s="88">
        <f t="shared" si="4"/>
        <v>0.72</v>
      </c>
      <c r="I28" s="88">
        <f t="shared" si="5"/>
        <v>0.375</v>
      </c>
      <c r="J28" s="88">
        <f t="shared" si="6"/>
        <v>0.5625</v>
      </c>
      <c r="K28" s="88">
        <v>1.5</v>
      </c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</row>
    <row r="29" spans="1:26" ht="16.5" customHeight="1">
      <c r="A29" s="87" t="s">
        <v>390</v>
      </c>
      <c r="B29" s="87" t="s">
        <v>408</v>
      </c>
      <c r="C29" s="88">
        <v>1.2E-2</v>
      </c>
      <c r="D29" s="88">
        <f t="shared" si="0"/>
        <v>9.6000000000000002E-2</v>
      </c>
      <c r="E29" s="88">
        <f t="shared" si="1"/>
        <v>0.16800000000000001</v>
      </c>
      <c r="F29" s="88">
        <f t="shared" si="2"/>
        <v>0.192</v>
      </c>
      <c r="G29" s="88">
        <f t="shared" si="3"/>
        <v>0.24</v>
      </c>
      <c r="H29" s="88">
        <f t="shared" si="4"/>
        <v>0.72</v>
      </c>
      <c r="I29" s="88">
        <f t="shared" si="5"/>
        <v>0.375</v>
      </c>
      <c r="J29" s="88">
        <f t="shared" si="6"/>
        <v>0.5625</v>
      </c>
      <c r="K29" s="88">
        <v>1.5</v>
      </c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</row>
    <row r="30" spans="1:26" ht="16.5" customHeight="1">
      <c r="A30" s="72">
        <v>48</v>
      </c>
      <c r="B30" s="72">
        <v>47.25</v>
      </c>
      <c r="C30" s="88">
        <v>1.2E-2</v>
      </c>
      <c r="D30" s="88">
        <f t="shared" si="0"/>
        <v>9.6000000000000002E-2</v>
      </c>
      <c r="E30" s="88">
        <f t="shared" si="1"/>
        <v>0.16800000000000001</v>
      </c>
      <c r="F30" s="88">
        <f t="shared" si="2"/>
        <v>0.192</v>
      </c>
      <c r="G30" s="88">
        <f t="shared" si="3"/>
        <v>0.24</v>
      </c>
      <c r="H30" s="88">
        <f t="shared" si="4"/>
        <v>0.72</v>
      </c>
      <c r="I30" s="88">
        <f t="shared" si="5"/>
        <v>0.375</v>
      </c>
      <c r="J30" s="88">
        <f t="shared" si="6"/>
        <v>0.5625</v>
      </c>
      <c r="K30" s="88">
        <v>1.5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</row>
    <row r="31" spans="1:26" ht="16.5" customHeight="1">
      <c r="A31" s="72">
        <v>54</v>
      </c>
      <c r="B31" s="72">
        <v>53.25</v>
      </c>
      <c r="C31" s="88">
        <v>1.2E-2</v>
      </c>
      <c r="D31" s="88">
        <f t="shared" si="0"/>
        <v>9.6000000000000002E-2</v>
      </c>
      <c r="E31" s="88">
        <f t="shared" si="1"/>
        <v>0.16800000000000001</v>
      </c>
      <c r="F31" s="88">
        <f t="shared" si="2"/>
        <v>0.192</v>
      </c>
      <c r="G31" s="88">
        <f t="shared" si="3"/>
        <v>0.24</v>
      </c>
      <c r="H31" s="88">
        <f t="shared" si="4"/>
        <v>0.72</v>
      </c>
      <c r="I31" s="88">
        <f t="shared" si="5"/>
        <v>0.375</v>
      </c>
      <c r="J31" s="88">
        <f t="shared" si="6"/>
        <v>0.5625</v>
      </c>
      <c r="K31" s="88">
        <v>1.5</v>
      </c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</row>
    <row r="32" spans="1:26" ht="16.5" customHeight="1">
      <c r="A32" s="72">
        <v>60</v>
      </c>
      <c r="B32" s="72">
        <v>59.25</v>
      </c>
      <c r="C32" s="88">
        <v>1.2E-2</v>
      </c>
      <c r="D32" s="88">
        <f t="shared" si="0"/>
        <v>9.6000000000000002E-2</v>
      </c>
      <c r="E32" s="88">
        <f t="shared" si="1"/>
        <v>0.16800000000000001</v>
      </c>
      <c r="F32" s="88">
        <f t="shared" si="2"/>
        <v>0.192</v>
      </c>
      <c r="G32" s="88">
        <f t="shared" si="3"/>
        <v>0.24</v>
      </c>
      <c r="H32" s="88">
        <f t="shared" si="4"/>
        <v>0.72</v>
      </c>
      <c r="I32" s="88">
        <f t="shared" si="5"/>
        <v>0.375</v>
      </c>
      <c r="J32" s="88">
        <f t="shared" si="6"/>
        <v>0.5625</v>
      </c>
      <c r="K32" s="88">
        <v>1.5</v>
      </c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</row>
    <row r="33" spans="1:26" ht="16.5" customHeight="1">
      <c r="A33" s="87" t="s">
        <v>391</v>
      </c>
      <c r="B33" s="87" t="s">
        <v>409</v>
      </c>
      <c r="C33" s="88">
        <v>1.2E-2</v>
      </c>
      <c r="D33" s="88">
        <f t="shared" si="0"/>
        <v>9.6000000000000002E-2</v>
      </c>
      <c r="E33" s="88">
        <f t="shared" si="1"/>
        <v>0.16800000000000001</v>
      </c>
      <c r="F33" s="88">
        <f t="shared" si="2"/>
        <v>0.192</v>
      </c>
      <c r="G33" s="88">
        <f t="shared" si="3"/>
        <v>0.24</v>
      </c>
      <c r="H33" s="88">
        <f t="shared" si="4"/>
        <v>0.72</v>
      </c>
      <c r="I33" s="88">
        <f t="shared" si="5"/>
        <v>0.375</v>
      </c>
      <c r="J33" s="88">
        <f t="shared" si="6"/>
        <v>0.5625</v>
      </c>
      <c r="K33" s="88">
        <v>1.5</v>
      </c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</row>
    <row r="34" spans="1:26" ht="16.5" customHeight="1">
      <c r="A34" s="72">
        <v>72</v>
      </c>
      <c r="B34" s="72">
        <v>71.25</v>
      </c>
      <c r="C34" s="88">
        <v>1.2E-2</v>
      </c>
      <c r="D34" s="88">
        <f t="shared" si="0"/>
        <v>9.6000000000000002E-2</v>
      </c>
      <c r="E34" s="88">
        <f t="shared" si="1"/>
        <v>0.16800000000000001</v>
      </c>
      <c r="F34" s="88">
        <f t="shared" si="2"/>
        <v>0.192</v>
      </c>
      <c r="G34" s="88">
        <f t="shared" si="3"/>
        <v>0.24</v>
      </c>
      <c r="H34" s="88">
        <f t="shared" si="4"/>
        <v>0.72</v>
      </c>
      <c r="I34" s="88">
        <f t="shared" si="5"/>
        <v>0.375</v>
      </c>
      <c r="J34" s="88">
        <f t="shared" si="6"/>
        <v>0.5625</v>
      </c>
      <c r="K34" s="88">
        <v>1.5</v>
      </c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</row>
    <row r="35" spans="1:26" ht="16.5" customHeight="1">
      <c r="A35" s="66"/>
      <c r="B35" s="66"/>
      <c r="C35" s="89"/>
      <c r="D35" s="89"/>
      <c r="E35" s="89"/>
      <c r="F35" s="89"/>
      <c r="G35" s="89"/>
      <c r="H35" s="89"/>
      <c r="I35" s="89"/>
      <c r="J35" s="89"/>
      <c r="K35" s="89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</row>
    <row r="36" spans="1:26" ht="16.5" customHeight="1">
      <c r="A36" s="66"/>
      <c r="B36" s="66"/>
      <c r="C36" s="89"/>
      <c r="D36" s="89"/>
      <c r="E36" s="89"/>
      <c r="F36" s="89"/>
      <c r="G36" s="89"/>
      <c r="H36" s="89"/>
      <c r="I36" s="89"/>
      <c r="J36" s="89"/>
      <c r="K36" s="89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</row>
    <row r="37" spans="1:26" ht="16.5" customHeight="1">
      <c r="A37" s="66"/>
      <c r="B37" s="66"/>
      <c r="C37" s="89"/>
      <c r="D37" s="89"/>
      <c r="E37" s="89"/>
      <c r="F37" s="89"/>
      <c r="G37" s="89"/>
      <c r="H37" s="89"/>
      <c r="I37" s="89"/>
      <c r="J37" s="89"/>
      <c r="K37" s="89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</row>
    <row r="38" spans="1:26" ht="16.5" customHeight="1">
      <c r="A38" s="66"/>
      <c r="B38" s="66"/>
      <c r="C38" s="89"/>
      <c r="D38" s="89"/>
      <c r="E38" s="89"/>
      <c r="F38" s="89"/>
      <c r="G38" s="89"/>
      <c r="H38" s="89"/>
      <c r="I38" s="89"/>
      <c r="J38" s="89"/>
      <c r="K38" s="89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</row>
    <row r="39" spans="1:26" ht="16.5" customHeight="1">
      <c r="A39" s="66"/>
      <c r="B39" s="66"/>
      <c r="C39" s="89"/>
      <c r="D39" s="89"/>
      <c r="E39" s="89"/>
      <c r="F39" s="89"/>
      <c r="G39" s="89"/>
      <c r="H39" s="89"/>
      <c r="I39" s="89"/>
      <c r="J39" s="89"/>
      <c r="K39" s="89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</row>
    <row r="40" spans="1:26" ht="16.5" customHeight="1">
      <c r="A40" s="66"/>
      <c r="B40" s="66"/>
      <c r="C40" s="89"/>
      <c r="D40" s="89"/>
      <c r="E40" s="89"/>
      <c r="F40" s="89"/>
      <c r="G40" s="89"/>
      <c r="H40" s="89"/>
      <c r="I40" s="89"/>
      <c r="J40" s="89"/>
      <c r="K40" s="89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</row>
    <row r="41" spans="1:26" ht="16.5" customHeight="1">
      <c r="A41" s="66"/>
      <c r="B41" s="66"/>
      <c r="C41" s="89"/>
      <c r="D41" s="89"/>
      <c r="E41" s="89"/>
      <c r="F41" s="89"/>
      <c r="G41" s="89"/>
      <c r="H41" s="89"/>
      <c r="I41" s="89"/>
      <c r="J41" s="89"/>
      <c r="K41" s="89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</row>
    <row r="42" spans="1:26" ht="16.5" customHeight="1">
      <c r="A42" s="66"/>
      <c r="B42" s="66"/>
      <c r="C42" s="89"/>
      <c r="D42" s="89"/>
      <c r="E42" s="89"/>
      <c r="F42" s="89"/>
      <c r="G42" s="89"/>
      <c r="H42" s="89"/>
      <c r="I42" s="89"/>
      <c r="J42" s="89"/>
      <c r="K42" s="89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</row>
    <row r="43" spans="1:26" ht="16.5" customHeight="1">
      <c r="A43" s="66"/>
      <c r="B43" s="66"/>
      <c r="C43" s="89"/>
      <c r="D43" s="89"/>
      <c r="E43" s="89"/>
      <c r="F43" s="89"/>
      <c r="G43" s="89"/>
      <c r="H43" s="89"/>
      <c r="I43" s="89"/>
      <c r="J43" s="89"/>
      <c r="K43" s="89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</row>
    <row r="44" spans="1:26" ht="16.5" customHeight="1">
      <c r="A44" s="66"/>
      <c r="B44" s="66"/>
      <c r="C44" s="89"/>
      <c r="D44" s="89"/>
      <c r="E44" s="89"/>
      <c r="F44" s="89"/>
      <c r="G44" s="89"/>
      <c r="H44" s="89"/>
      <c r="I44" s="89"/>
      <c r="J44" s="89"/>
      <c r="K44" s="89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</row>
    <row r="45" spans="1:26" ht="16.5" customHeight="1">
      <c r="A45" s="66"/>
      <c r="B45" s="66"/>
      <c r="C45" s="89"/>
      <c r="D45" s="89"/>
      <c r="E45" s="89"/>
      <c r="F45" s="89"/>
      <c r="G45" s="89"/>
      <c r="H45" s="89"/>
      <c r="I45" s="89"/>
      <c r="J45" s="89"/>
      <c r="K45" s="89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</row>
    <row r="46" spans="1:26" ht="16.5" customHeight="1">
      <c r="A46" s="66"/>
      <c r="B46" s="66"/>
      <c r="C46" s="89"/>
      <c r="D46" s="89"/>
      <c r="E46" s="89"/>
      <c r="F46" s="89"/>
      <c r="G46" s="89"/>
      <c r="H46" s="89"/>
      <c r="I46" s="89"/>
      <c r="J46" s="89"/>
      <c r="K46" s="89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</row>
    <row r="47" spans="1:26" ht="16.5" customHeight="1">
      <c r="A47" s="66"/>
      <c r="B47" s="66"/>
      <c r="C47" s="89"/>
      <c r="D47" s="89"/>
      <c r="E47" s="89"/>
      <c r="F47" s="89"/>
      <c r="G47" s="89"/>
      <c r="H47" s="89"/>
      <c r="I47" s="89"/>
      <c r="J47" s="89"/>
      <c r="K47" s="89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</row>
    <row r="48" spans="1:26" ht="16.5" customHeight="1">
      <c r="A48" s="66"/>
      <c r="B48" s="66"/>
      <c r="C48" s="89"/>
      <c r="D48" s="89"/>
      <c r="E48" s="89"/>
      <c r="F48" s="89"/>
      <c r="G48" s="89"/>
      <c r="H48" s="89"/>
      <c r="I48" s="89"/>
      <c r="J48" s="89"/>
      <c r="K48" s="89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</row>
    <row r="49" spans="1:26" ht="16.5" customHeight="1">
      <c r="A49" s="66"/>
      <c r="B49" s="66"/>
      <c r="C49" s="89"/>
      <c r="D49" s="89"/>
      <c r="E49" s="89"/>
      <c r="F49" s="89"/>
      <c r="G49" s="89"/>
      <c r="H49" s="89"/>
      <c r="I49" s="89"/>
      <c r="J49" s="89"/>
      <c r="K49" s="89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</row>
    <row r="50" spans="1:26" ht="16.5" customHeight="1">
      <c r="A50" s="66"/>
      <c r="B50" s="66"/>
      <c r="C50" s="89"/>
      <c r="D50" s="89"/>
      <c r="E50" s="89"/>
      <c r="F50" s="89"/>
      <c r="G50" s="89"/>
      <c r="H50" s="89"/>
      <c r="I50" s="89"/>
      <c r="J50" s="89"/>
      <c r="K50" s="89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</row>
    <row r="51" spans="1:26" ht="16.5" customHeight="1">
      <c r="A51" s="66"/>
      <c r="B51" s="66"/>
      <c r="C51" s="89"/>
      <c r="D51" s="89"/>
      <c r="E51" s="89"/>
      <c r="F51" s="89"/>
      <c r="G51" s="89"/>
      <c r="H51" s="89"/>
      <c r="I51" s="89"/>
      <c r="J51" s="89"/>
      <c r="K51" s="89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</row>
    <row r="52" spans="1:26" ht="16.5" customHeight="1">
      <c r="A52" s="66"/>
      <c r="B52" s="66"/>
      <c r="C52" s="89"/>
      <c r="D52" s="89"/>
      <c r="E52" s="89"/>
      <c r="F52" s="89"/>
      <c r="G52" s="89"/>
      <c r="H52" s="89"/>
      <c r="I52" s="89"/>
      <c r="J52" s="89"/>
      <c r="K52" s="89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</row>
    <row r="53" spans="1:26" ht="16.5" customHeight="1">
      <c r="A53" s="66"/>
      <c r="B53" s="66"/>
      <c r="C53" s="89"/>
      <c r="D53" s="89"/>
      <c r="E53" s="89"/>
      <c r="F53" s="89"/>
      <c r="G53" s="89"/>
      <c r="H53" s="89"/>
      <c r="I53" s="89"/>
      <c r="J53" s="89"/>
      <c r="K53" s="89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</row>
    <row r="54" spans="1:26" ht="16.5" customHeight="1">
      <c r="A54" s="66"/>
      <c r="B54" s="66"/>
      <c r="C54" s="89"/>
      <c r="D54" s="89"/>
      <c r="E54" s="89"/>
      <c r="F54" s="89"/>
      <c r="G54" s="89"/>
      <c r="H54" s="89"/>
      <c r="I54" s="89"/>
      <c r="J54" s="89"/>
      <c r="K54" s="89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</row>
    <row r="55" spans="1:26" ht="16.5" customHeight="1">
      <c r="A55" s="66"/>
      <c r="B55" s="66"/>
      <c r="C55" s="89"/>
      <c r="D55" s="89"/>
      <c r="E55" s="89"/>
      <c r="F55" s="89"/>
      <c r="G55" s="89"/>
      <c r="H55" s="89"/>
      <c r="I55" s="89"/>
      <c r="J55" s="89"/>
      <c r="K55" s="89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</row>
    <row r="56" spans="1:26" ht="16.5" customHeight="1">
      <c r="A56" s="66"/>
      <c r="B56" s="66"/>
      <c r="C56" s="89"/>
      <c r="D56" s="89"/>
      <c r="E56" s="89"/>
      <c r="F56" s="89"/>
      <c r="G56" s="89"/>
      <c r="H56" s="89"/>
      <c r="I56" s="89"/>
      <c r="J56" s="89"/>
      <c r="K56" s="89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</row>
    <row r="57" spans="1:26" ht="16.5" customHeight="1">
      <c r="A57" s="66"/>
      <c r="B57" s="66"/>
      <c r="C57" s="89"/>
      <c r="D57" s="89"/>
      <c r="E57" s="89"/>
      <c r="F57" s="89"/>
      <c r="G57" s="89"/>
      <c r="H57" s="89"/>
      <c r="I57" s="89"/>
      <c r="J57" s="89"/>
      <c r="K57" s="89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</row>
    <row r="58" spans="1:26" ht="16.5" customHeight="1">
      <c r="A58" s="66"/>
      <c r="B58" s="66"/>
      <c r="C58" s="89"/>
      <c r="D58" s="89"/>
      <c r="E58" s="89"/>
      <c r="F58" s="89"/>
      <c r="G58" s="89"/>
      <c r="H58" s="89"/>
      <c r="I58" s="89"/>
      <c r="J58" s="89"/>
      <c r="K58" s="89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</row>
    <row r="59" spans="1:26" ht="16.5" customHeight="1">
      <c r="A59" s="66"/>
      <c r="B59" s="66"/>
      <c r="C59" s="89"/>
      <c r="D59" s="89"/>
      <c r="E59" s="89"/>
      <c r="F59" s="89"/>
      <c r="G59" s="89"/>
      <c r="H59" s="89"/>
      <c r="I59" s="89"/>
      <c r="J59" s="89"/>
      <c r="K59" s="89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</row>
    <row r="60" spans="1:26" ht="16.5" customHeight="1">
      <c r="A60" s="66"/>
      <c r="B60" s="66"/>
      <c r="C60" s="89"/>
      <c r="D60" s="89"/>
      <c r="E60" s="89"/>
      <c r="F60" s="89"/>
      <c r="G60" s="89"/>
      <c r="H60" s="89"/>
      <c r="I60" s="89"/>
      <c r="J60" s="89"/>
      <c r="K60" s="89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</row>
    <row r="61" spans="1:26" ht="16.5" customHeight="1">
      <c r="A61" s="66"/>
      <c r="B61" s="66"/>
      <c r="C61" s="89"/>
      <c r="D61" s="89"/>
      <c r="E61" s="89"/>
      <c r="F61" s="89"/>
      <c r="G61" s="89"/>
      <c r="H61" s="89"/>
      <c r="I61" s="89"/>
      <c r="J61" s="89"/>
      <c r="K61" s="89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</row>
    <row r="62" spans="1:26" ht="16.5" customHeight="1">
      <c r="A62" s="66"/>
      <c r="B62" s="66"/>
      <c r="C62" s="89"/>
      <c r="D62" s="89"/>
      <c r="E62" s="89"/>
      <c r="F62" s="89"/>
      <c r="G62" s="89"/>
      <c r="H62" s="89"/>
      <c r="I62" s="89"/>
      <c r="J62" s="89"/>
      <c r="K62" s="89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</row>
    <row r="63" spans="1:26" ht="16.5" customHeight="1">
      <c r="A63" s="66"/>
      <c r="B63" s="66"/>
      <c r="C63" s="89"/>
      <c r="D63" s="89"/>
      <c r="E63" s="89"/>
      <c r="F63" s="89"/>
      <c r="G63" s="89"/>
      <c r="H63" s="89"/>
      <c r="I63" s="89"/>
      <c r="J63" s="89"/>
      <c r="K63" s="89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</row>
    <row r="64" spans="1:26" ht="16.5" customHeight="1">
      <c r="A64" s="66"/>
      <c r="B64" s="66"/>
      <c r="C64" s="89"/>
      <c r="D64" s="89"/>
      <c r="E64" s="89"/>
      <c r="F64" s="89"/>
      <c r="G64" s="89"/>
      <c r="H64" s="89"/>
      <c r="I64" s="89"/>
      <c r="J64" s="89"/>
      <c r="K64" s="89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</row>
    <row r="65" spans="1:26" ht="16.5" customHeight="1">
      <c r="A65" s="66"/>
      <c r="B65" s="66"/>
      <c r="C65" s="89"/>
      <c r="D65" s="89"/>
      <c r="E65" s="89"/>
      <c r="F65" s="89"/>
      <c r="G65" s="89"/>
      <c r="H65" s="89"/>
      <c r="I65" s="89"/>
      <c r="J65" s="89"/>
      <c r="K65" s="89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</row>
    <row r="66" spans="1:26" ht="16.5" customHeight="1">
      <c r="A66" s="66"/>
      <c r="B66" s="66"/>
      <c r="C66" s="89"/>
      <c r="D66" s="89"/>
      <c r="E66" s="89"/>
      <c r="F66" s="89"/>
      <c r="G66" s="89"/>
      <c r="H66" s="89"/>
      <c r="I66" s="89"/>
      <c r="J66" s="89"/>
      <c r="K66" s="89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</row>
    <row r="67" spans="1:26" ht="16.5" customHeight="1">
      <c r="A67" s="66"/>
      <c r="B67" s="66"/>
      <c r="C67" s="89"/>
      <c r="D67" s="89"/>
      <c r="E67" s="89"/>
      <c r="F67" s="89"/>
      <c r="G67" s="89"/>
      <c r="H67" s="89"/>
      <c r="I67" s="89"/>
      <c r="J67" s="89"/>
      <c r="K67" s="89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</row>
    <row r="68" spans="1:26" ht="16.5" customHeight="1">
      <c r="A68" s="66"/>
      <c r="B68" s="66"/>
      <c r="C68" s="89"/>
      <c r="D68" s="89"/>
      <c r="E68" s="89"/>
      <c r="F68" s="89"/>
      <c r="G68" s="89"/>
      <c r="H68" s="89"/>
      <c r="I68" s="89"/>
      <c r="J68" s="89"/>
      <c r="K68" s="89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</row>
    <row r="69" spans="1:26" ht="16.5" customHeight="1">
      <c r="A69" s="66"/>
      <c r="B69" s="66"/>
      <c r="C69" s="89"/>
      <c r="D69" s="89"/>
      <c r="E69" s="89"/>
      <c r="F69" s="89"/>
      <c r="G69" s="89"/>
      <c r="H69" s="89"/>
      <c r="I69" s="89"/>
      <c r="J69" s="89"/>
      <c r="K69" s="89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</row>
    <row r="70" spans="1:26" ht="16.5" customHeight="1">
      <c r="A70" s="66"/>
      <c r="B70" s="66"/>
      <c r="C70" s="89"/>
      <c r="D70" s="89"/>
      <c r="E70" s="89"/>
      <c r="F70" s="89"/>
      <c r="G70" s="89"/>
      <c r="H70" s="89"/>
      <c r="I70" s="89"/>
      <c r="J70" s="89"/>
      <c r="K70" s="89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</row>
    <row r="71" spans="1:26" ht="16.5" customHeight="1">
      <c r="A71" s="66"/>
      <c r="B71" s="66"/>
      <c r="C71" s="89"/>
      <c r="D71" s="89"/>
      <c r="E71" s="89"/>
      <c r="F71" s="89"/>
      <c r="G71" s="89"/>
      <c r="H71" s="89"/>
      <c r="I71" s="89"/>
      <c r="J71" s="89"/>
      <c r="K71" s="89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</row>
    <row r="72" spans="1:26" ht="16.5" customHeight="1">
      <c r="A72" s="66"/>
      <c r="B72" s="66"/>
      <c r="C72" s="89"/>
      <c r="D72" s="89"/>
      <c r="E72" s="89"/>
      <c r="F72" s="89"/>
      <c r="G72" s="89"/>
      <c r="H72" s="89"/>
      <c r="I72" s="89"/>
      <c r="J72" s="89"/>
      <c r="K72" s="89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</row>
    <row r="73" spans="1:26" ht="16.5" customHeight="1">
      <c r="A73" s="66"/>
      <c r="B73" s="66"/>
      <c r="C73" s="89"/>
      <c r="D73" s="89"/>
      <c r="E73" s="89"/>
      <c r="F73" s="89"/>
      <c r="G73" s="89"/>
      <c r="H73" s="89"/>
      <c r="I73" s="89"/>
      <c r="J73" s="89"/>
      <c r="K73" s="89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</row>
    <row r="74" spans="1:26" ht="16.5" customHeight="1">
      <c r="A74" s="66"/>
      <c r="B74" s="66"/>
      <c r="C74" s="89"/>
      <c r="D74" s="89"/>
      <c r="E74" s="89"/>
      <c r="F74" s="89"/>
      <c r="G74" s="89"/>
      <c r="H74" s="89"/>
      <c r="I74" s="89"/>
      <c r="J74" s="89"/>
      <c r="K74" s="89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</row>
    <row r="75" spans="1:26" ht="16.5" customHeight="1">
      <c r="A75" s="66"/>
      <c r="B75" s="66"/>
      <c r="C75" s="89"/>
      <c r="D75" s="89"/>
      <c r="E75" s="89"/>
      <c r="F75" s="89"/>
      <c r="G75" s="89"/>
      <c r="H75" s="89"/>
      <c r="I75" s="89"/>
      <c r="J75" s="89"/>
      <c r="K75" s="89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</row>
    <row r="76" spans="1:26" ht="16.5" customHeight="1">
      <c r="A76" s="66"/>
      <c r="B76" s="66"/>
      <c r="C76" s="89"/>
      <c r="D76" s="89"/>
      <c r="E76" s="89"/>
      <c r="F76" s="89"/>
      <c r="G76" s="89"/>
      <c r="H76" s="89"/>
      <c r="I76" s="89"/>
      <c r="J76" s="89"/>
      <c r="K76" s="89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</row>
    <row r="77" spans="1:26" ht="16.5" customHeight="1">
      <c r="A77" s="66"/>
      <c r="B77" s="66"/>
      <c r="C77" s="89"/>
      <c r="D77" s="89"/>
      <c r="E77" s="89"/>
      <c r="F77" s="89"/>
      <c r="G77" s="89"/>
      <c r="H77" s="89"/>
      <c r="I77" s="89"/>
      <c r="J77" s="89"/>
      <c r="K77" s="89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</row>
    <row r="78" spans="1:26" ht="16.5" customHeight="1">
      <c r="A78" s="66"/>
      <c r="B78" s="66"/>
      <c r="C78" s="89"/>
      <c r="D78" s="89"/>
      <c r="E78" s="89"/>
      <c r="F78" s="89"/>
      <c r="G78" s="89"/>
      <c r="H78" s="89"/>
      <c r="I78" s="89"/>
      <c r="J78" s="89"/>
      <c r="K78" s="89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</row>
    <row r="79" spans="1:26" ht="16.5" customHeight="1">
      <c r="A79" s="66"/>
      <c r="B79" s="66"/>
      <c r="C79" s="89"/>
      <c r="D79" s="89"/>
      <c r="E79" s="89"/>
      <c r="F79" s="89"/>
      <c r="G79" s="89"/>
      <c r="H79" s="89"/>
      <c r="I79" s="89"/>
      <c r="J79" s="89"/>
      <c r="K79" s="89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</row>
    <row r="80" spans="1:26" ht="16.5" customHeight="1">
      <c r="A80" s="66"/>
      <c r="B80" s="66"/>
      <c r="C80" s="89"/>
      <c r="D80" s="89"/>
      <c r="E80" s="89"/>
      <c r="F80" s="89"/>
      <c r="G80" s="89"/>
      <c r="H80" s="89"/>
      <c r="I80" s="89"/>
      <c r="J80" s="89"/>
      <c r="K80" s="89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</row>
    <row r="81" spans="1:26" ht="16.5" customHeight="1">
      <c r="A81" s="66"/>
      <c r="B81" s="66"/>
      <c r="C81" s="89"/>
      <c r="D81" s="89"/>
      <c r="E81" s="89"/>
      <c r="F81" s="89"/>
      <c r="G81" s="89"/>
      <c r="H81" s="89"/>
      <c r="I81" s="89"/>
      <c r="J81" s="89"/>
      <c r="K81" s="89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</row>
    <row r="82" spans="1:26" ht="16.5" customHeight="1">
      <c r="A82" s="66"/>
      <c r="B82" s="66"/>
      <c r="C82" s="89"/>
      <c r="D82" s="89"/>
      <c r="E82" s="89"/>
      <c r="F82" s="89"/>
      <c r="G82" s="89"/>
      <c r="H82" s="89"/>
      <c r="I82" s="89"/>
      <c r="J82" s="89"/>
      <c r="K82" s="89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</row>
    <row r="83" spans="1:26" ht="16.5" customHeight="1">
      <c r="A83" s="66"/>
      <c r="B83" s="66"/>
      <c r="C83" s="89"/>
      <c r="D83" s="89"/>
      <c r="E83" s="89"/>
      <c r="F83" s="89"/>
      <c r="G83" s="89"/>
      <c r="H83" s="89"/>
      <c r="I83" s="89"/>
      <c r="J83" s="89"/>
      <c r="K83" s="89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</row>
    <row r="84" spans="1:26" ht="16.5" customHeight="1">
      <c r="A84" s="66"/>
      <c r="B84" s="66"/>
      <c r="C84" s="89"/>
      <c r="D84" s="89"/>
      <c r="E84" s="89"/>
      <c r="F84" s="89"/>
      <c r="G84" s="89"/>
      <c r="H84" s="89"/>
      <c r="I84" s="89"/>
      <c r="J84" s="89"/>
      <c r="K84" s="89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</row>
    <row r="85" spans="1:26" ht="16.5" customHeight="1">
      <c r="A85" s="66"/>
      <c r="B85" s="66"/>
      <c r="C85" s="89"/>
      <c r="D85" s="89"/>
      <c r="E85" s="89"/>
      <c r="F85" s="89"/>
      <c r="G85" s="89"/>
      <c r="H85" s="89"/>
      <c r="I85" s="89"/>
      <c r="J85" s="89"/>
      <c r="K85" s="89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</row>
    <row r="86" spans="1:26" ht="16.5" customHeight="1">
      <c r="A86" s="66"/>
      <c r="B86" s="66"/>
      <c r="C86" s="89"/>
      <c r="D86" s="89"/>
      <c r="E86" s="89"/>
      <c r="F86" s="89"/>
      <c r="G86" s="89"/>
      <c r="H86" s="89"/>
      <c r="I86" s="89"/>
      <c r="J86" s="89"/>
      <c r="K86" s="89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</row>
    <row r="87" spans="1:26" ht="16.5" customHeight="1">
      <c r="A87" s="66"/>
      <c r="B87" s="66"/>
      <c r="C87" s="89"/>
      <c r="D87" s="89"/>
      <c r="E87" s="89"/>
      <c r="F87" s="89"/>
      <c r="G87" s="89"/>
      <c r="H87" s="89"/>
      <c r="I87" s="89"/>
      <c r="J87" s="89"/>
      <c r="K87" s="89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</row>
    <row r="88" spans="1:26" ht="16.5" customHeight="1">
      <c r="A88" s="66"/>
      <c r="B88" s="66"/>
      <c r="C88" s="89"/>
      <c r="D88" s="89"/>
      <c r="E88" s="89"/>
      <c r="F88" s="89"/>
      <c r="G88" s="89"/>
      <c r="H88" s="89"/>
      <c r="I88" s="89"/>
      <c r="J88" s="89"/>
      <c r="K88" s="89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</row>
    <row r="89" spans="1:26" ht="16.5" customHeight="1">
      <c r="A89" s="66"/>
      <c r="B89" s="66"/>
      <c r="C89" s="89"/>
      <c r="D89" s="89"/>
      <c r="E89" s="89"/>
      <c r="F89" s="89"/>
      <c r="G89" s="89"/>
      <c r="H89" s="89"/>
      <c r="I89" s="89"/>
      <c r="J89" s="89"/>
      <c r="K89" s="89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</row>
    <row r="90" spans="1:26" ht="16.5" customHeight="1">
      <c r="A90" s="66"/>
      <c r="B90" s="66"/>
      <c r="C90" s="89"/>
      <c r="D90" s="89"/>
      <c r="E90" s="89"/>
      <c r="F90" s="89"/>
      <c r="G90" s="89"/>
      <c r="H90" s="89"/>
      <c r="I90" s="89"/>
      <c r="J90" s="89"/>
      <c r="K90" s="8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</row>
    <row r="91" spans="1:26" ht="16.5" customHeight="1">
      <c r="A91" s="66"/>
      <c r="B91" s="66"/>
      <c r="C91" s="89"/>
      <c r="D91" s="89"/>
      <c r="E91" s="89"/>
      <c r="F91" s="89"/>
      <c r="G91" s="89"/>
      <c r="H91" s="89"/>
      <c r="I91" s="89"/>
      <c r="J91" s="89"/>
      <c r="K91" s="89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</row>
    <row r="92" spans="1:26" ht="16.5" customHeight="1">
      <c r="A92" s="66"/>
      <c r="B92" s="66"/>
      <c r="C92" s="89"/>
      <c r="D92" s="89"/>
      <c r="E92" s="89"/>
      <c r="F92" s="89"/>
      <c r="G92" s="89"/>
      <c r="H92" s="89"/>
      <c r="I92" s="89"/>
      <c r="J92" s="89"/>
      <c r="K92" s="89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</row>
    <row r="93" spans="1:26" ht="16.5" customHeight="1">
      <c r="A93" s="66"/>
      <c r="B93" s="66"/>
      <c r="C93" s="89"/>
      <c r="D93" s="89"/>
      <c r="E93" s="89"/>
      <c r="F93" s="89"/>
      <c r="G93" s="89"/>
      <c r="H93" s="89"/>
      <c r="I93" s="89"/>
      <c r="J93" s="89"/>
      <c r="K93" s="89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</row>
    <row r="94" spans="1:26" ht="16.5" customHeight="1">
      <c r="A94" s="66"/>
      <c r="B94" s="66"/>
      <c r="C94" s="89"/>
      <c r="D94" s="89"/>
      <c r="E94" s="89"/>
      <c r="F94" s="89"/>
      <c r="G94" s="89"/>
      <c r="H94" s="89"/>
      <c r="I94" s="89"/>
      <c r="J94" s="89"/>
      <c r="K94" s="89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</row>
    <row r="95" spans="1:26" ht="16.5" customHeight="1">
      <c r="A95" s="66"/>
      <c r="B95" s="66"/>
      <c r="C95" s="89"/>
      <c r="D95" s="89"/>
      <c r="E95" s="89"/>
      <c r="F95" s="89"/>
      <c r="G95" s="89"/>
      <c r="H95" s="89"/>
      <c r="I95" s="89"/>
      <c r="J95" s="89"/>
      <c r="K95" s="89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</row>
    <row r="96" spans="1:26" ht="16.5" customHeight="1">
      <c r="A96" s="66"/>
      <c r="B96" s="66"/>
      <c r="C96" s="89"/>
      <c r="D96" s="89"/>
      <c r="E96" s="89"/>
      <c r="F96" s="89"/>
      <c r="G96" s="89"/>
      <c r="H96" s="89"/>
      <c r="I96" s="89"/>
      <c r="J96" s="89"/>
      <c r="K96" s="89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</row>
    <row r="97" spans="1:26" ht="16.5" customHeight="1">
      <c r="A97" s="66"/>
      <c r="B97" s="66"/>
      <c r="C97" s="89"/>
      <c r="D97" s="89"/>
      <c r="E97" s="89"/>
      <c r="F97" s="89"/>
      <c r="G97" s="89"/>
      <c r="H97" s="89"/>
      <c r="I97" s="89"/>
      <c r="J97" s="89"/>
      <c r="K97" s="89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</row>
    <row r="98" spans="1:26" ht="16.5" customHeight="1">
      <c r="A98" s="66"/>
      <c r="B98" s="66"/>
      <c r="C98" s="89"/>
      <c r="D98" s="89"/>
      <c r="E98" s="89"/>
      <c r="F98" s="89"/>
      <c r="G98" s="89"/>
      <c r="H98" s="89"/>
      <c r="I98" s="89"/>
      <c r="J98" s="89"/>
      <c r="K98" s="89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</row>
    <row r="99" spans="1:26" ht="16.5" customHeight="1">
      <c r="A99" s="66"/>
      <c r="B99" s="66"/>
      <c r="C99" s="89"/>
      <c r="D99" s="89"/>
      <c r="E99" s="89"/>
      <c r="F99" s="89"/>
      <c r="G99" s="89"/>
      <c r="H99" s="89"/>
      <c r="I99" s="89"/>
      <c r="J99" s="89"/>
      <c r="K99" s="89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</row>
    <row r="100" spans="1:26" ht="16.5" customHeight="1">
      <c r="A100" s="66"/>
      <c r="B100" s="66"/>
      <c r="C100" s="89"/>
      <c r="D100" s="89"/>
      <c r="E100" s="89"/>
      <c r="F100" s="89"/>
      <c r="G100" s="89"/>
      <c r="H100" s="89"/>
      <c r="I100" s="89"/>
      <c r="J100" s="89"/>
      <c r="K100" s="89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</row>
    <row r="101" spans="1:26" ht="16.5" customHeight="1">
      <c r="A101" s="66"/>
      <c r="B101" s="66"/>
      <c r="C101" s="89"/>
      <c r="D101" s="89"/>
      <c r="E101" s="89"/>
      <c r="F101" s="89"/>
      <c r="G101" s="89"/>
      <c r="H101" s="89"/>
      <c r="I101" s="89"/>
      <c r="J101" s="89"/>
      <c r="K101" s="89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</row>
    <row r="102" spans="1:26" ht="16.5" customHeight="1">
      <c r="A102" s="66"/>
      <c r="B102" s="66"/>
      <c r="C102" s="89"/>
      <c r="D102" s="89"/>
      <c r="E102" s="89"/>
      <c r="F102" s="89"/>
      <c r="G102" s="89"/>
      <c r="H102" s="89"/>
      <c r="I102" s="89"/>
      <c r="J102" s="89"/>
      <c r="K102" s="89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</row>
    <row r="103" spans="1:26" ht="16.5" customHeight="1">
      <c r="A103" s="66"/>
      <c r="B103" s="66"/>
      <c r="C103" s="89"/>
      <c r="D103" s="89"/>
      <c r="E103" s="89"/>
      <c r="F103" s="89"/>
      <c r="G103" s="89"/>
      <c r="H103" s="89"/>
      <c r="I103" s="89"/>
      <c r="J103" s="89"/>
      <c r="K103" s="89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</row>
    <row r="104" spans="1:26" ht="16.5" customHeight="1">
      <c r="A104" s="66"/>
      <c r="B104" s="66"/>
      <c r="C104" s="89"/>
      <c r="D104" s="89"/>
      <c r="E104" s="89"/>
      <c r="F104" s="89"/>
      <c r="G104" s="89"/>
      <c r="H104" s="89"/>
      <c r="I104" s="89"/>
      <c r="J104" s="89"/>
      <c r="K104" s="89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</row>
    <row r="105" spans="1:26" ht="16.5" customHeight="1">
      <c r="A105" s="66"/>
      <c r="B105" s="66"/>
      <c r="C105" s="89"/>
      <c r="D105" s="89"/>
      <c r="E105" s="89"/>
      <c r="F105" s="89"/>
      <c r="G105" s="89"/>
      <c r="H105" s="89"/>
      <c r="I105" s="89"/>
      <c r="J105" s="89"/>
      <c r="K105" s="89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</row>
    <row r="106" spans="1:26" ht="16.5" customHeight="1">
      <c r="A106" s="66"/>
      <c r="B106" s="66"/>
      <c r="C106" s="89"/>
      <c r="D106" s="89"/>
      <c r="E106" s="89"/>
      <c r="F106" s="89"/>
      <c r="G106" s="89"/>
      <c r="H106" s="89"/>
      <c r="I106" s="89"/>
      <c r="J106" s="89"/>
      <c r="K106" s="89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</row>
    <row r="107" spans="1:26" ht="16.5" customHeight="1">
      <c r="A107" s="66"/>
      <c r="B107" s="66"/>
      <c r="C107" s="89"/>
      <c r="D107" s="89"/>
      <c r="E107" s="89"/>
      <c r="F107" s="89"/>
      <c r="G107" s="89"/>
      <c r="H107" s="89"/>
      <c r="I107" s="89"/>
      <c r="J107" s="89"/>
      <c r="K107" s="89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</row>
    <row r="108" spans="1:26" ht="16.5" customHeight="1">
      <c r="A108" s="66"/>
      <c r="B108" s="66"/>
      <c r="C108" s="89"/>
      <c r="D108" s="89"/>
      <c r="E108" s="89"/>
      <c r="F108" s="89"/>
      <c r="G108" s="89"/>
      <c r="H108" s="89"/>
      <c r="I108" s="89"/>
      <c r="J108" s="89"/>
      <c r="K108" s="89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</row>
    <row r="109" spans="1:26" ht="16.5" customHeight="1">
      <c r="A109" s="66"/>
      <c r="B109" s="66"/>
      <c r="C109" s="89"/>
      <c r="D109" s="89"/>
      <c r="E109" s="89"/>
      <c r="F109" s="89"/>
      <c r="G109" s="89"/>
      <c r="H109" s="89"/>
      <c r="I109" s="89"/>
      <c r="J109" s="89"/>
      <c r="K109" s="8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</row>
    <row r="110" spans="1:26" ht="16.5" customHeight="1">
      <c r="A110" s="66"/>
      <c r="B110" s="66"/>
      <c r="C110" s="89"/>
      <c r="D110" s="89"/>
      <c r="E110" s="89"/>
      <c r="F110" s="89"/>
      <c r="G110" s="89"/>
      <c r="H110" s="89"/>
      <c r="I110" s="89"/>
      <c r="J110" s="89"/>
      <c r="K110" s="89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</row>
    <row r="111" spans="1:26" ht="16.5" customHeight="1">
      <c r="A111" s="66"/>
      <c r="B111" s="66"/>
      <c r="C111" s="89"/>
      <c r="D111" s="89"/>
      <c r="E111" s="89"/>
      <c r="F111" s="89"/>
      <c r="G111" s="89"/>
      <c r="H111" s="89"/>
      <c r="I111" s="89"/>
      <c r="J111" s="89"/>
      <c r="K111" s="89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</row>
    <row r="112" spans="1:26" ht="16.5" customHeight="1">
      <c r="A112" s="66"/>
      <c r="B112" s="66"/>
      <c r="C112" s="89"/>
      <c r="D112" s="89"/>
      <c r="E112" s="89"/>
      <c r="F112" s="89"/>
      <c r="G112" s="89"/>
      <c r="H112" s="89"/>
      <c r="I112" s="89"/>
      <c r="J112" s="89"/>
      <c r="K112" s="89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</row>
    <row r="113" spans="1:26" ht="16.5" customHeight="1">
      <c r="A113" s="66"/>
      <c r="B113" s="66"/>
      <c r="C113" s="89"/>
      <c r="D113" s="89"/>
      <c r="E113" s="89"/>
      <c r="F113" s="89"/>
      <c r="G113" s="89"/>
      <c r="H113" s="89"/>
      <c r="I113" s="89"/>
      <c r="J113" s="89"/>
      <c r="K113" s="89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</row>
    <row r="114" spans="1:26" ht="16.5" customHeight="1">
      <c r="A114" s="66"/>
      <c r="B114" s="66"/>
      <c r="C114" s="89"/>
      <c r="D114" s="89"/>
      <c r="E114" s="89"/>
      <c r="F114" s="89"/>
      <c r="G114" s="89"/>
      <c r="H114" s="89"/>
      <c r="I114" s="89"/>
      <c r="J114" s="89"/>
      <c r="K114" s="89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</row>
    <row r="115" spans="1:26" ht="16.5" customHeight="1">
      <c r="A115" s="66"/>
      <c r="B115" s="66"/>
      <c r="C115" s="89"/>
      <c r="D115" s="89"/>
      <c r="E115" s="89"/>
      <c r="F115" s="89"/>
      <c r="G115" s="89"/>
      <c r="H115" s="89"/>
      <c r="I115" s="89"/>
      <c r="J115" s="89"/>
      <c r="K115" s="89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</row>
    <row r="116" spans="1:26" ht="16.5" customHeight="1">
      <c r="A116" s="66"/>
      <c r="B116" s="66"/>
      <c r="C116" s="89"/>
      <c r="D116" s="89"/>
      <c r="E116" s="89"/>
      <c r="F116" s="89"/>
      <c r="G116" s="89"/>
      <c r="H116" s="89"/>
      <c r="I116" s="89"/>
      <c r="J116" s="89"/>
      <c r="K116" s="89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</row>
    <row r="117" spans="1:26" ht="16.5" customHeight="1">
      <c r="A117" s="66"/>
      <c r="B117" s="66"/>
      <c r="C117" s="89"/>
      <c r="D117" s="89"/>
      <c r="E117" s="89"/>
      <c r="F117" s="89"/>
      <c r="G117" s="89"/>
      <c r="H117" s="89"/>
      <c r="I117" s="89"/>
      <c r="J117" s="89"/>
      <c r="K117" s="89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</row>
    <row r="118" spans="1:26" ht="16.5" customHeight="1">
      <c r="A118" s="66"/>
      <c r="B118" s="66"/>
      <c r="C118" s="89"/>
      <c r="D118" s="89"/>
      <c r="E118" s="89"/>
      <c r="F118" s="89"/>
      <c r="G118" s="89"/>
      <c r="H118" s="89"/>
      <c r="I118" s="89"/>
      <c r="J118" s="89"/>
      <c r="K118" s="8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</row>
    <row r="119" spans="1:26" ht="16.5" customHeight="1">
      <c r="A119" s="66"/>
      <c r="B119" s="66"/>
      <c r="C119" s="89"/>
      <c r="D119" s="89"/>
      <c r="E119" s="89"/>
      <c r="F119" s="89"/>
      <c r="G119" s="89"/>
      <c r="H119" s="89"/>
      <c r="I119" s="89"/>
      <c r="J119" s="89"/>
      <c r="K119" s="89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</row>
    <row r="120" spans="1:26" ht="16.5" customHeight="1">
      <c r="A120" s="66"/>
      <c r="B120" s="66"/>
      <c r="C120" s="89"/>
      <c r="D120" s="89"/>
      <c r="E120" s="89"/>
      <c r="F120" s="89"/>
      <c r="G120" s="89"/>
      <c r="H120" s="89"/>
      <c r="I120" s="89"/>
      <c r="J120" s="89"/>
      <c r="K120" s="89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</row>
    <row r="121" spans="1:26" ht="16.5" customHeight="1">
      <c r="A121" s="66"/>
      <c r="B121" s="66"/>
      <c r="C121" s="89"/>
      <c r="D121" s="89"/>
      <c r="E121" s="89"/>
      <c r="F121" s="89"/>
      <c r="G121" s="89"/>
      <c r="H121" s="89"/>
      <c r="I121" s="89"/>
      <c r="J121" s="89"/>
      <c r="K121" s="89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</row>
    <row r="122" spans="1:26" ht="16.5" customHeight="1">
      <c r="A122" s="66"/>
      <c r="B122" s="66"/>
      <c r="C122" s="89"/>
      <c r="D122" s="89"/>
      <c r="E122" s="89"/>
      <c r="F122" s="89"/>
      <c r="G122" s="89"/>
      <c r="H122" s="89"/>
      <c r="I122" s="89"/>
      <c r="J122" s="89"/>
      <c r="K122" s="89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spans="1:26" ht="16.5" customHeight="1">
      <c r="A123" s="66"/>
      <c r="B123" s="66"/>
      <c r="C123" s="89"/>
      <c r="D123" s="89"/>
      <c r="E123" s="89"/>
      <c r="F123" s="89"/>
      <c r="G123" s="89"/>
      <c r="H123" s="89"/>
      <c r="I123" s="89"/>
      <c r="J123" s="89"/>
      <c r="K123" s="89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</row>
    <row r="124" spans="1:26" ht="16.5" customHeight="1">
      <c r="A124" s="66"/>
      <c r="B124" s="66"/>
      <c r="C124" s="89"/>
      <c r="D124" s="89"/>
      <c r="E124" s="89"/>
      <c r="F124" s="89"/>
      <c r="G124" s="89"/>
      <c r="H124" s="89"/>
      <c r="I124" s="89"/>
      <c r="J124" s="89"/>
      <c r="K124" s="89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</row>
    <row r="125" spans="1:26" ht="16.5" customHeight="1">
      <c r="A125" s="66"/>
      <c r="B125" s="66"/>
      <c r="C125" s="89"/>
      <c r="D125" s="89"/>
      <c r="E125" s="89"/>
      <c r="F125" s="89"/>
      <c r="G125" s="89"/>
      <c r="H125" s="89"/>
      <c r="I125" s="89"/>
      <c r="J125" s="89"/>
      <c r="K125" s="89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</row>
    <row r="126" spans="1:26" ht="16.5" customHeight="1">
      <c r="A126" s="66"/>
      <c r="B126" s="66"/>
      <c r="C126" s="89"/>
      <c r="D126" s="89"/>
      <c r="E126" s="89"/>
      <c r="F126" s="89"/>
      <c r="G126" s="89"/>
      <c r="H126" s="89"/>
      <c r="I126" s="89"/>
      <c r="J126" s="89"/>
      <c r="K126" s="89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</row>
    <row r="127" spans="1:26" ht="16.5" customHeight="1">
      <c r="A127" s="66"/>
      <c r="B127" s="66"/>
      <c r="C127" s="89"/>
      <c r="D127" s="89"/>
      <c r="E127" s="89"/>
      <c r="F127" s="89"/>
      <c r="G127" s="89"/>
      <c r="H127" s="89"/>
      <c r="I127" s="89"/>
      <c r="J127" s="89"/>
      <c r="K127" s="89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</row>
    <row r="128" spans="1:26" ht="16.5" customHeight="1">
      <c r="A128" s="66"/>
      <c r="B128" s="66"/>
      <c r="C128" s="89"/>
      <c r="D128" s="89"/>
      <c r="E128" s="89"/>
      <c r="F128" s="89"/>
      <c r="G128" s="89"/>
      <c r="H128" s="89"/>
      <c r="I128" s="89"/>
      <c r="J128" s="89"/>
      <c r="K128" s="89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</row>
    <row r="129" spans="1:26" ht="16.5" customHeight="1">
      <c r="A129" s="66"/>
      <c r="B129" s="66"/>
      <c r="C129" s="89"/>
      <c r="D129" s="89"/>
      <c r="E129" s="89"/>
      <c r="F129" s="89"/>
      <c r="G129" s="89"/>
      <c r="H129" s="89"/>
      <c r="I129" s="89"/>
      <c r="J129" s="89"/>
      <c r="K129" s="89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</row>
    <row r="130" spans="1:26" ht="16.5" customHeight="1">
      <c r="A130" s="66"/>
      <c r="B130" s="66"/>
      <c r="C130" s="89"/>
      <c r="D130" s="89"/>
      <c r="E130" s="89"/>
      <c r="F130" s="89"/>
      <c r="G130" s="89"/>
      <c r="H130" s="89"/>
      <c r="I130" s="89"/>
      <c r="J130" s="89"/>
      <c r="K130" s="89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</row>
    <row r="131" spans="1:26" ht="16.5" customHeight="1">
      <c r="A131" s="66"/>
      <c r="B131" s="66"/>
      <c r="C131" s="89"/>
      <c r="D131" s="89"/>
      <c r="E131" s="89"/>
      <c r="F131" s="89"/>
      <c r="G131" s="89"/>
      <c r="H131" s="89"/>
      <c r="I131" s="89"/>
      <c r="J131" s="89"/>
      <c r="K131" s="89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</row>
    <row r="132" spans="1:26" ht="16.5" customHeight="1">
      <c r="A132" s="66"/>
      <c r="B132" s="66"/>
      <c r="C132" s="89"/>
      <c r="D132" s="89"/>
      <c r="E132" s="89"/>
      <c r="F132" s="89"/>
      <c r="G132" s="89"/>
      <c r="H132" s="89"/>
      <c r="I132" s="89"/>
      <c r="J132" s="89"/>
      <c r="K132" s="89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</row>
    <row r="133" spans="1:26" ht="16.5" customHeight="1">
      <c r="A133" s="66"/>
      <c r="B133" s="66"/>
      <c r="C133" s="89"/>
      <c r="D133" s="89"/>
      <c r="E133" s="89"/>
      <c r="F133" s="89"/>
      <c r="G133" s="89"/>
      <c r="H133" s="89"/>
      <c r="I133" s="89"/>
      <c r="J133" s="89"/>
      <c r="K133" s="89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</row>
    <row r="134" spans="1:26" ht="16.5" customHeight="1">
      <c r="A134" s="66"/>
      <c r="B134" s="66"/>
      <c r="C134" s="89"/>
      <c r="D134" s="89"/>
      <c r="E134" s="89"/>
      <c r="F134" s="89"/>
      <c r="G134" s="89"/>
      <c r="H134" s="89"/>
      <c r="I134" s="89"/>
      <c r="J134" s="89"/>
      <c r="K134" s="89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</row>
    <row r="135" spans="1:26" ht="16.5" customHeight="1">
      <c r="A135" s="66"/>
      <c r="B135" s="66"/>
      <c r="C135" s="89"/>
      <c r="D135" s="89"/>
      <c r="E135" s="89"/>
      <c r="F135" s="89"/>
      <c r="G135" s="89"/>
      <c r="H135" s="89"/>
      <c r="I135" s="89"/>
      <c r="J135" s="89"/>
      <c r="K135" s="89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</row>
    <row r="136" spans="1:26" ht="16.5" customHeight="1">
      <c r="A136" s="66"/>
      <c r="B136" s="66"/>
      <c r="C136" s="89"/>
      <c r="D136" s="89"/>
      <c r="E136" s="89"/>
      <c r="F136" s="89"/>
      <c r="G136" s="89"/>
      <c r="H136" s="89"/>
      <c r="I136" s="89"/>
      <c r="J136" s="89"/>
      <c r="K136" s="89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</row>
    <row r="137" spans="1:26" ht="16.5" customHeight="1">
      <c r="A137" s="66"/>
      <c r="B137" s="66"/>
      <c r="C137" s="89"/>
      <c r="D137" s="89"/>
      <c r="E137" s="89"/>
      <c r="F137" s="89"/>
      <c r="G137" s="89"/>
      <c r="H137" s="89"/>
      <c r="I137" s="89"/>
      <c r="J137" s="89"/>
      <c r="K137" s="89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</row>
    <row r="138" spans="1:26" ht="16.5" customHeight="1">
      <c r="A138" s="66"/>
      <c r="B138" s="66"/>
      <c r="C138" s="89"/>
      <c r="D138" s="89"/>
      <c r="E138" s="89"/>
      <c r="F138" s="89"/>
      <c r="G138" s="89"/>
      <c r="H138" s="89"/>
      <c r="I138" s="89"/>
      <c r="J138" s="89"/>
      <c r="K138" s="89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</row>
    <row r="139" spans="1:26" ht="16.5" customHeight="1">
      <c r="A139" s="66"/>
      <c r="B139" s="66"/>
      <c r="C139" s="89"/>
      <c r="D139" s="89"/>
      <c r="E139" s="89"/>
      <c r="F139" s="89"/>
      <c r="G139" s="89"/>
      <c r="H139" s="89"/>
      <c r="I139" s="89"/>
      <c r="J139" s="89"/>
      <c r="K139" s="89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</row>
    <row r="140" spans="1:26" ht="16.5" customHeight="1">
      <c r="A140" s="66"/>
      <c r="B140" s="66"/>
      <c r="C140" s="89"/>
      <c r="D140" s="89"/>
      <c r="E140" s="89"/>
      <c r="F140" s="89"/>
      <c r="G140" s="89"/>
      <c r="H140" s="89"/>
      <c r="I140" s="89"/>
      <c r="J140" s="89"/>
      <c r="K140" s="89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</row>
    <row r="141" spans="1:26" ht="16.5" customHeight="1">
      <c r="A141" s="66"/>
      <c r="B141" s="66"/>
      <c r="C141" s="89"/>
      <c r="D141" s="89"/>
      <c r="E141" s="89"/>
      <c r="F141" s="89"/>
      <c r="G141" s="89"/>
      <c r="H141" s="89"/>
      <c r="I141" s="89"/>
      <c r="J141" s="89"/>
      <c r="K141" s="89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</row>
    <row r="142" spans="1:26" ht="16.5" customHeight="1">
      <c r="A142" s="66"/>
      <c r="B142" s="66"/>
      <c r="C142" s="89"/>
      <c r="D142" s="89"/>
      <c r="E142" s="89"/>
      <c r="F142" s="89"/>
      <c r="G142" s="89"/>
      <c r="H142" s="89"/>
      <c r="I142" s="89"/>
      <c r="J142" s="89"/>
      <c r="K142" s="89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</row>
    <row r="143" spans="1:26" ht="16.5" customHeight="1">
      <c r="A143" s="66"/>
      <c r="B143" s="66"/>
      <c r="C143" s="89"/>
      <c r="D143" s="89"/>
      <c r="E143" s="89"/>
      <c r="F143" s="89"/>
      <c r="G143" s="89"/>
      <c r="H143" s="89"/>
      <c r="I143" s="89"/>
      <c r="J143" s="89"/>
      <c r="K143" s="89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</row>
    <row r="144" spans="1:26" ht="16.5" customHeight="1">
      <c r="A144" s="66"/>
      <c r="B144" s="66"/>
      <c r="C144" s="89"/>
      <c r="D144" s="89"/>
      <c r="E144" s="89"/>
      <c r="F144" s="89"/>
      <c r="G144" s="89"/>
      <c r="H144" s="89"/>
      <c r="I144" s="89"/>
      <c r="J144" s="89"/>
      <c r="K144" s="89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</row>
    <row r="145" spans="1:26" ht="16.5" customHeight="1">
      <c r="A145" s="66"/>
      <c r="B145" s="66"/>
      <c r="C145" s="89"/>
      <c r="D145" s="89"/>
      <c r="E145" s="89"/>
      <c r="F145" s="89"/>
      <c r="G145" s="89"/>
      <c r="H145" s="89"/>
      <c r="I145" s="89"/>
      <c r="J145" s="89"/>
      <c r="K145" s="89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</row>
    <row r="146" spans="1:26" ht="16.5" customHeight="1">
      <c r="A146" s="66"/>
      <c r="B146" s="66"/>
      <c r="C146" s="89"/>
      <c r="D146" s="89"/>
      <c r="E146" s="89"/>
      <c r="F146" s="89"/>
      <c r="G146" s="89"/>
      <c r="H146" s="89"/>
      <c r="I146" s="89"/>
      <c r="J146" s="89"/>
      <c r="K146" s="89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</row>
    <row r="147" spans="1:26" ht="16.5" customHeight="1">
      <c r="A147" s="66"/>
      <c r="B147" s="66"/>
      <c r="C147" s="89"/>
      <c r="D147" s="89"/>
      <c r="E147" s="89"/>
      <c r="F147" s="89"/>
      <c r="G147" s="89"/>
      <c r="H147" s="89"/>
      <c r="I147" s="89"/>
      <c r="J147" s="89"/>
      <c r="K147" s="89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</row>
    <row r="148" spans="1:26" ht="16.5" customHeight="1">
      <c r="A148" s="66"/>
      <c r="B148" s="66"/>
      <c r="C148" s="89"/>
      <c r="D148" s="89"/>
      <c r="E148" s="89"/>
      <c r="F148" s="89"/>
      <c r="G148" s="89"/>
      <c r="H148" s="89"/>
      <c r="I148" s="89"/>
      <c r="J148" s="89"/>
      <c r="K148" s="89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</row>
    <row r="149" spans="1:26" ht="16.5" customHeight="1">
      <c r="A149" s="66"/>
      <c r="B149" s="66"/>
      <c r="C149" s="89"/>
      <c r="D149" s="89"/>
      <c r="E149" s="89"/>
      <c r="F149" s="89"/>
      <c r="G149" s="89"/>
      <c r="H149" s="89"/>
      <c r="I149" s="89"/>
      <c r="J149" s="89"/>
      <c r="K149" s="89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</row>
    <row r="150" spans="1:26" ht="16.5" customHeight="1">
      <c r="A150" s="66"/>
      <c r="B150" s="66"/>
      <c r="C150" s="89"/>
      <c r="D150" s="89"/>
      <c r="E150" s="89"/>
      <c r="F150" s="89"/>
      <c r="G150" s="89"/>
      <c r="H150" s="89"/>
      <c r="I150" s="89"/>
      <c r="J150" s="89"/>
      <c r="K150" s="89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</row>
    <row r="151" spans="1:26" ht="16.5" customHeight="1">
      <c r="A151" s="66"/>
      <c r="B151" s="66"/>
      <c r="C151" s="89"/>
      <c r="D151" s="89"/>
      <c r="E151" s="89"/>
      <c r="F151" s="89"/>
      <c r="G151" s="89"/>
      <c r="H151" s="89"/>
      <c r="I151" s="89"/>
      <c r="J151" s="89"/>
      <c r="K151" s="89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</row>
    <row r="152" spans="1:26" ht="16.5" customHeight="1">
      <c r="A152" s="66"/>
      <c r="B152" s="66"/>
      <c r="C152" s="89"/>
      <c r="D152" s="89"/>
      <c r="E152" s="89"/>
      <c r="F152" s="89"/>
      <c r="G152" s="89"/>
      <c r="H152" s="89"/>
      <c r="I152" s="89"/>
      <c r="J152" s="89"/>
      <c r="K152" s="89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</row>
    <row r="153" spans="1:26" ht="16.5" customHeight="1">
      <c r="A153" s="66"/>
      <c r="B153" s="66"/>
      <c r="C153" s="89"/>
      <c r="D153" s="89"/>
      <c r="E153" s="89"/>
      <c r="F153" s="89"/>
      <c r="G153" s="89"/>
      <c r="H153" s="89"/>
      <c r="I153" s="89"/>
      <c r="J153" s="89"/>
      <c r="K153" s="89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</row>
    <row r="154" spans="1:26" ht="16.5" customHeight="1">
      <c r="A154" s="66"/>
      <c r="B154" s="66"/>
      <c r="C154" s="89"/>
      <c r="D154" s="89"/>
      <c r="E154" s="89"/>
      <c r="F154" s="89"/>
      <c r="G154" s="89"/>
      <c r="H154" s="89"/>
      <c r="I154" s="89"/>
      <c r="J154" s="89"/>
      <c r="K154" s="89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</row>
    <row r="155" spans="1:26" ht="16.5" customHeight="1">
      <c r="A155" s="66"/>
      <c r="B155" s="66"/>
      <c r="C155" s="89"/>
      <c r="D155" s="89"/>
      <c r="E155" s="89"/>
      <c r="F155" s="89"/>
      <c r="G155" s="89"/>
      <c r="H155" s="89"/>
      <c r="I155" s="89"/>
      <c r="J155" s="89"/>
      <c r="K155" s="89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</row>
    <row r="156" spans="1:26" ht="16.5" customHeight="1">
      <c r="A156" s="66"/>
      <c r="B156" s="66"/>
      <c r="C156" s="89"/>
      <c r="D156" s="89"/>
      <c r="E156" s="89"/>
      <c r="F156" s="89"/>
      <c r="G156" s="89"/>
      <c r="H156" s="89"/>
      <c r="I156" s="89"/>
      <c r="J156" s="89"/>
      <c r="K156" s="89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</row>
    <row r="157" spans="1:26" ht="16.5" customHeight="1">
      <c r="A157" s="66"/>
      <c r="B157" s="66"/>
      <c r="C157" s="89"/>
      <c r="D157" s="89"/>
      <c r="E157" s="89"/>
      <c r="F157" s="89"/>
      <c r="G157" s="89"/>
      <c r="H157" s="89"/>
      <c r="I157" s="89"/>
      <c r="J157" s="89"/>
      <c r="K157" s="89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</row>
    <row r="158" spans="1:26" ht="16.5" customHeight="1">
      <c r="A158" s="66"/>
      <c r="B158" s="66"/>
      <c r="C158" s="89"/>
      <c r="D158" s="89"/>
      <c r="E158" s="89"/>
      <c r="F158" s="89"/>
      <c r="G158" s="89"/>
      <c r="H158" s="89"/>
      <c r="I158" s="89"/>
      <c r="J158" s="89"/>
      <c r="K158" s="89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</row>
    <row r="159" spans="1:26" ht="16.5" customHeight="1">
      <c r="A159" s="66"/>
      <c r="B159" s="66"/>
      <c r="C159" s="89"/>
      <c r="D159" s="89"/>
      <c r="E159" s="89"/>
      <c r="F159" s="89"/>
      <c r="G159" s="89"/>
      <c r="H159" s="89"/>
      <c r="I159" s="89"/>
      <c r="J159" s="89"/>
      <c r="K159" s="89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</row>
    <row r="160" spans="1:26" ht="16.5" customHeight="1">
      <c r="A160" s="66"/>
      <c r="B160" s="66"/>
      <c r="C160" s="89"/>
      <c r="D160" s="89"/>
      <c r="E160" s="89"/>
      <c r="F160" s="89"/>
      <c r="G160" s="89"/>
      <c r="H160" s="89"/>
      <c r="I160" s="89"/>
      <c r="J160" s="89"/>
      <c r="K160" s="89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</row>
    <row r="161" spans="1:26" ht="16.5" customHeight="1">
      <c r="A161" s="66"/>
      <c r="B161" s="66"/>
      <c r="C161" s="89"/>
      <c r="D161" s="89"/>
      <c r="E161" s="89"/>
      <c r="F161" s="89"/>
      <c r="G161" s="89"/>
      <c r="H161" s="89"/>
      <c r="I161" s="89"/>
      <c r="J161" s="89"/>
      <c r="K161" s="89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</row>
    <row r="162" spans="1:26" ht="16.5" customHeight="1">
      <c r="A162" s="66"/>
      <c r="B162" s="66"/>
      <c r="C162" s="89"/>
      <c r="D162" s="89"/>
      <c r="E162" s="89"/>
      <c r="F162" s="89"/>
      <c r="G162" s="89"/>
      <c r="H162" s="89"/>
      <c r="I162" s="89"/>
      <c r="J162" s="89"/>
      <c r="K162" s="89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</row>
    <row r="163" spans="1:26" ht="16.5" customHeight="1">
      <c r="A163" s="66"/>
      <c r="B163" s="66"/>
      <c r="C163" s="89"/>
      <c r="D163" s="89"/>
      <c r="E163" s="89"/>
      <c r="F163" s="89"/>
      <c r="G163" s="89"/>
      <c r="H163" s="89"/>
      <c r="I163" s="89"/>
      <c r="J163" s="89"/>
      <c r="K163" s="89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</row>
    <row r="164" spans="1:26" ht="16.5" customHeight="1">
      <c r="A164" s="66"/>
      <c r="B164" s="66"/>
      <c r="C164" s="89"/>
      <c r="D164" s="89"/>
      <c r="E164" s="89"/>
      <c r="F164" s="89"/>
      <c r="G164" s="89"/>
      <c r="H164" s="89"/>
      <c r="I164" s="89"/>
      <c r="J164" s="89"/>
      <c r="K164" s="89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</row>
    <row r="165" spans="1:26" ht="16.5" customHeight="1">
      <c r="A165" s="66"/>
      <c r="B165" s="66"/>
      <c r="C165" s="89"/>
      <c r="D165" s="89"/>
      <c r="E165" s="89"/>
      <c r="F165" s="89"/>
      <c r="G165" s="89"/>
      <c r="H165" s="89"/>
      <c r="I165" s="89"/>
      <c r="J165" s="89"/>
      <c r="K165" s="89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</row>
    <row r="166" spans="1:26" ht="16.5" customHeight="1">
      <c r="A166" s="66"/>
      <c r="B166" s="66"/>
      <c r="C166" s="89"/>
      <c r="D166" s="89"/>
      <c r="E166" s="89"/>
      <c r="F166" s="89"/>
      <c r="G166" s="89"/>
      <c r="H166" s="89"/>
      <c r="I166" s="89"/>
      <c r="J166" s="89"/>
      <c r="K166" s="89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</row>
    <row r="167" spans="1:26" ht="16.5" customHeight="1">
      <c r="A167" s="66"/>
      <c r="B167" s="66"/>
      <c r="C167" s="89"/>
      <c r="D167" s="89"/>
      <c r="E167" s="89"/>
      <c r="F167" s="89"/>
      <c r="G167" s="89"/>
      <c r="H167" s="89"/>
      <c r="I167" s="89"/>
      <c r="J167" s="89"/>
      <c r="K167" s="89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</row>
    <row r="168" spans="1:26" ht="16.5" customHeight="1">
      <c r="A168" s="66"/>
      <c r="B168" s="66"/>
      <c r="C168" s="89"/>
      <c r="D168" s="89"/>
      <c r="E168" s="89"/>
      <c r="F168" s="89"/>
      <c r="G168" s="89"/>
      <c r="H168" s="89"/>
      <c r="I168" s="89"/>
      <c r="J168" s="89"/>
      <c r="K168" s="89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</row>
    <row r="169" spans="1:26" ht="16.5" customHeight="1">
      <c r="A169" s="66"/>
      <c r="B169" s="66"/>
      <c r="C169" s="89"/>
      <c r="D169" s="89"/>
      <c r="E169" s="89"/>
      <c r="F169" s="89"/>
      <c r="G169" s="89"/>
      <c r="H169" s="89"/>
      <c r="I169" s="89"/>
      <c r="J169" s="89"/>
      <c r="K169" s="89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</row>
    <row r="170" spans="1:26" ht="16.5" customHeight="1">
      <c r="A170" s="66"/>
      <c r="B170" s="66"/>
      <c r="C170" s="89"/>
      <c r="D170" s="89"/>
      <c r="E170" s="89"/>
      <c r="F170" s="89"/>
      <c r="G170" s="89"/>
      <c r="H170" s="89"/>
      <c r="I170" s="89"/>
      <c r="J170" s="89"/>
      <c r="K170" s="89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</row>
    <row r="171" spans="1:26" ht="16.5" customHeight="1">
      <c r="A171" s="66"/>
      <c r="B171" s="66"/>
      <c r="C171" s="89"/>
      <c r="D171" s="89"/>
      <c r="E171" s="89"/>
      <c r="F171" s="89"/>
      <c r="G171" s="89"/>
      <c r="H171" s="89"/>
      <c r="I171" s="89"/>
      <c r="J171" s="89"/>
      <c r="K171" s="89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</row>
    <row r="172" spans="1:26" ht="16.5" customHeight="1">
      <c r="A172" s="66"/>
      <c r="B172" s="66"/>
      <c r="C172" s="89"/>
      <c r="D172" s="89"/>
      <c r="E172" s="89"/>
      <c r="F172" s="89"/>
      <c r="G172" s="89"/>
      <c r="H172" s="89"/>
      <c r="I172" s="89"/>
      <c r="J172" s="89"/>
      <c r="K172" s="89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</row>
    <row r="173" spans="1:26" ht="16.5" customHeight="1">
      <c r="A173" s="66"/>
      <c r="B173" s="66"/>
      <c r="C173" s="89"/>
      <c r="D173" s="89"/>
      <c r="E173" s="89"/>
      <c r="F173" s="89"/>
      <c r="G173" s="89"/>
      <c r="H173" s="89"/>
      <c r="I173" s="89"/>
      <c r="J173" s="89"/>
      <c r="K173" s="89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</row>
    <row r="174" spans="1:26" ht="16.5" customHeight="1">
      <c r="A174" s="66"/>
      <c r="B174" s="66"/>
      <c r="C174" s="89"/>
      <c r="D174" s="89"/>
      <c r="E174" s="89"/>
      <c r="F174" s="89"/>
      <c r="G174" s="89"/>
      <c r="H174" s="89"/>
      <c r="I174" s="89"/>
      <c r="J174" s="89"/>
      <c r="K174" s="89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</row>
    <row r="175" spans="1:26" ht="16.5" customHeight="1">
      <c r="A175" s="66"/>
      <c r="B175" s="66"/>
      <c r="C175" s="89"/>
      <c r="D175" s="89"/>
      <c r="E175" s="89"/>
      <c r="F175" s="89"/>
      <c r="G175" s="89"/>
      <c r="H175" s="89"/>
      <c r="I175" s="89"/>
      <c r="J175" s="89"/>
      <c r="K175" s="89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</row>
    <row r="176" spans="1:26" ht="16.5" customHeight="1">
      <c r="A176" s="66"/>
      <c r="B176" s="66"/>
      <c r="C176" s="89"/>
      <c r="D176" s="89"/>
      <c r="E176" s="89"/>
      <c r="F176" s="89"/>
      <c r="G176" s="89"/>
      <c r="H176" s="89"/>
      <c r="I176" s="89"/>
      <c r="J176" s="89"/>
      <c r="K176" s="89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</row>
    <row r="177" spans="1:26" ht="16.5" customHeight="1">
      <c r="A177" s="66"/>
      <c r="B177" s="66"/>
      <c r="C177" s="89"/>
      <c r="D177" s="89"/>
      <c r="E177" s="89"/>
      <c r="F177" s="89"/>
      <c r="G177" s="89"/>
      <c r="H177" s="89"/>
      <c r="I177" s="89"/>
      <c r="J177" s="89"/>
      <c r="K177" s="89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</row>
    <row r="178" spans="1:26" ht="16.5" customHeight="1">
      <c r="A178" s="66"/>
      <c r="B178" s="66"/>
      <c r="C178" s="89"/>
      <c r="D178" s="89"/>
      <c r="E178" s="89"/>
      <c r="F178" s="89"/>
      <c r="G178" s="89"/>
      <c r="H178" s="89"/>
      <c r="I178" s="89"/>
      <c r="J178" s="89"/>
      <c r="K178" s="89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</row>
    <row r="179" spans="1:26" ht="16.5" customHeight="1">
      <c r="A179" s="66"/>
      <c r="B179" s="66"/>
      <c r="C179" s="89"/>
      <c r="D179" s="89"/>
      <c r="E179" s="89"/>
      <c r="F179" s="89"/>
      <c r="G179" s="89"/>
      <c r="H179" s="89"/>
      <c r="I179" s="89"/>
      <c r="J179" s="89"/>
      <c r="K179" s="89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</row>
    <row r="180" spans="1:26" ht="16.5" customHeight="1">
      <c r="A180" s="66"/>
      <c r="B180" s="66"/>
      <c r="C180" s="89"/>
      <c r="D180" s="89"/>
      <c r="E180" s="89"/>
      <c r="F180" s="89"/>
      <c r="G180" s="89"/>
      <c r="H180" s="89"/>
      <c r="I180" s="89"/>
      <c r="J180" s="89"/>
      <c r="K180" s="89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</row>
    <row r="181" spans="1:26" ht="16.5" customHeight="1">
      <c r="A181" s="66"/>
      <c r="B181" s="66"/>
      <c r="C181" s="89"/>
      <c r="D181" s="89"/>
      <c r="E181" s="89"/>
      <c r="F181" s="89"/>
      <c r="G181" s="89"/>
      <c r="H181" s="89"/>
      <c r="I181" s="89"/>
      <c r="J181" s="89"/>
      <c r="K181" s="89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</row>
    <row r="182" spans="1:26" ht="16.5" customHeight="1">
      <c r="A182" s="66"/>
      <c r="B182" s="66"/>
      <c r="C182" s="89"/>
      <c r="D182" s="89"/>
      <c r="E182" s="89"/>
      <c r="F182" s="89"/>
      <c r="G182" s="89"/>
      <c r="H182" s="89"/>
      <c r="I182" s="89"/>
      <c r="J182" s="89"/>
      <c r="K182" s="89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</row>
    <row r="183" spans="1:26" ht="16.5" customHeight="1">
      <c r="A183" s="66"/>
      <c r="B183" s="66"/>
      <c r="C183" s="89"/>
      <c r="D183" s="89"/>
      <c r="E183" s="89"/>
      <c r="F183" s="89"/>
      <c r="G183" s="89"/>
      <c r="H183" s="89"/>
      <c r="I183" s="89"/>
      <c r="J183" s="89"/>
      <c r="K183" s="89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</row>
    <row r="184" spans="1:26" ht="16.5" customHeight="1">
      <c r="A184" s="66"/>
      <c r="B184" s="66"/>
      <c r="C184" s="89"/>
      <c r="D184" s="89"/>
      <c r="E184" s="89"/>
      <c r="F184" s="89"/>
      <c r="G184" s="89"/>
      <c r="H184" s="89"/>
      <c r="I184" s="89"/>
      <c r="J184" s="89"/>
      <c r="K184" s="89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</row>
    <row r="185" spans="1:26" ht="16.5" customHeight="1">
      <c r="A185" s="66"/>
      <c r="B185" s="66"/>
      <c r="C185" s="89"/>
      <c r="D185" s="89"/>
      <c r="E185" s="89"/>
      <c r="F185" s="89"/>
      <c r="G185" s="89"/>
      <c r="H185" s="89"/>
      <c r="I185" s="89"/>
      <c r="J185" s="89"/>
      <c r="K185" s="89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</row>
    <row r="186" spans="1:26" ht="16.5" customHeight="1">
      <c r="A186" s="66"/>
      <c r="B186" s="66"/>
      <c r="C186" s="89"/>
      <c r="D186" s="89"/>
      <c r="E186" s="89"/>
      <c r="F186" s="89"/>
      <c r="G186" s="89"/>
      <c r="H186" s="89"/>
      <c r="I186" s="89"/>
      <c r="J186" s="89"/>
      <c r="K186" s="89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</row>
    <row r="187" spans="1:26" ht="16.5" customHeight="1">
      <c r="A187" s="66"/>
      <c r="B187" s="66"/>
      <c r="C187" s="89"/>
      <c r="D187" s="89"/>
      <c r="E187" s="89"/>
      <c r="F187" s="89"/>
      <c r="G187" s="89"/>
      <c r="H187" s="89"/>
      <c r="I187" s="89"/>
      <c r="J187" s="89"/>
      <c r="K187" s="89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</row>
    <row r="188" spans="1:26" ht="16.5" customHeight="1">
      <c r="A188" s="66"/>
      <c r="B188" s="66"/>
      <c r="C188" s="89"/>
      <c r="D188" s="89"/>
      <c r="E188" s="89"/>
      <c r="F188" s="89"/>
      <c r="G188" s="89"/>
      <c r="H188" s="89"/>
      <c r="I188" s="89"/>
      <c r="J188" s="89"/>
      <c r="K188" s="89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</row>
    <row r="189" spans="1:26" ht="16.5" customHeight="1">
      <c r="A189" s="66"/>
      <c r="B189" s="66"/>
      <c r="C189" s="89"/>
      <c r="D189" s="89"/>
      <c r="E189" s="89"/>
      <c r="F189" s="89"/>
      <c r="G189" s="89"/>
      <c r="H189" s="89"/>
      <c r="I189" s="89"/>
      <c r="J189" s="89"/>
      <c r="K189" s="89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</row>
    <row r="190" spans="1:26" ht="16.5" customHeight="1">
      <c r="A190" s="66"/>
      <c r="B190" s="66"/>
      <c r="C190" s="89"/>
      <c r="D190" s="89"/>
      <c r="E190" s="89"/>
      <c r="F190" s="89"/>
      <c r="G190" s="89"/>
      <c r="H190" s="89"/>
      <c r="I190" s="89"/>
      <c r="J190" s="89"/>
      <c r="K190" s="89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</row>
    <row r="191" spans="1:26" ht="16.5" customHeight="1">
      <c r="A191" s="66"/>
      <c r="B191" s="66"/>
      <c r="C191" s="89"/>
      <c r="D191" s="89"/>
      <c r="E191" s="89"/>
      <c r="F191" s="89"/>
      <c r="G191" s="89"/>
      <c r="H191" s="89"/>
      <c r="I191" s="89"/>
      <c r="J191" s="89"/>
      <c r="K191" s="89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</row>
    <row r="192" spans="1:26" ht="16.5" customHeight="1">
      <c r="A192" s="66"/>
      <c r="B192" s="66"/>
      <c r="C192" s="89"/>
      <c r="D192" s="89"/>
      <c r="E192" s="89"/>
      <c r="F192" s="89"/>
      <c r="G192" s="89"/>
      <c r="H192" s="89"/>
      <c r="I192" s="89"/>
      <c r="J192" s="89"/>
      <c r="K192" s="89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</row>
    <row r="193" spans="1:26" ht="16.5" customHeight="1">
      <c r="A193" s="66"/>
      <c r="B193" s="66"/>
      <c r="C193" s="89"/>
      <c r="D193" s="89"/>
      <c r="E193" s="89"/>
      <c r="F193" s="89"/>
      <c r="G193" s="89"/>
      <c r="H193" s="89"/>
      <c r="I193" s="89"/>
      <c r="J193" s="89"/>
      <c r="K193" s="89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</row>
    <row r="194" spans="1:26" ht="16.5" customHeight="1">
      <c r="A194" s="66"/>
      <c r="B194" s="66"/>
      <c r="C194" s="89"/>
      <c r="D194" s="89"/>
      <c r="E194" s="89"/>
      <c r="F194" s="89"/>
      <c r="G194" s="89"/>
      <c r="H194" s="89"/>
      <c r="I194" s="89"/>
      <c r="J194" s="89"/>
      <c r="K194" s="89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</row>
    <row r="195" spans="1:26" ht="16.5" customHeight="1">
      <c r="A195" s="66"/>
      <c r="B195" s="66"/>
      <c r="C195" s="89"/>
      <c r="D195" s="89"/>
      <c r="E195" s="89"/>
      <c r="F195" s="89"/>
      <c r="G195" s="89"/>
      <c r="H195" s="89"/>
      <c r="I195" s="89"/>
      <c r="J195" s="89"/>
      <c r="K195" s="89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</row>
    <row r="196" spans="1:26" ht="16.5" customHeight="1">
      <c r="A196" s="66"/>
      <c r="B196" s="66"/>
      <c r="C196" s="89"/>
      <c r="D196" s="89"/>
      <c r="E196" s="89"/>
      <c r="F196" s="89"/>
      <c r="G196" s="89"/>
      <c r="H196" s="89"/>
      <c r="I196" s="89"/>
      <c r="J196" s="89"/>
      <c r="K196" s="89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</row>
    <row r="197" spans="1:26" ht="16.5" customHeight="1">
      <c r="A197" s="66"/>
      <c r="B197" s="66"/>
      <c r="C197" s="89"/>
      <c r="D197" s="89"/>
      <c r="E197" s="89"/>
      <c r="F197" s="89"/>
      <c r="G197" s="89"/>
      <c r="H197" s="89"/>
      <c r="I197" s="89"/>
      <c r="J197" s="89"/>
      <c r="K197" s="89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</row>
    <row r="198" spans="1:26" ht="16.5" customHeight="1">
      <c r="A198" s="66"/>
      <c r="B198" s="66"/>
      <c r="C198" s="89"/>
      <c r="D198" s="89"/>
      <c r="E198" s="89"/>
      <c r="F198" s="89"/>
      <c r="G198" s="89"/>
      <c r="H198" s="89"/>
      <c r="I198" s="89"/>
      <c r="J198" s="89"/>
      <c r="K198" s="89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</row>
    <row r="199" spans="1:26" ht="16.5" customHeight="1">
      <c r="A199" s="66"/>
      <c r="B199" s="66"/>
      <c r="C199" s="89"/>
      <c r="D199" s="89"/>
      <c r="E199" s="89"/>
      <c r="F199" s="89"/>
      <c r="G199" s="89"/>
      <c r="H199" s="89"/>
      <c r="I199" s="89"/>
      <c r="J199" s="89"/>
      <c r="K199" s="89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</row>
    <row r="200" spans="1:26" ht="16.5" customHeight="1">
      <c r="A200" s="66"/>
      <c r="B200" s="66"/>
      <c r="C200" s="89"/>
      <c r="D200" s="89"/>
      <c r="E200" s="89"/>
      <c r="F200" s="89"/>
      <c r="G200" s="89"/>
      <c r="H200" s="89"/>
      <c r="I200" s="89"/>
      <c r="J200" s="89"/>
      <c r="K200" s="89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</row>
    <row r="201" spans="1:26" ht="16.5" customHeight="1">
      <c r="A201" s="66"/>
      <c r="B201" s="66"/>
      <c r="C201" s="89"/>
      <c r="D201" s="89"/>
      <c r="E201" s="89"/>
      <c r="F201" s="89"/>
      <c r="G201" s="89"/>
      <c r="H201" s="89"/>
      <c r="I201" s="89"/>
      <c r="J201" s="89"/>
      <c r="K201" s="89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</row>
    <row r="202" spans="1:26" ht="16.5" customHeight="1">
      <c r="A202" s="66"/>
      <c r="B202" s="66"/>
      <c r="C202" s="89"/>
      <c r="D202" s="89"/>
      <c r="E202" s="89"/>
      <c r="F202" s="89"/>
      <c r="G202" s="89"/>
      <c r="H202" s="89"/>
      <c r="I202" s="89"/>
      <c r="J202" s="89"/>
      <c r="K202" s="89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</row>
    <row r="203" spans="1:26" ht="16.5" customHeight="1">
      <c r="A203" s="66"/>
      <c r="B203" s="66"/>
      <c r="C203" s="89"/>
      <c r="D203" s="89"/>
      <c r="E203" s="89"/>
      <c r="F203" s="89"/>
      <c r="G203" s="89"/>
      <c r="H203" s="89"/>
      <c r="I203" s="89"/>
      <c r="J203" s="89"/>
      <c r="K203" s="89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</row>
    <row r="204" spans="1:26" ht="16.5" customHeight="1">
      <c r="A204" s="66"/>
      <c r="B204" s="66"/>
      <c r="C204" s="89"/>
      <c r="D204" s="89"/>
      <c r="E204" s="89"/>
      <c r="F204" s="89"/>
      <c r="G204" s="89"/>
      <c r="H204" s="89"/>
      <c r="I204" s="89"/>
      <c r="J204" s="89"/>
      <c r="K204" s="89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</row>
    <row r="205" spans="1:26" ht="16.5" customHeight="1">
      <c r="A205" s="66"/>
      <c r="B205" s="66"/>
      <c r="C205" s="89"/>
      <c r="D205" s="89"/>
      <c r="E205" s="89"/>
      <c r="F205" s="89"/>
      <c r="G205" s="89"/>
      <c r="H205" s="89"/>
      <c r="I205" s="89"/>
      <c r="J205" s="89"/>
      <c r="K205" s="89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</row>
    <row r="206" spans="1:26" ht="16.5" customHeight="1">
      <c r="A206" s="66"/>
      <c r="B206" s="66"/>
      <c r="C206" s="89"/>
      <c r="D206" s="89"/>
      <c r="E206" s="89"/>
      <c r="F206" s="89"/>
      <c r="G206" s="89"/>
      <c r="H206" s="89"/>
      <c r="I206" s="89"/>
      <c r="J206" s="89"/>
      <c r="K206" s="89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</row>
    <row r="207" spans="1:26" ht="16.5" customHeight="1">
      <c r="A207" s="66"/>
      <c r="B207" s="66"/>
      <c r="C207" s="89"/>
      <c r="D207" s="89"/>
      <c r="E207" s="89"/>
      <c r="F207" s="89"/>
      <c r="G207" s="89"/>
      <c r="H207" s="89"/>
      <c r="I207" s="89"/>
      <c r="J207" s="89"/>
      <c r="K207" s="89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</row>
    <row r="208" spans="1:26" ht="16.5" customHeight="1">
      <c r="A208" s="66"/>
      <c r="B208" s="66"/>
      <c r="C208" s="89"/>
      <c r="D208" s="89"/>
      <c r="E208" s="89"/>
      <c r="F208" s="89"/>
      <c r="G208" s="89"/>
      <c r="H208" s="89"/>
      <c r="I208" s="89"/>
      <c r="J208" s="89"/>
      <c r="K208" s="89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</row>
    <row r="209" spans="1:26" ht="16.5" customHeight="1">
      <c r="A209" s="66"/>
      <c r="B209" s="66"/>
      <c r="C209" s="89"/>
      <c r="D209" s="89"/>
      <c r="E209" s="89"/>
      <c r="F209" s="89"/>
      <c r="G209" s="89"/>
      <c r="H209" s="89"/>
      <c r="I209" s="89"/>
      <c r="J209" s="89"/>
      <c r="K209" s="89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</row>
    <row r="210" spans="1:26" ht="16.5" customHeight="1">
      <c r="A210" s="66"/>
      <c r="B210" s="66"/>
      <c r="C210" s="89"/>
      <c r="D210" s="89"/>
      <c r="E210" s="89"/>
      <c r="F210" s="89"/>
      <c r="G210" s="89"/>
      <c r="H210" s="89"/>
      <c r="I210" s="89"/>
      <c r="J210" s="89"/>
      <c r="K210" s="89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</row>
    <row r="211" spans="1:26" ht="16.5" customHeight="1">
      <c r="A211" s="66"/>
      <c r="B211" s="66"/>
      <c r="C211" s="89"/>
      <c r="D211" s="89"/>
      <c r="E211" s="89"/>
      <c r="F211" s="89"/>
      <c r="G211" s="89"/>
      <c r="H211" s="89"/>
      <c r="I211" s="89"/>
      <c r="J211" s="89"/>
      <c r="K211" s="89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</row>
    <row r="212" spans="1:26" ht="16.5" customHeight="1">
      <c r="A212" s="66"/>
      <c r="B212" s="66"/>
      <c r="C212" s="89"/>
      <c r="D212" s="89"/>
      <c r="E212" s="89"/>
      <c r="F212" s="89"/>
      <c r="G212" s="89"/>
      <c r="H212" s="89"/>
      <c r="I212" s="89"/>
      <c r="J212" s="89"/>
      <c r="K212" s="89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</row>
    <row r="213" spans="1:26" ht="16.5" customHeight="1">
      <c r="A213" s="66"/>
      <c r="B213" s="66"/>
      <c r="C213" s="89"/>
      <c r="D213" s="89"/>
      <c r="E213" s="89"/>
      <c r="F213" s="89"/>
      <c r="G213" s="89"/>
      <c r="H213" s="89"/>
      <c r="I213" s="89"/>
      <c r="J213" s="89"/>
      <c r="K213" s="89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</row>
    <row r="214" spans="1:26" ht="16.5" customHeight="1">
      <c r="A214" s="66"/>
      <c r="B214" s="66"/>
      <c r="C214" s="89"/>
      <c r="D214" s="89"/>
      <c r="E214" s="89"/>
      <c r="F214" s="89"/>
      <c r="G214" s="89"/>
      <c r="H214" s="89"/>
      <c r="I214" s="89"/>
      <c r="J214" s="89"/>
      <c r="K214" s="89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</row>
    <row r="215" spans="1:26" ht="16.5" customHeight="1">
      <c r="A215" s="66"/>
      <c r="B215" s="66"/>
      <c r="C215" s="89"/>
      <c r="D215" s="89"/>
      <c r="E215" s="89"/>
      <c r="F215" s="89"/>
      <c r="G215" s="89"/>
      <c r="H215" s="89"/>
      <c r="I215" s="89"/>
      <c r="J215" s="89"/>
      <c r="K215" s="89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</row>
    <row r="216" spans="1:26" ht="16.5" customHeight="1">
      <c r="A216" s="66"/>
      <c r="B216" s="66"/>
      <c r="C216" s="89"/>
      <c r="D216" s="89"/>
      <c r="E216" s="89"/>
      <c r="F216" s="89"/>
      <c r="G216" s="89"/>
      <c r="H216" s="89"/>
      <c r="I216" s="89"/>
      <c r="J216" s="89"/>
      <c r="K216" s="89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</row>
    <row r="217" spans="1:26" ht="16.5" customHeight="1">
      <c r="A217" s="66"/>
      <c r="B217" s="66"/>
      <c r="C217" s="89"/>
      <c r="D217" s="89"/>
      <c r="E217" s="89"/>
      <c r="F217" s="89"/>
      <c r="G217" s="89"/>
      <c r="H217" s="89"/>
      <c r="I217" s="89"/>
      <c r="J217" s="89"/>
      <c r="K217" s="89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</row>
    <row r="218" spans="1:26" ht="16.5" customHeight="1">
      <c r="A218" s="66"/>
      <c r="B218" s="66"/>
      <c r="C218" s="89"/>
      <c r="D218" s="89"/>
      <c r="E218" s="89"/>
      <c r="F218" s="89"/>
      <c r="G218" s="89"/>
      <c r="H218" s="89"/>
      <c r="I218" s="89"/>
      <c r="J218" s="89"/>
      <c r="K218" s="89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</row>
    <row r="219" spans="1:26" ht="16.5" customHeight="1">
      <c r="A219" s="66"/>
      <c r="B219" s="66"/>
      <c r="C219" s="89"/>
      <c r="D219" s="89"/>
      <c r="E219" s="89"/>
      <c r="F219" s="89"/>
      <c r="G219" s="89"/>
      <c r="H219" s="89"/>
      <c r="I219" s="89"/>
      <c r="J219" s="89"/>
      <c r="K219" s="89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</row>
    <row r="220" spans="1:26" ht="16.5" customHeight="1">
      <c r="A220" s="66"/>
      <c r="B220" s="66"/>
      <c r="C220" s="89"/>
      <c r="D220" s="89"/>
      <c r="E220" s="89"/>
      <c r="F220" s="89"/>
      <c r="G220" s="89"/>
      <c r="H220" s="89"/>
      <c r="I220" s="89"/>
      <c r="J220" s="89"/>
      <c r="K220" s="89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</row>
    <row r="221" spans="1:26" ht="16.5" customHeight="1">
      <c r="A221" s="66"/>
      <c r="B221" s="66"/>
      <c r="C221" s="89"/>
      <c r="D221" s="89"/>
      <c r="E221" s="89"/>
      <c r="F221" s="89"/>
      <c r="G221" s="89"/>
      <c r="H221" s="89"/>
      <c r="I221" s="89"/>
      <c r="J221" s="89"/>
      <c r="K221" s="89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</row>
    <row r="222" spans="1:26" ht="16.5" customHeight="1">
      <c r="A222" s="66"/>
      <c r="B222" s="66"/>
      <c r="C222" s="89"/>
      <c r="D222" s="89"/>
      <c r="E222" s="89"/>
      <c r="F222" s="89"/>
      <c r="G222" s="89"/>
      <c r="H222" s="89"/>
      <c r="I222" s="89"/>
      <c r="J222" s="89"/>
      <c r="K222" s="89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</row>
    <row r="223" spans="1:26" ht="16.5" customHeight="1">
      <c r="A223" s="66"/>
      <c r="B223" s="66"/>
      <c r="C223" s="89"/>
      <c r="D223" s="89"/>
      <c r="E223" s="89"/>
      <c r="F223" s="89"/>
      <c r="G223" s="89"/>
      <c r="H223" s="89"/>
      <c r="I223" s="89"/>
      <c r="J223" s="89"/>
      <c r="K223" s="89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</row>
    <row r="224" spans="1:26" ht="16.5" customHeight="1">
      <c r="A224" s="66"/>
      <c r="B224" s="66"/>
      <c r="C224" s="89"/>
      <c r="D224" s="89"/>
      <c r="E224" s="89"/>
      <c r="F224" s="89"/>
      <c r="G224" s="89"/>
      <c r="H224" s="89"/>
      <c r="I224" s="89"/>
      <c r="J224" s="89"/>
      <c r="K224" s="89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</row>
    <row r="225" spans="1:26" ht="16.5" customHeight="1">
      <c r="A225" s="66"/>
      <c r="B225" s="66"/>
      <c r="C225" s="89"/>
      <c r="D225" s="89"/>
      <c r="E225" s="89"/>
      <c r="F225" s="89"/>
      <c r="G225" s="89"/>
      <c r="H225" s="89"/>
      <c r="I225" s="89"/>
      <c r="J225" s="89"/>
      <c r="K225" s="89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</row>
    <row r="226" spans="1:26" ht="16.5" customHeight="1">
      <c r="A226" s="66"/>
      <c r="B226" s="66"/>
      <c r="C226" s="89"/>
      <c r="D226" s="89"/>
      <c r="E226" s="89"/>
      <c r="F226" s="89"/>
      <c r="G226" s="89"/>
      <c r="H226" s="89"/>
      <c r="I226" s="89"/>
      <c r="J226" s="89"/>
      <c r="K226" s="89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</row>
    <row r="227" spans="1:26" ht="16.5" customHeight="1">
      <c r="A227" s="66"/>
      <c r="B227" s="66"/>
      <c r="C227" s="89"/>
      <c r="D227" s="89"/>
      <c r="E227" s="89"/>
      <c r="F227" s="89"/>
      <c r="G227" s="89"/>
      <c r="H227" s="89"/>
      <c r="I227" s="89"/>
      <c r="J227" s="89"/>
      <c r="K227" s="89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</row>
    <row r="228" spans="1:26" ht="16.5" customHeight="1">
      <c r="A228" s="66"/>
      <c r="B228" s="66"/>
      <c r="C228" s="89"/>
      <c r="D228" s="89"/>
      <c r="E228" s="89"/>
      <c r="F228" s="89"/>
      <c r="G228" s="89"/>
      <c r="H228" s="89"/>
      <c r="I228" s="89"/>
      <c r="J228" s="89"/>
      <c r="K228" s="89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</row>
    <row r="229" spans="1:26" ht="16.5" customHeight="1">
      <c r="A229" s="66"/>
      <c r="B229" s="66"/>
      <c r="C229" s="89"/>
      <c r="D229" s="89"/>
      <c r="E229" s="89"/>
      <c r="F229" s="89"/>
      <c r="G229" s="89"/>
      <c r="H229" s="89"/>
      <c r="I229" s="89"/>
      <c r="J229" s="89"/>
      <c r="K229" s="89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</row>
    <row r="230" spans="1:26" ht="16.5" customHeight="1">
      <c r="A230" s="66"/>
      <c r="B230" s="66"/>
      <c r="C230" s="89"/>
      <c r="D230" s="89"/>
      <c r="E230" s="89"/>
      <c r="F230" s="89"/>
      <c r="G230" s="89"/>
      <c r="H230" s="89"/>
      <c r="I230" s="89"/>
      <c r="J230" s="89"/>
      <c r="K230" s="89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</row>
    <row r="231" spans="1:26" ht="16.5" customHeight="1">
      <c r="A231" s="66"/>
      <c r="B231" s="66"/>
      <c r="C231" s="89"/>
      <c r="D231" s="89"/>
      <c r="E231" s="89"/>
      <c r="F231" s="89"/>
      <c r="G231" s="89"/>
      <c r="H231" s="89"/>
      <c r="I231" s="89"/>
      <c r="J231" s="89"/>
      <c r="K231" s="89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</row>
    <row r="232" spans="1:26" ht="16.5" customHeight="1">
      <c r="A232" s="66"/>
      <c r="B232" s="66"/>
      <c r="C232" s="89"/>
      <c r="D232" s="89"/>
      <c r="E232" s="89"/>
      <c r="F232" s="89"/>
      <c r="G232" s="89"/>
      <c r="H232" s="89"/>
      <c r="I232" s="89"/>
      <c r="J232" s="89"/>
      <c r="K232" s="89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</row>
    <row r="233" spans="1:26" ht="16.5" customHeight="1">
      <c r="A233" s="66"/>
      <c r="B233" s="66"/>
      <c r="C233" s="89"/>
      <c r="D233" s="89"/>
      <c r="E233" s="89"/>
      <c r="F233" s="89"/>
      <c r="G233" s="89"/>
      <c r="H233" s="89"/>
      <c r="I233" s="89"/>
      <c r="J233" s="89"/>
      <c r="K233" s="89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</row>
    <row r="234" spans="1:26" ht="16.5" customHeight="1">
      <c r="A234" s="66"/>
      <c r="B234" s="66"/>
      <c r="C234" s="89"/>
      <c r="D234" s="89"/>
      <c r="E234" s="89"/>
      <c r="F234" s="89"/>
      <c r="G234" s="89"/>
      <c r="H234" s="89"/>
      <c r="I234" s="89"/>
      <c r="J234" s="89"/>
      <c r="K234" s="89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</row>
    <row r="235" spans="1:26" ht="16.5" customHeight="1">
      <c r="A235" s="66"/>
      <c r="B235" s="66"/>
      <c r="C235" s="89"/>
      <c r="D235" s="89"/>
      <c r="E235" s="89"/>
      <c r="F235" s="89"/>
      <c r="G235" s="89"/>
      <c r="H235" s="89"/>
      <c r="I235" s="89"/>
      <c r="J235" s="89"/>
      <c r="K235" s="89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</row>
    <row r="236" spans="1:26" ht="16.5" customHeight="1">
      <c r="A236" s="66"/>
      <c r="B236" s="66"/>
      <c r="C236" s="89"/>
      <c r="D236" s="89"/>
      <c r="E236" s="89"/>
      <c r="F236" s="89"/>
      <c r="G236" s="89"/>
      <c r="H236" s="89"/>
      <c r="I236" s="89"/>
      <c r="J236" s="89"/>
      <c r="K236" s="89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</row>
    <row r="237" spans="1:26" ht="16.5" customHeight="1">
      <c r="A237" s="66"/>
      <c r="B237" s="66"/>
      <c r="C237" s="89"/>
      <c r="D237" s="89"/>
      <c r="E237" s="89"/>
      <c r="F237" s="89"/>
      <c r="G237" s="89"/>
      <c r="H237" s="89"/>
      <c r="I237" s="89"/>
      <c r="J237" s="89"/>
      <c r="K237" s="89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</row>
    <row r="238" spans="1:26" ht="16.5" customHeight="1">
      <c r="A238" s="66"/>
      <c r="B238" s="66"/>
      <c r="C238" s="89"/>
      <c r="D238" s="89"/>
      <c r="E238" s="89"/>
      <c r="F238" s="89"/>
      <c r="G238" s="89"/>
      <c r="H238" s="89"/>
      <c r="I238" s="89"/>
      <c r="J238" s="89"/>
      <c r="K238" s="89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</row>
    <row r="239" spans="1:26" ht="16.5" customHeight="1">
      <c r="A239" s="66"/>
      <c r="B239" s="66"/>
      <c r="C239" s="89"/>
      <c r="D239" s="89"/>
      <c r="E239" s="89"/>
      <c r="F239" s="89"/>
      <c r="G239" s="89"/>
      <c r="H239" s="89"/>
      <c r="I239" s="89"/>
      <c r="J239" s="89"/>
      <c r="K239" s="89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</row>
    <row r="240" spans="1:26" ht="16.5" customHeight="1">
      <c r="A240" s="66"/>
      <c r="B240" s="66"/>
      <c r="C240" s="89"/>
      <c r="D240" s="89"/>
      <c r="E240" s="89"/>
      <c r="F240" s="89"/>
      <c r="G240" s="89"/>
      <c r="H240" s="89"/>
      <c r="I240" s="89"/>
      <c r="J240" s="89"/>
      <c r="K240" s="89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</row>
    <row r="241" spans="1:26" ht="16.5" customHeight="1">
      <c r="A241" s="66"/>
      <c r="B241" s="66"/>
      <c r="C241" s="89"/>
      <c r="D241" s="89"/>
      <c r="E241" s="89"/>
      <c r="F241" s="89"/>
      <c r="G241" s="89"/>
      <c r="H241" s="89"/>
      <c r="I241" s="89"/>
      <c r="J241" s="89"/>
      <c r="K241" s="89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</row>
    <row r="242" spans="1:26" ht="16.5" customHeight="1">
      <c r="A242" s="66"/>
      <c r="B242" s="66"/>
      <c r="C242" s="89"/>
      <c r="D242" s="89"/>
      <c r="E242" s="89"/>
      <c r="F242" s="89"/>
      <c r="G242" s="89"/>
      <c r="H242" s="89"/>
      <c r="I242" s="89"/>
      <c r="J242" s="89"/>
      <c r="K242" s="89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</row>
    <row r="243" spans="1:26" ht="16.5" customHeight="1">
      <c r="A243" s="66"/>
      <c r="B243" s="66"/>
      <c r="C243" s="89"/>
      <c r="D243" s="89"/>
      <c r="E243" s="89"/>
      <c r="F243" s="89"/>
      <c r="G243" s="89"/>
      <c r="H243" s="89"/>
      <c r="I243" s="89"/>
      <c r="J243" s="89"/>
      <c r="K243" s="89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</row>
    <row r="244" spans="1:26" ht="16.5" customHeight="1">
      <c r="A244" s="66"/>
      <c r="B244" s="66"/>
      <c r="C244" s="89"/>
      <c r="D244" s="89"/>
      <c r="E244" s="89"/>
      <c r="F244" s="89"/>
      <c r="G244" s="89"/>
      <c r="H244" s="89"/>
      <c r="I244" s="89"/>
      <c r="J244" s="89"/>
      <c r="K244" s="89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</row>
    <row r="245" spans="1:26" ht="16.5" customHeight="1">
      <c r="A245" s="66"/>
      <c r="B245" s="66"/>
      <c r="C245" s="89"/>
      <c r="D245" s="89"/>
      <c r="E245" s="89"/>
      <c r="F245" s="89"/>
      <c r="G245" s="89"/>
      <c r="H245" s="89"/>
      <c r="I245" s="89"/>
      <c r="J245" s="89"/>
      <c r="K245" s="89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</row>
    <row r="246" spans="1:26" ht="16.5" customHeight="1">
      <c r="A246" s="66"/>
      <c r="B246" s="66"/>
      <c r="C246" s="89"/>
      <c r="D246" s="89"/>
      <c r="E246" s="89"/>
      <c r="F246" s="89"/>
      <c r="G246" s="89"/>
      <c r="H246" s="89"/>
      <c r="I246" s="89"/>
      <c r="J246" s="89"/>
      <c r="K246" s="89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</row>
    <row r="247" spans="1:26" ht="16.5" customHeight="1">
      <c r="A247" s="66"/>
      <c r="B247" s="66"/>
      <c r="C247" s="89"/>
      <c r="D247" s="89"/>
      <c r="E247" s="89"/>
      <c r="F247" s="89"/>
      <c r="G247" s="89"/>
      <c r="H247" s="89"/>
      <c r="I247" s="89"/>
      <c r="J247" s="89"/>
      <c r="K247" s="89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</row>
    <row r="248" spans="1:26" ht="16.5" customHeight="1">
      <c r="A248" s="66"/>
      <c r="B248" s="66"/>
      <c r="C248" s="89"/>
      <c r="D248" s="89"/>
      <c r="E248" s="89"/>
      <c r="F248" s="89"/>
      <c r="G248" s="89"/>
      <c r="H248" s="89"/>
      <c r="I248" s="89"/>
      <c r="J248" s="89"/>
      <c r="K248" s="89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</row>
    <row r="249" spans="1:26" ht="16.5" customHeight="1">
      <c r="A249" s="66"/>
      <c r="B249" s="66"/>
      <c r="C249" s="89"/>
      <c r="D249" s="89"/>
      <c r="E249" s="89"/>
      <c r="F249" s="89"/>
      <c r="G249" s="89"/>
      <c r="H249" s="89"/>
      <c r="I249" s="89"/>
      <c r="J249" s="89"/>
      <c r="K249" s="89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</row>
    <row r="250" spans="1:26" ht="16.5" customHeight="1">
      <c r="A250" s="66"/>
      <c r="B250" s="66"/>
      <c r="C250" s="89"/>
      <c r="D250" s="89"/>
      <c r="E250" s="89"/>
      <c r="F250" s="89"/>
      <c r="G250" s="89"/>
      <c r="H250" s="89"/>
      <c r="I250" s="89"/>
      <c r="J250" s="89"/>
      <c r="K250" s="89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</row>
    <row r="251" spans="1:26" ht="16.5" customHeight="1">
      <c r="A251" s="66"/>
      <c r="B251" s="66"/>
      <c r="C251" s="89"/>
      <c r="D251" s="89"/>
      <c r="E251" s="89"/>
      <c r="F251" s="89"/>
      <c r="G251" s="89"/>
      <c r="H251" s="89"/>
      <c r="I251" s="89"/>
      <c r="J251" s="89"/>
      <c r="K251" s="89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</row>
    <row r="252" spans="1:26" ht="16.5" customHeight="1">
      <c r="A252" s="66"/>
      <c r="B252" s="66"/>
      <c r="C252" s="89"/>
      <c r="D252" s="89"/>
      <c r="E252" s="89"/>
      <c r="F252" s="89"/>
      <c r="G252" s="89"/>
      <c r="H252" s="89"/>
      <c r="I252" s="89"/>
      <c r="J252" s="89"/>
      <c r="K252" s="89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</row>
    <row r="253" spans="1:26" ht="16.5" customHeight="1">
      <c r="A253" s="66"/>
      <c r="B253" s="66"/>
      <c r="C253" s="89"/>
      <c r="D253" s="89"/>
      <c r="E253" s="89"/>
      <c r="F253" s="89"/>
      <c r="G253" s="89"/>
      <c r="H253" s="89"/>
      <c r="I253" s="89"/>
      <c r="J253" s="89"/>
      <c r="K253" s="89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</row>
    <row r="254" spans="1:26" ht="16.5" customHeight="1">
      <c r="A254" s="66"/>
      <c r="B254" s="66"/>
      <c r="C254" s="89"/>
      <c r="D254" s="89"/>
      <c r="E254" s="89"/>
      <c r="F254" s="89"/>
      <c r="G254" s="89"/>
      <c r="H254" s="89"/>
      <c r="I254" s="89"/>
      <c r="J254" s="89"/>
      <c r="K254" s="89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</row>
    <row r="255" spans="1:26" ht="16.5" customHeight="1">
      <c r="A255" s="66"/>
      <c r="B255" s="66"/>
      <c r="C255" s="89"/>
      <c r="D255" s="89"/>
      <c r="E255" s="89"/>
      <c r="F255" s="89"/>
      <c r="G255" s="89"/>
      <c r="H255" s="89"/>
      <c r="I255" s="89"/>
      <c r="J255" s="89"/>
      <c r="K255" s="89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</row>
    <row r="256" spans="1:26" ht="16.5" customHeight="1">
      <c r="A256" s="66"/>
      <c r="B256" s="66"/>
      <c r="C256" s="89"/>
      <c r="D256" s="89"/>
      <c r="E256" s="89"/>
      <c r="F256" s="89"/>
      <c r="G256" s="89"/>
      <c r="H256" s="89"/>
      <c r="I256" s="89"/>
      <c r="J256" s="89"/>
      <c r="K256" s="89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</row>
    <row r="257" spans="1:26" ht="16.5" customHeight="1">
      <c r="A257" s="66"/>
      <c r="B257" s="66"/>
      <c r="C257" s="89"/>
      <c r="D257" s="89"/>
      <c r="E257" s="89"/>
      <c r="F257" s="89"/>
      <c r="G257" s="89"/>
      <c r="H257" s="89"/>
      <c r="I257" s="89"/>
      <c r="J257" s="89"/>
      <c r="K257" s="89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</row>
    <row r="258" spans="1:26" ht="16.5" customHeight="1">
      <c r="A258" s="66"/>
      <c r="B258" s="66"/>
      <c r="C258" s="89"/>
      <c r="D258" s="89"/>
      <c r="E258" s="89"/>
      <c r="F258" s="89"/>
      <c r="G258" s="89"/>
      <c r="H258" s="89"/>
      <c r="I258" s="89"/>
      <c r="J258" s="89"/>
      <c r="K258" s="89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</row>
    <row r="259" spans="1:26" ht="16.5" customHeight="1">
      <c r="A259" s="66"/>
      <c r="B259" s="66"/>
      <c r="C259" s="89"/>
      <c r="D259" s="89"/>
      <c r="E259" s="89"/>
      <c r="F259" s="89"/>
      <c r="G259" s="89"/>
      <c r="H259" s="89"/>
      <c r="I259" s="89"/>
      <c r="J259" s="89"/>
      <c r="K259" s="89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</row>
    <row r="260" spans="1:26" ht="16.5" customHeight="1">
      <c r="A260" s="66"/>
      <c r="B260" s="66"/>
      <c r="C260" s="89"/>
      <c r="D260" s="89"/>
      <c r="E260" s="89"/>
      <c r="F260" s="89"/>
      <c r="G260" s="89"/>
      <c r="H260" s="89"/>
      <c r="I260" s="89"/>
      <c r="J260" s="89"/>
      <c r="K260" s="89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</row>
    <row r="261" spans="1:26" ht="16.5" customHeight="1">
      <c r="A261" s="66"/>
      <c r="B261" s="66"/>
      <c r="C261" s="89"/>
      <c r="D261" s="89"/>
      <c r="E261" s="89"/>
      <c r="F261" s="89"/>
      <c r="G261" s="89"/>
      <c r="H261" s="89"/>
      <c r="I261" s="89"/>
      <c r="J261" s="89"/>
      <c r="K261" s="89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</row>
    <row r="262" spans="1:26" ht="16.5" customHeight="1">
      <c r="A262" s="66"/>
      <c r="B262" s="66"/>
      <c r="C262" s="89"/>
      <c r="D262" s="89"/>
      <c r="E262" s="89"/>
      <c r="F262" s="89"/>
      <c r="G262" s="89"/>
      <c r="H262" s="89"/>
      <c r="I262" s="89"/>
      <c r="J262" s="89"/>
      <c r="K262" s="89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</row>
    <row r="263" spans="1:26" ht="16.5" customHeight="1">
      <c r="A263" s="66"/>
      <c r="B263" s="66"/>
      <c r="C263" s="89"/>
      <c r="D263" s="89"/>
      <c r="E263" s="89"/>
      <c r="F263" s="89"/>
      <c r="G263" s="89"/>
      <c r="H263" s="89"/>
      <c r="I263" s="89"/>
      <c r="J263" s="89"/>
      <c r="K263" s="89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</row>
    <row r="264" spans="1:26" ht="16.5" customHeight="1">
      <c r="A264" s="66"/>
      <c r="B264" s="66"/>
      <c r="C264" s="89"/>
      <c r="D264" s="89"/>
      <c r="E264" s="89"/>
      <c r="F264" s="89"/>
      <c r="G264" s="89"/>
      <c r="H264" s="89"/>
      <c r="I264" s="89"/>
      <c r="J264" s="89"/>
      <c r="K264" s="89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</row>
    <row r="265" spans="1:26" ht="16.5" customHeight="1">
      <c r="A265" s="66"/>
      <c r="B265" s="66"/>
      <c r="C265" s="89"/>
      <c r="D265" s="89"/>
      <c r="E265" s="89"/>
      <c r="F265" s="89"/>
      <c r="G265" s="89"/>
      <c r="H265" s="89"/>
      <c r="I265" s="89"/>
      <c r="J265" s="89"/>
      <c r="K265" s="89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</row>
    <row r="266" spans="1:26" ht="16.5" customHeight="1">
      <c r="A266" s="66"/>
      <c r="B266" s="66"/>
      <c r="C266" s="89"/>
      <c r="D266" s="89"/>
      <c r="E266" s="89"/>
      <c r="F266" s="89"/>
      <c r="G266" s="89"/>
      <c r="H266" s="89"/>
      <c r="I266" s="89"/>
      <c r="J266" s="89"/>
      <c r="K266" s="89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</row>
    <row r="267" spans="1:26" ht="16.5" customHeight="1">
      <c r="A267" s="66"/>
      <c r="B267" s="66"/>
      <c r="C267" s="89"/>
      <c r="D267" s="89"/>
      <c r="E267" s="89"/>
      <c r="F267" s="89"/>
      <c r="G267" s="89"/>
      <c r="H267" s="89"/>
      <c r="I267" s="89"/>
      <c r="J267" s="89"/>
      <c r="K267" s="89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</row>
    <row r="268" spans="1:26" ht="16.5" customHeight="1">
      <c r="A268" s="66"/>
      <c r="B268" s="66"/>
      <c r="C268" s="89"/>
      <c r="D268" s="89"/>
      <c r="E268" s="89"/>
      <c r="F268" s="89"/>
      <c r="G268" s="89"/>
      <c r="H268" s="89"/>
      <c r="I268" s="89"/>
      <c r="J268" s="89"/>
      <c r="K268" s="89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</row>
    <row r="269" spans="1:26" ht="16.5" customHeight="1">
      <c r="A269" s="66"/>
      <c r="B269" s="66"/>
      <c r="C269" s="89"/>
      <c r="D269" s="89"/>
      <c r="E269" s="89"/>
      <c r="F269" s="89"/>
      <c r="G269" s="89"/>
      <c r="H269" s="89"/>
      <c r="I269" s="89"/>
      <c r="J269" s="89"/>
      <c r="K269" s="89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</row>
    <row r="270" spans="1:26" ht="16.5" customHeight="1">
      <c r="A270" s="66"/>
      <c r="B270" s="66"/>
      <c r="C270" s="89"/>
      <c r="D270" s="89"/>
      <c r="E270" s="89"/>
      <c r="F270" s="89"/>
      <c r="G270" s="89"/>
      <c r="H270" s="89"/>
      <c r="I270" s="89"/>
      <c r="J270" s="89"/>
      <c r="K270" s="89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</row>
    <row r="271" spans="1:26" ht="16.5" customHeight="1">
      <c r="A271" s="66"/>
      <c r="B271" s="66"/>
      <c r="C271" s="89"/>
      <c r="D271" s="89"/>
      <c r="E271" s="89"/>
      <c r="F271" s="89"/>
      <c r="G271" s="89"/>
      <c r="H271" s="89"/>
      <c r="I271" s="89"/>
      <c r="J271" s="89"/>
      <c r="K271" s="89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</row>
    <row r="272" spans="1:26" ht="16.5" customHeight="1">
      <c r="A272" s="66"/>
      <c r="B272" s="66"/>
      <c r="C272" s="89"/>
      <c r="D272" s="89"/>
      <c r="E272" s="89"/>
      <c r="F272" s="89"/>
      <c r="G272" s="89"/>
      <c r="H272" s="89"/>
      <c r="I272" s="89"/>
      <c r="J272" s="89"/>
      <c r="K272" s="89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</row>
    <row r="273" spans="1:26" ht="16.5" customHeight="1">
      <c r="A273" s="66"/>
      <c r="B273" s="66"/>
      <c r="C273" s="89"/>
      <c r="D273" s="89"/>
      <c r="E273" s="89"/>
      <c r="F273" s="89"/>
      <c r="G273" s="89"/>
      <c r="H273" s="89"/>
      <c r="I273" s="89"/>
      <c r="J273" s="89"/>
      <c r="K273" s="89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</row>
    <row r="274" spans="1:26" ht="16.5" customHeight="1">
      <c r="A274" s="66"/>
      <c r="B274" s="66"/>
      <c r="C274" s="89"/>
      <c r="D274" s="89"/>
      <c r="E274" s="89"/>
      <c r="F274" s="89"/>
      <c r="G274" s="89"/>
      <c r="H274" s="89"/>
      <c r="I274" s="89"/>
      <c r="J274" s="89"/>
      <c r="K274" s="89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</row>
    <row r="275" spans="1:26" ht="16.5" customHeight="1">
      <c r="A275" s="66"/>
      <c r="B275" s="66"/>
      <c r="C275" s="89"/>
      <c r="D275" s="89"/>
      <c r="E275" s="89"/>
      <c r="F275" s="89"/>
      <c r="G275" s="89"/>
      <c r="H275" s="89"/>
      <c r="I275" s="89"/>
      <c r="J275" s="89"/>
      <c r="K275" s="89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</row>
    <row r="276" spans="1:26" ht="16.5" customHeight="1">
      <c r="A276" s="66"/>
      <c r="B276" s="66"/>
      <c r="C276" s="89"/>
      <c r="D276" s="89"/>
      <c r="E276" s="89"/>
      <c r="F276" s="89"/>
      <c r="G276" s="89"/>
      <c r="H276" s="89"/>
      <c r="I276" s="89"/>
      <c r="J276" s="89"/>
      <c r="K276" s="89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</row>
    <row r="277" spans="1:26" ht="16.5" customHeight="1">
      <c r="A277" s="66"/>
      <c r="B277" s="66"/>
      <c r="C277" s="89"/>
      <c r="D277" s="89"/>
      <c r="E277" s="89"/>
      <c r="F277" s="89"/>
      <c r="G277" s="89"/>
      <c r="H277" s="89"/>
      <c r="I277" s="89"/>
      <c r="J277" s="89"/>
      <c r="K277" s="89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</row>
    <row r="278" spans="1:26" ht="16.5" customHeight="1">
      <c r="A278" s="66"/>
      <c r="B278" s="66"/>
      <c r="C278" s="89"/>
      <c r="D278" s="89"/>
      <c r="E278" s="89"/>
      <c r="F278" s="89"/>
      <c r="G278" s="89"/>
      <c r="H278" s="89"/>
      <c r="I278" s="89"/>
      <c r="J278" s="89"/>
      <c r="K278" s="89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</row>
    <row r="279" spans="1:26" ht="16.5" customHeight="1">
      <c r="A279" s="66"/>
      <c r="B279" s="66"/>
      <c r="C279" s="89"/>
      <c r="D279" s="89"/>
      <c r="E279" s="89"/>
      <c r="F279" s="89"/>
      <c r="G279" s="89"/>
      <c r="H279" s="89"/>
      <c r="I279" s="89"/>
      <c r="J279" s="89"/>
      <c r="K279" s="89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</row>
    <row r="280" spans="1:26" ht="16.5" customHeight="1">
      <c r="A280" s="66"/>
      <c r="B280" s="66"/>
      <c r="C280" s="89"/>
      <c r="D280" s="89"/>
      <c r="E280" s="89"/>
      <c r="F280" s="89"/>
      <c r="G280" s="89"/>
      <c r="H280" s="89"/>
      <c r="I280" s="89"/>
      <c r="J280" s="89"/>
      <c r="K280" s="89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</row>
    <row r="281" spans="1:26" ht="16.5" customHeight="1">
      <c r="A281" s="66"/>
      <c r="B281" s="66"/>
      <c r="C281" s="89"/>
      <c r="D281" s="89"/>
      <c r="E281" s="89"/>
      <c r="F281" s="89"/>
      <c r="G281" s="89"/>
      <c r="H281" s="89"/>
      <c r="I281" s="89"/>
      <c r="J281" s="89"/>
      <c r="K281" s="89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</row>
    <row r="282" spans="1:26" ht="16.5" customHeight="1">
      <c r="A282" s="66"/>
      <c r="B282" s="66"/>
      <c r="C282" s="89"/>
      <c r="D282" s="89"/>
      <c r="E282" s="89"/>
      <c r="F282" s="89"/>
      <c r="G282" s="89"/>
      <c r="H282" s="89"/>
      <c r="I282" s="89"/>
      <c r="J282" s="89"/>
      <c r="K282" s="89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</row>
    <row r="283" spans="1:26" ht="16.5" customHeight="1">
      <c r="A283" s="66"/>
      <c r="B283" s="66"/>
      <c r="C283" s="89"/>
      <c r="D283" s="89"/>
      <c r="E283" s="89"/>
      <c r="F283" s="89"/>
      <c r="G283" s="89"/>
      <c r="H283" s="89"/>
      <c r="I283" s="89"/>
      <c r="J283" s="89"/>
      <c r="K283" s="89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</row>
    <row r="284" spans="1:26" ht="16.5" customHeight="1">
      <c r="A284" s="66"/>
      <c r="B284" s="66"/>
      <c r="C284" s="89"/>
      <c r="D284" s="89"/>
      <c r="E284" s="89"/>
      <c r="F284" s="89"/>
      <c r="G284" s="89"/>
      <c r="H284" s="89"/>
      <c r="I284" s="89"/>
      <c r="J284" s="89"/>
      <c r="K284" s="89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</row>
    <row r="285" spans="1:26" ht="16.5" customHeight="1">
      <c r="A285" s="66"/>
      <c r="B285" s="66"/>
      <c r="C285" s="89"/>
      <c r="D285" s="89"/>
      <c r="E285" s="89"/>
      <c r="F285" s="89"/>
      <c r="G285" s="89"/>
      <c r="H285" s="89"/>
      <c r="I285" s="89"/>
      <c r="J285" s="89"/>
      <c r="K285" s="89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</row>
    <row r="286" spans="1:26" ht="16.5" customHeight="1">
      <c r="A286" s="66"/>
      <c r="B286" s="66"/>
      <c r="C286" s="89"/>
      <c r="D286" s="89"/>
      <c r="E286" s="89"/>
      <c r="F286" s="89"/>
      <c r="G286" s="89"/>
      <c r="H286" s="89"/>
      <c r="I286" s="89"/>
      <c r="J286" s="89"/>
      <c r="K286" s="89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</row>
    <row r="287" spans="1:26" ht="16.5" customHeight="1">
      <c r="A287" s="66"/>
      <c r="B287" s="66"/>
      <c r="C287" s="89"/>
      <c r="D287" s="89"/>
      <c r="E287" s="89"/>
      <c r="F287" s="89"/>
      <c r="G287" s="89"/>
      <c r="H287" s="89"/>
      <c r="I287" s="89"/>
      <c r="J287" s="89"/>
      <c r="K287" s="89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</row>
    <row r="288" spans="1:26" ht="16.5" customHeight="1">
      <c r="A288" s="66"/>
      <c r="B288" s="66"/>
      <c r="C288" s="89"/>
      <c r="D288" s="89"/>
      <c r="E288" s="89"/>
      <c r="F288" s="89"/>
      <c r="G288" s="89"/>
      <c r="H288" s="89"/>
      <c r="I288" s="89"/>
      <c r="J288" s="89"/>
      <c r="K288" s="89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</row>
    <row r="289" spans="1:26" ht="16.5" customHeight="1">
      <c r="A289" s="66"/>
      <c r="B289" s="66"/>
      <c r="C289" s="89"/>
      <c r="D289" s="89"/>
      <c r="E289" s="89"/>
      <c r="F289" s="89"/>
      <c r="G289" s="89"/>
      <c r="H289" s="89"/>
      <c r="I289" s="89"/>
      <c r="J289" s="89"/>
      <c r="K289" s="89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</row>
    <row r="290" spans="1:26" ht="16.5" customHeight="1">
      <c r="A290" s="66"/>
      <c r="B290" s="66"/>
      <c r="C290" s="89"/>
      <c r="D290" s="89"/>
      <c r="E290" s="89"/>
      <c r="F290" s="89"/>
      <c r="G290" s="89"/>
      <c r="H290" s="89"/>
      <c r="I290" s="89"/>
      <c r="J290" s="89"/>
      <c r="K290" s="89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</row>
    <row r="291" spans="1:26" ht="16.5" customHeight="1">
      <c r="A291" s="66"/>
      <c r="B291" s="66"/>
      <c r="C291" s="89"/>
      <c r="D291" s="89"/>
      <c r="E291" s="89"/>
      <c r="F291" s="89"/>
      <c r="G291" s="89"/>
      <c r="H291" s="89"/>
      <c r="I291" s="89"/>
      <c r="J291" s="89"/>
      <c r="K291" s="89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</row>
    <row r="292" spans="1:26" ht="16.5" customHeight="1">
      <c r="A292" s="66"/>
      <c r="B292" s="66"/>
      <c r="C292" s="89"/>
      <c r="D292" s="89"/>
      <c r="E292" s="89"/>
      <c r="F292" s="89"/>
      <c r="G292" s="89"/>
      <c r="H292" s="89"/>
      <c r="I292" s="89"/>
      <c r="J292" s="89"/>
      <c r="K292" s="89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</row>
    <row r="293" spans="1:26" ht="16.5" customHeight="1">
      <c r="A293" s="66"/>
      <c r="B293" s="66"/>
      <c r="C293" s="89"/>
      <c r="D293" s="89"/>
      <c r="E293" s="89"/>
      <c r="F293" s="89"/>
      <c r="G293" s="89"/>
      <c r="H293" s="89"/>
      <c r="I293" s="89"/>
      <c r="J293" s="89"/>
      <c r="K293" s="89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</row>
    <row r="294" spans="1:26" ht="16.5" customHeight="1">
      <c r="A294" s="66"/>
      <c r="B294" s="66"/>
      <c r="C294" s="89"/>
      <c r="D294" s="89"/>
      <c r="E294" s="89"/>
      <c r="F294" s="89"/>
      <c r="G294" s="89"/>
      <c r="H294" s="89"/>
      <c r="I294" s="89"/>
      <c r="J294" s="89"/>
      <c r="K294" s="89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</row>
    <row r="295" spans="1:26" ht="16.5" customHeight="1">
      <c r="A295" s="66"/>
      <c r="B295" s="66"/>
      <c r="C295" s="89"/>
      <c r="D295" s="89"/>
      <c r="E295" s="89"/>
      <c r="F295" s="89"/>
      <c r="G295" s="89"/>
      <c r="H295" s="89"/>
      <c r="I295" s="89"/>
      <c r="J295" s="89"/>
      <c r="K295" s="89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</row>
    <row r="296" spans="1:26" ht="16.5" customHeight="1">
      <c r="A296" s="66"/>
      <c r="B296" s="66"/>
      <c r="C296" s="89"/>
      <c r="D296" s="89"/>
      <c r="E296" s="89"/>
      <c r="F296" s="89"/>
      <c r="G296" s="89"/>
      <c r="H296" s="89"/>
      <c r="I296" s="89"/>
      <c r="J296" s="89"/>
      <c r="K296" s="89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</row>
    <row r="297" spans="1:26" ht="16.5" customHeight="1">
      <c r="A297" s="66"/>
      <c r="B297" s="66"/>
      <c r="C297" s="89"/>
      <c r="D297" s="89"/>
      <c r="E297" s="89"/>
      <c r="F297" s="89"/>
      <c r="G297" s="89"/>
      <c r="H297" s="89"/>
      <c r="I297" s="89"/>
      <c r="J297" s="89"/>
      <c r="K297" s="89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</row>
    <row r="298" spans="1:26" ht="16.5" customHeight="1">
      <c r="A298" s="66"/>
      <c r="B298" s="66"/>
      <c r="C298" s="89"/>
      <c r="D298" s="89"/>
      <c r="E298" s="89"/>
      <c r="F298" s="89"/>
      <c r="G298" s="89"/>
      <c r="H298" s="89"/>
      <c r="I298" s="89"/>
      <c r="J298" s="89"/>
      <c r="K298" s="89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</row>
    <row r="299" spans="1:26" ht="16.5" customHeight="1">
      <c r="A299" s="66"/>
      <c r="B299" s="66"/>
      <c r="C299" s="89"/>
      <c r="D299" s="89"/>
      <c r="E299" s="89"/>
      <c r="F299" s="89"/>
      <c r="G299" s="89"/>
      <c r="H299" s="89"/>
      <c r="I299" s="89"/>
      <c r="J299" s="89"/>
      <c r="K299" s="89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</row>
    <row r="300" spans="1:26" ht="16.5" customHeight="1">
      <c r="A300" s="66"/>
      <c r="B300" s="66"/>
      <c r="C300" s="89"/>
      <c r="D300" s="89"/>
      <c r="E300" s="89"/>
      <c r="F300" s="89"/>
      <c r="G300" s="89"/>
      <c r="H300" s="89"/>
      <c r="I300" s="89"/>
      <c r="J300" s="89"/>
      <c r="K300" s="89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</row>
    <row r="301" spans="1:26" ht="16.5" customHeight="1">
      <c r="A301" s="66"/>
      <c r="B301" s="66"/>
      <c r="C301" s="89"/>
      <c r="D301" s="89"/>
      <c r="E301" s="89"/>
      <c r="F301" s="89"/>
      <c r="G301" s="89"/>
      <c r="H301" s="89"/>
      <c r="I301" s="89"/>
      <c r="J301" s="89"/>
      <c r="K301" s="89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</row>
    <row r="302" spans="1:26" ht="16.5" customHeight="1">
      <c r="A302" s="66"/>
      <c r="B302" s="66"/>
      <c r="C302" s="89"/>
      <c r="D302" s="89"/>
      <c r="E302" s="89"/>
      <c r="F302" s="89"/>
      <c r="G302" s="89"/>
      <c r="H302" s="89"/>
      <c r="I302" s="89"/>
      <c r="J302" s="89"/>
      <c r="K302" s="89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</row>
    <row r="303" spans="1:26" ht="16.5" customHeight="1">
      <c r="A303" s="66"/>
      <c r="B303" s="66"/>
      <c r="C303" s="89"/>
      <c r="D303" s="89"/>
      <c r="E303" s="89"/>
      <c r="F303" s="89"/>
      <c r="G303" s="89"/>
      <c r="H303" s="89"/>
      <c r="I303" s="89"/>
      <c r="J303" s="89"/>
      <c r="K303" s="89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</row>
    <row r="304" spans="1:26" ht="16.5" customHeight="1">
      <c r="A304" s="66"/>
      <c r="B304" s="66"/>
      <c r="C304" s="89"/>
      <c r="D304" s="89"/>
      <c r="E304" s="89"/>
      <c r="F304" s="89"/>
      <c r="G304" s="89"/>
      <c r="H304" s="89"/>
      <c r="I304" s="89"/>
      <c r="J304" s="89"/>
      <c r="K304" s="89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</row>
    <row r="305" spans="1:26" ht="16.5" customHeight="1">
      <c r="A305" s="66"/>
      <c r="B305" s="66"/>
      <c r="C305" s="89"/>
      <c r="D305" s="89"/>
      <c r="E305" s="89"/>
      <c r="F305" s="89"/>
      <c r="G305" s="89"/>
      <c r="H305" s="89"/>
      <c r="I305" s="89"/>
      <c r="J305" s="89"/>
      <c r="K305" s="89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</row>
    <row r="306" spans="1:26" ht="16.5" customHeight="1">
      <c r="A306" s="66"/>
      <c r="B306" s="66"/>
      <c r="C306" s="89"/>
      <c r="D306" s="89"/>
      <c r="E306" s="89"/>
      <c r="F306" s="89"/>
      <c r="G306" s="89"/>
      <c r="H306" s="89"/>
      <c r="I306" s="89"/>
      <c r="J306" s="89"/>
      <c r="K306" s="89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</row>
    <row r="307" spans="1:26" ht="16.5" customHeight="1">
      <c r="A307" s="66"/>
      <c r="B307" s="66"/>
      <c r="C307" s="89"/>
      <c r="D307" s="89"/>
      <c r="E307" s="89"/>
      <c r="F307" s="89"/>
      <c r="G307" s="89"/>
      <c r="H307" s="89"/>
      <c r="I307" s="89"/>
      <c r="J307" s="89"/>
      <c r="K307" s="89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</row>
    <row r="308" spans="1:26" ht="16.5" customHeight="1">
      <c r="A308" s="66"/>
      <c r="B308" s="66"/>
      <c r="C308" s="89"/>
      <c r="D308" s="89"/>
      <c r="E308" s="89"/>
      <c r="F308" s="89"/>
      <c r="G308" s="89"/>
      <c r="H308" s="89"/>
      <c r="I308" s="89"/>
      <c r="J308" s="89"/>
      <c r="K308" s="89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</row>
    <row r="309" spans="1:26" ht="16.5" customHeight="1">
      <c r="A309" s="66"/>
      <c r="B309" s="66"/>
      <c r="C309" s="89"/>
      <c r="D309" s="89"/>
      <c r="E309" s="89"/>
      <c r="F309" s="89"/>
      <c r="G309" s="89"/>
      <c r="H309" s="89"/>
      <c r="I309" s="89"/>
      <c r="J309" s="89"/>
      <c r="K309" s="89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</row>
    <row r="310" spans="1:26" ht="16.5" customHeight="1">
      <c r="A310" s="66"/>
      <c r="B310" s="66"/>
      <c r="C310" s="89"/>
      <c r="D310" s="89"/>
      <c r="E310" s="89"/>
      <c r="F310" s="89"/>
      <c r="G310" s="89"/>
      <c r="H310" s="89"/>
      <c r="I310" s="89"/>
      <c r="J310" s="89"/>
      <c r="K310" s="89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</row>
    <row r="311" spans="1:26" ht="16.5" customHeight="1">
      <c r="A311" s="66"/>
      <c r="B311" s="66"/>
      <c r="C311" s="89"/>
      <c r="D311" s="89"/>
      <c r="E311" s="89"/>
      <c r="F311" s="89"/>
      <c r="G311" s="89"/>
      <c r="H311" s="89"/>
      <c r="I311" s="89"/>
      <c r="J311" s="89"/>
      <c r="K311" s="89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</row>
    <row r="312" spans="1:26" ht="16.5" customHeight="1">
      <c r="A312" s="66"/>
      <c r="B312" s="66"/>
      <c r="C312" s="89"/>
      <c r="D312" s="89"/>
      <c r="E312" s="89"/>
      <c r="F312" s="89"/>
      <c r="G312" s="89"/>
      <c r="H312" s="89"/>
      <c r="I312" s="89"/>
      <c r="J312" s="89"/>
      <c r="K312" s="89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</row>
    <row r="313" spans="1:26" ht="16.5" customHeight="1">
      <c r="A313" s="66"/>
      <c r="B313" s="66"/>
      <c r="C313" s="89"/>
      <c r="D313" s="89"/>
      <c r="E313" s="89"/>
      <c r="F313" s="89"/>
      <c r="G313" s="89"/>
      <c r="H313" s="89"/>
      <c r="I313" s="89"/>
      <c r="J313" s="89"/>
      <c r="K313" s="89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</row>
    <row r="314" spans="1:26" ht="16.5" customHeight="1">
      <c r="A314" s="66"/>
      <c r="B314" s="66"/>
      <c r="C314" s="89"/>
      <c r="D314" s="89"/>
      <c r="E314" s="89"/>
      <c r="F314" s="89"/>
      <c r="G314" s="89"/>
      <c r="H314" s="89"/>
      <c r="I314" s="89"/>
      <c r="J314" s="89"/>
      <c r="K314" s="89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</row>
    <row r="315" spans="1:26" ht="16.5" customHeight="1">
      <c r="A315" s="66"/>
      <c r="B315" s="66"/>
      <c r="C315" s="89"/>
      <c r="D315" s="89"/>
      <c r="E315" s="89"/>
      <c r="F315" s="89"/>
      <c r="G315" s="89"/>
      <c r="H315" s="89"/>
      <c r="I315" s="89"/>
      <c r="J315" s="89"/>
      <c r="K315" s="89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</row>
    <row r="316" spans="1:26" ht="16.5" customHeight="1">
      <c r="A316" s="66"/>
      <c r="B316" s="66"/>
      <c r="C316" s="89"/>
      <c r="D316" s="89"/>
      <c r="E316" s="89"/>
      <c r="F316" s="89"/>
      <c r="G316" s="89"/>
      <c r="H316" s="89"/>
      <c r="I316" s="89"/>
      <c r="J316" s="89"/>
      <c r="K316" s="89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</row>
    <row r="317" spans="1:26" ht="16.5" customHeight="1">
      <c r="A317" s="66"/>
      <c r="B317" s="66"/>
      <c r="C317" s="89"/>
      <c r="D317" s="89"/>
      <c r="E317" s="89"/>
      <c r="F317" s="89"/>
      <c r="G317" s="89"/>
      <c r="H317" s="89"/>
      <c r="I317" s="89"/>
      <c r="J317" s="89"/>
      <c r="K317" s="89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</row>
    <row r="318" spans="1:26" ht="16.5" customHeight="1">
      <c r="A318" s="66"/>
      <c r="B318" s="66"/>
      <c r="C318" s="89"/>
      <c r="D318" s="89"/>
      <c r="E318" s="89"/>
      <c r="F318" s="89"/>
      <c r="G318" s="89"/>
      <c r="H318" s="89"/>
      <c r="I318" s="89"/>
      <c r="J318" s="89"/>
      <c r="K318" s="89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</row>
    <row r="319" spans="1:26" ht="16.5" customHeight="1">
      <c r="A319" s="66"/>
      <c r="B319" s="66"/>
      <c r="C319" s="89"/>
      <c r="D319" s="89"/>
      <c r="E319" s="89"/>
      <c r="F319" s="89"/>
      <c r="G319" s="89"/>
      <c r="H319" s="89"/>
      <c r="I319" s="89"/>
      <c r="J319" s="89"/>
      <c r="K319" s="89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</row>
    <row r="320" spans="1:26" ht="16.5" customHeight="1">
      <c r="A320" s="66"/>
      <c r="B320" s="66"/>
      <c r="C320" s="89"/>
      <c r="D320" s="89"/>
      <c r="E320" s="89"/>
      <c r="F320" s="89"/>
      <c r="G320" s="89"/>
      <c r="H320" s="89"/>
      <c r="I320" s="89"/>
      <c r="J320" s="89"/>
      <c r="K320" s="89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</row>
    <row r="321" spans="1:26" ht="16.5" customHeight="1">
      <c r="A321" s="66"/>
      <c r="B321" s="66"/>
      <c r="C321" s="89"/>
      <c r="D321" s="89"/>
      <c r="E321" s="89"/>
      <c r="F321" s="89"/>
      <c r="G321" s="89"/>
      <c r="H321" s="89"/>
      <c r="I321" s="89"/>
      <c r="J321" s="89"/>
      <c r="K321" s="89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</row>
    <row r="322" spans="1:26" ht="16.5" customHeight="1">
      <c r="A322" s="66"/>
      <c r="B322" s="66"/>
      <c r="C322" s="89"/>
      <c r="D322" s="89"/>
      <c r="E322" s="89"/>
      <c r="F322" s="89"/>
      <c r="G322" s="89"/>
      <c r="H322" s="89"/>
      <c r="I322" s="89"/>
      <c r="J322" s="89"/>
      <c r="K322" s="89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</row>
    <row r="323" spans="1:26" ht="16.5" customHeight="1">
      <c r="A323" s="66"/>
      <c r="B323" s="66"/>
      <c r="C323" s="89"/>
      <c r="D323" s="89"/>
      <c r="E323" s="89"/>
      <c r="F323" s="89"/>
      <c r="G323" s="89"/>
      <c r="H323" s="89"/>
      <c r="I323" s="89"/>
      <c r="J323" s="89"/>
      <c r="K323" s="89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</row>
    <row r="324" spans="1:26" ht="16.5" customHeight="1">
      <c r="A324" s="66"/>
      <c r="B324" s="66"/>
      <c r="C324" s="89"/>
      <c r="D324" s="89"/>
      <c r="E324" s="89"/>
      <c r="F324" s="89"/>
      <c r="G324" s="89"/>
      <c r="H324" s="89"/>
      <c r="I324" s="89"/>
      <c r="J324" s="89"/>
      <c r="K324" s="89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</row>
    <row r="325" spans="1:26" ht="16.5" customHeight="1">
      <c r="A325" s="66"/>
      <c r="B325" s="66"/>
      <c r="C325" s="89"/>
      <c r="D325" s="89"/>
      <c r="E325" s="89"/>
      <c r="F325" s="89"/>
      <c r="G325" s="89"/>
      <c r="H325" s="89"/>
      <c r="I325" s="89"/>
      <c r="J325" s="89"/>
      <c r="K325" s="89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</row>
    <row r="326" spans="1:26" ht="16.5" customHeight="1">
      <c r="A326" s="66"/>
      <c r="B326" s="66"/>
      <c r="C326" s="89"/>
      <c r="D326" s="89"/>
      <c r="E326" s="89"/>
      <c r="F326" s="89"/>
      <c r="G326" s="89"/>
      <c r="H326" s="89"/>
      <c r="I326" s="89"/>
      <c r="J326" s="89"/>
      <c r="K326" s="89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</row>
    <row r="327" spans="1:26" ht="16.5" customHeight="1">
      <c r="A327" s="66"/>
      <c r="B327" s="66"/>
      <c r="C327" s="89"/>
      <c r="D327" s="89"/>
      <c r="E327" s="89"/>
      <c r="F327" s="89"/>
      <c r="G327" s="89"/>
      <c r="H327" s="89"/>
      <c r="I327" s="89"/>
      <c r="J327" s="89"/>
      <c r="K327" s="89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</row>
    <row r="328" spans="1:26" ht="16.5" customHeight="1">
      <c r="A328" s="66"/>
      <c r="B328" s="66"/>
      <c r="C328" s="89"/>
      <c r="D328" s="89"/>
      <c r="E328" s="89"/>
      <c r="F328" s="89"/>
      <c r="G328" s="89"/>
      <c r="H328" s="89"/>
      <c r="I328" s="89"/>
      <c r="J328" s="89"/>
      <c r="K328" s="89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</row>
    <row r="329" spans="1:26" ht="16.5" customHeight="1">
      <c r="A329" s="66"/>
      <c r="B329" s="66"/>
      <c r="C329" s="89"/>
      <c r="D329" s="89"/>
      <c r="E329" s="89"/>
      <c r="F329" s="89"/>
      <c r="G329" s="89"/>
      <c r="H329" s="89"/>
      <c r="I329" s="89"/>
      <c r="J329" s="89"/>
      <c r="K329" s="89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</row>
    <row r="330" spans="1:26" ht="16.5" customHeight="1">
      <c r="A330" s="66"/>
      <c r="B330" s="66"/>
      <c r="C330" s="89"/>
      <c r="D330" s="89"/>
      <c r="E330" s="89"/>
      <c r="F330" s="89"/>
      <c r="G330" s="89"/>
      <c r="H330" s="89"/>
      <c r="I330" s="89"/>
      <c r="J330" s="89"/>
      <c r="K330" s="89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</row>
    <row r="331" spans="1:26" ht="16.5" customHeight="1">
      <c r="A331" s="66"/>
      <c r="B331" s="66"/>
      <c r="C331" s="89"/>
      <c r="D331" s="89"/>
      <c r="E331" s="89"/>
      <c r="F331" s="89"/>
      <c r="G331" s="89"/>
      <c r="H331" s="89"/>
      <c r="I331" s="89"/>
      <c r="J331" s="89"/>
      <c r="K331" s="89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</row>
    <row r="332" spans="1:26" ht="16.5" customHeight="1">
      <c r="A332" s="66"/>
      <c r="B332" s="66"/>
      <c r="C332" s="89"/>
      <c r="D332" s="89"/>
      <c r="E332" s="89"/>
      <c r="F332" s="89"/>
      <c r="G332" s="89"/>
      <c r="H332" s="89"/>
      <c r="I332" s="89"/>
      <c r="J332" s="89"/>
      <c r="K332" s="89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</row>
    <row r="333" spans="1:26" ht="16.5" customHeight="1">
      <c r="A333" s="66"/>
      <c r="B333" s="66"/>
      <c r="C333" s="89"/>
      <c r="D333" s="89"/>
      <c r="E333" s="89"/>
      <c r="F333" s="89"/>
      <c r="G333" s="89"/>
      <c r="H333" s="89"/>
      <c r="I333" s="89"/>
      <c r="J333" s="89"/>
      <c r="K333" s="89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</row>
    <row r="334" spans="1:26" ht="16.5" customHeight="1">
      <c r="A334" s="66"/>
      <c r="B334" s="66"/>
      <c r="C334" s="89"/>
      <c r="D334" s="89"/>
      <c r="E334" s="89"/>
      <c r="F334" s="89"/>
      <c r="G334" s="89"/>
      <c r="H334" s="89"/>
      <c r="I334" s="89"/>
      <c r="J334" s="89"/>
      <c r="K334" s="89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</row>
    <row r="335" spans="1:26" ht="16.5" customHeight="1">
      <c r="A335" s="66"/>
      <c r="B335" s="66"/>
      <c r="C335" s="89"/>
      <c r="D335" s="89"/>
      <c r="E335" s="89"/>
      <c r="F335" s="89"/>
      <c r="G335" s="89"/>
      <c r="H335" s="89"/>
      <c r="I335" s="89"/>
      <c r="J335" s="89"/>
      <c r="K335" s="89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</row>
    <row r="336" spans="1:26" ht="16.5" customHeight="1">
      <c r="A336" s="66"/>
      <c r="B336" s="66"/>
      <c r="C336" s="89"/>
      <c r="D336" s="89"/>
      <c r="E336" s="89"/>
      <c r="F336" s="89"/>
      <c r="G336" s="89"/>
      <c r="H336" s="89"/>
      <c r="I336" s="89"/>
      <c r="J336" s="89"/>
      <c r="K336" s="89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</row>
    <row r="337" spans="1:26" ht="16.5" customHeight="1">
      <c r="A337" s="66"/>
      <c r="B337" s="66"/>
      <c r="C337" s="89"/>
      <c r="D337" s="89"/>
      <c r="E337" s="89"/>
      <c r="F337" s="89"/>
      <c r="G337" s="89"/>
      <c r="H337" s="89"/>
      <c r="I337" s="89"/>
      <c r="J337" s="89"/>
      <c r="K337" s="89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</row>
    <row r="338" spans="1:26" ht="16.5" customHeight="1">
      <c r="A338" s="66"/>
      <c r="B338" s="66"/>
      <c r="C338" s="89"/>
      <c r="D338" s="89"/>
      <c r="E338" s="89"/>
      <c r="F338" s="89"/>
      <c r="G338" s="89"/>
      <c r="H338" s="89"/>
      <c r="I338" s="89"/>
      <c r="J338" s="89"/>
      <c r="K338" s="89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</row>
    <row r="339" spans="1:26" ht="16.5" customHeight="1">
      <c r="A339" s="66"/>
      <c r="B339" s="66"/>
      <c r="C339" s="89"/>
      <c r="D339" s="89"/>
      <c r="E339" s="89"/>
      <c r="F339" s="89"/>
      <c r="G339" s="89"/>
      <c r="H339" s="89"/>
      <c r="I339" s="89"/>
      <c r="J339" s="89"/>
      <c r="K339" s="89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</row>
    <row r="340" spans="1:26" ht="16.5" customHeight="1">
      <c r="A340" s="66"/>
      <c r="B340" s="66"/>
      <c r="C340" s="89"/>
      <c r="D340" s="89"/>
      <c r="E340" s="89"/>
      <c r="F340" s="89"/>
      <c r="G340" s="89"/>
      <c r="H340" s="89"/>
      <c r="I340" s="89"/>
      <c r="J340" s="89"/>
      <c r="K340" s="89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</row>
    <row r="341" spans="1:26" ht="16.5" customHeight="1">
      <c r="A341" s="66"/>
      <c r="B341" s="66"/>
      <c r="C341" s="89"/>
      <c r="D341" s="89"/>
      <c r="E341" s="89"/>
      <c r="F341" s="89"/>
      <c r="G341" s="89"/>
      <c r="H341" s="89"/>
      <c r="I341" s="89"/>
      <c r="J341" s="89"/>
      <c r="K341" s="89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</row>
    <row r="342" spans="1:26" ht="16.5" customHeight="1">
      <c r="A342" s="66"/>
      <c r="B342" s="66"/>
      <c r="C342" s="89"/>
      <c r="D342" s="89"/>
      <c r="E342" s="89"/>
      <c r="F342" s="89"/>
      <c r="G342" s="89"/>
      <c r="H342" s="89"/>
      <c r="I342" s="89"/>
      <c r="J342" s="89"/>
      <c r="K342" s="89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</row>
    <row r="343" spans="1:26" ht="16.5" customHeight="1">
      <c r="A343" s="66"/>
      <c r="B343" s="66"/>
      <c r="C343" s="89"/>
      <c r="D343" s="89"/>
      <c r="E343" s="89"/>
      <c r="F343" s="89"/>
      <c r="G343" s="89"/>
      <c r="H343" s="89"/>
      <c r="I343" s="89"/>
      <c r="J343" s="89"/>
      <c r="K343" s="89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</row>
    <row r="344" spans="1:26" ht="16.5" customHeight="1">
      <c r="A344" s="66"/>
      <c r="B344" s="66"/>
      <c r="C344" s="89"/>
      <c r="D344" s="89"/>
      <c r="E344" s="89"/>
      <c r="F344" s="89"/>
      <c r="G344" s="89"/>
      <c r="H344" s="89"/>
      <c r="I344" s="89"/>
      <c r="J344" s="89"/>
      <c r="K344" s="89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</row>
    <row r="345" spans="1:26" ht="16.5" customHeight="1">
      <c r="A345" s="66"/>
      <c r="B345" s="66"/>
      <c r="C345" s="89"/>
      <c r="D345" s="89"/>
      <c r="E345" s="89"/>
      <c r="F345" s="89"/>
      <c r="G345" s="89"/>
      <c r="H345" s="89"/>
      <c r="I345" s="89"/>
      <c r="J345" s="89"/>
      <c r="K345" s="89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</row>
    <row r="346" spans="1:26" ht="16.5" customHeight="1">
      <c r="A346" s="66"/>
      <c r="B346" s="66"/>
      <c r="C346" s="89"/>
      <c r="D346" s="89"/>
      <c r="E346" s="89"/>
      <c r="F346" s="89"/>
      <c r="G346" s="89"/>
      <c r="H346" s="89"/>
      <c r="I346" s="89"/>
      <c r="J346" s="89"/>
      <c r="K346" s="89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</row>
    <row r="347" spans="1:26" ht="16.5" customHeight="1">
      <c r="A347" s="66"/>
      <c r="B347" s="66"/>
      <c r="C347" s="89"/>
      <c r="D347" s="89"/>
      <c r="E347" s="89"/>
      <c r="F347" s="89"/>
      <c r="G347" s="89"/>
      <c r="H347" s="89"/>
      <c r="I347" s="89"/>
      <c r="J347" s="89"/>
      <c r="K347" s="89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</row>
    <row r="348" spans="1:26" ht="16.5" customHeight="1">
      <c r="A348" s="66"/>
      <c r="B348" s="66"/>
      <c r="C348" s="89"/>
      <c r="D348" s="89"/>
      <c r="E348" s="89"/>
      <c r="F348" s="89"/>
      <c r="G348" s="89"/>
      <c r="H348" s="89"/>
      <c r="I348" s="89"/>
      <c r="J348" s="89"/>
      <c r="K348" s="89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</row>
    <row r="349" spans="1:26" ht="16.5" customHeight="1">
      <c r="A349" s="66"/>
      <c r="B349" s="66"/>
      <c r="C349" s="89"/>
      <c r="D349" s="89"/>
      <c r="E349" s="89"/>
      <c r="F349" s="89"/>
      <c r="G349" s="89"/>
      <c r="H349" s="89"/>
      <c r="I349" s="89"/>
      <c r="J349" s="89"/>
      <c r="K349" s="89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</row>
    <row r="350" spans="1:26" ht="16.5" customHeight="1">
      <c r="A350" s="66"/>
      <c r="B350" s="66"/>
      <c r="C350" s="89"/>
      <c r="D350" s="89"/>
      <c r="E350" s="89"/>
      <c r="F350" s="89"/>
      <c r="G350" s="89"/>
      <c r="H350" s="89"/>
      <c r="I350" s="89"/>
      <c r="J350" s="89"/>
      <c r="K350" s="89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</row>
    <row r="351" spans="1:26" ht="16.5" customHeight="1">
      <c r="A351" s="66"/>
      <c r="B351" s="66"/>
      <c r="C351" s="89"/>
      <c r="D351" s="89"/>
      <c r="E351" s="89"/>
      <c r="F351" s="89"/>
      <c r="G351" s="89"/>
      <c r="H351" s="89"/>
      <c r="I351" s="89"/>
      <c r="J351" s="89"/>
      <c r="K351" s="89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</row>
    <row r="352" spans="1:26" ht="16.5" customHeight="1">
      <c r="A352" s="66"/>
      <c r="B352" s="66"/>
      <c r="C352" s="89"/>
      <c r="D352" s="89"/>
      <c r="E352" s="89"/>
      <c r="F352" s="89"/>
      <c r="G352" s="89"/>
      <c r="H352" s="89"/>
      <c r="I352" s="89"/>
      <c r="J352" s="89"/>
      <c r="K352" s="89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</row>
    <row r="353" spans="1:26" ht="16.5" customHeight="1">
      <c r="A353" s="66"/>
      <c r="B353" s="66"/>
      <c r="C353" s="89"/>
      <c r="D353" s="89"/>
      <c r="E353" s="89"/>
      <c r="F353" s="89"/>
      <c r="G353" s="89"/>
      <c r="H353" s="89"/>
      <c r="I353" s="89"/>
      <c r="J353" s="89"/>
      <c r="K353" s="89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</row>
    <row r="354" spans="1:26" ht="16.5" customHeight="1">
      <c r="A354" s="66"/>
      <c r="B354" s="66"/>
      <c r="C354" s="89"/>
      <c r="D354" s="89"/>
      <c r="E354" s="89"/>
      <c r="F354" s="89"/>
      <c r="G354" s="89"/>
      <c r="H354" s="89"/>
      <c r="I354" s="89"/>
      <c r="J354" s="89"/>
      <c r="K354" s="89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</row>
    <row r="355" spans="1:26" ht="16.5" customHeight="1">
      <c r="A355" s="66"/>
      <c r="B355" s="66"/>
      <c r="C355" s="89"/>
      <c r="D355" s="89"/>
      <c r="E355" s="89"/>
      <c r="F355" s="89"/>
      <c r="G355" s="89"/>
      <c r="H355" s="89"/>
      <c r="I355" s="89"/>
      <c r="J355" s="89"/>
      <c r="K355" s="89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</row>
    <row r="356" spans="1:26" ht="16.5" customHeight="1">
      <c r="A356" s="66"/>
      <c r="B356" s="66"/>
      <c r="C356" s="89"/>
      <c r="D356" s="89"/>
      <c r="E356" s="89"/>
      <c r="F356" s="89"/>
      <c r="G356" s="89"/>
      <c r="H356" s="89"/>
      <c r="I356" s="89"/>
      <c r="J356" s="89"/>
      <c r="K356" s="89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</row>
    <row r="357" spans="1:26" ht="16.5" customHeight="1">
      <c r="A357" s="66"/>
      <c r="B357" s="66"/>
      <c r="C357" s="89"/>
      <c r="D357" s="89"/>
      <c r="E357" s="89"/>
      <c r="F357" s="89"/>
      <c r="G357" s="89"/>
      <c r="H357" s="89"/>
      <c r="I357" s="89"/>
      <c r="J357" s="89"/>
      <c r="K357" s="89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</row>
    <row r="358" spans="1:26" ht="16.5" customHeight="1">
      <c r="A358" s="66"/>
      <c r="B358" s="66"/>
      <c r="C358" s="89"/>
      <c r="D358" s="89"/>
      <c r="E358" s="89"/>
      <c r="F358" s="89"/>
      <c r="G358" s="89"/>
      <c r="H358" s="89"/>
      <c r="I358" s="89"/>
      <c r="J358" s="89"/>
      <c r="K358" s="89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</row>
    <row r="359" spans="1:26" ht="16.5" customHeight="1">
      <c r="A359" s="66"/>
      <c r="B359" s="66"/>
      <c r="C359" s="89"/>
      <c r="D359" s="89"/>
      <c r="E359" s="89"/>
      <c r="F359" s="89"/>
      <c r="G359" s="89"/>
      <c r="H359" s="89"/>
      <c r="I359" s="89"/>
      <c r="J359" s="89"/>
      <c r="K359" s="89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</row>
    <row r="360" spans="1:26" ht="16.5" customHeight="1">
      <c r="A360" s="66"/>
      <c r="B360" s="66"/>
      <c r="C360" s="89"/>
      <c r="D360" s="89"/>
      <c r="E360" s="89"/>
      <c r="F360" s="89"/>
      <c r="G360" s="89"/>
      <c r="H360" s="89"/>
      <c r="I360" s="89"/>
      <c r="J360" s="89"/>
      <c r="K360" s="89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</row>
    <row r="361" spans="1:26" ht="16.5" customHeight="1">
      <c r="A361" s="66"/>
      <c r="B361" s="66"/>
      <c r="C361" s="89"/>
      <c r="D361" s="89"/>
      <c r="E361" s="89"/>
      <c r="F361" s="89"/>
      <c r="G361" s="89"/>
      <c r="H361" s="89"/>
      <c r="I361" s="89"/>
      <c r="J361" s="89"/>
      <c r="K361" s="89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</row>
    <row r="362" spans="1:26" ht="16.5" customHeight="1">
      <c r="A362" s="66"/>
      <c r="B362" s="66"/>
      <c r="C362" s="89"/>
      <c r="D362" s="89"/>
      <c r="E362" s="89"/>
      <c r="F362" s="89"/>
      <c r="G362" s="89"/>
      <c r="H362" s="89"/>
      <c r="I362" s="89"/>
      <c r="J362" s="89"/>
      <c r="K362" s="89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</row>
    <row r="363" spans="1:26" ht="16.5" customHeight="1">
      <c r="A363" s="66"/>
      <c r="B363" s="66"/>
      <c r="C363" s="89"/>
      <c r="D363" s="89"/>
      <c r="E363" s="89"/>
      <c r="F363" s="89"/>
      <c r="G363" s="89"/>
      <c r="H363" s="89"/>
      <c r="I363" s="89"/>
      <c r="J363" s="89"/>
      <c r="K363" s="89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</row>
    <row r="364" spans="1:26" ht="16.5" customHeight="1">
      <c r="A364" s="66"/>
      <c r="B364" s="66"/>
      <c r="C364" s="89"/>
      <c r="D364" s="89"/>
      <c r="E364" s="89"/>
      <c r="F364" s="89"/>
      <c r="G364" s="89"/>
      <c r="H364" s="89"/>
      <c r="I364" s="89"/>
      <c r="J364" s="89"/>
      <c r="K364" s="89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</row>
    <row r="365" spans="1:26" ht="16.5" customHeight="1">
      <c r="A365" s="66"/>
      <c r="B365" s="66"/>
      <c r="C365" s="89"/>
      <c r="D365" s="89"/>
      <c r="E365" s="89"/>
      <c r="F365" s="89"/>
      <c r="G365" s="89"/>
      <c r="H365" s="89"/>
      <c r="I365" s="89"/>
      <c r="J365" s="89"/>
      <c r="K365" s="89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</row>
    <row r="366" spans="1:26" ht="16.5" customHeight="1">
      <c r="A366" s="66"/>
      <c r="B366" s="66"/>
      <c r="C366" s="89"/>
      <c r="D366" s="89"/>
      <c r="E366" s="89"/>
      <c r="F366" s="89"/>
      <c r="G366" s="89"/>
      <c r="H366" s="89"/>
      <c r="I366" s="89"/>
      <c r="J366" s="89"/>
      <c r="K366" s="89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</row>
    <row r="367" spans="1:26" ht="16.5" customHeight="1">
      <c r="A367" s="66"/>
      <c r="B367" s="66"/>
      <c r="C367" s="89"/>
      <c r="D367" s="89"/>
      <c r="E367" s="89"/>
      <c r="F367" s="89"/>
      <c r="G367" s="89"/>
      <c r="H367" s="89"/>
      <c r="I367" s="89"/>
      <c r="J367" s="89"/>
      <c r="K367" s="89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</row>
    <row r="368" spans="1:26" ht="16.5" customHeight="1">
      <c r="A368" s="66"/>
      <c r="B368" s="66"/>
      <c r="C368" s="89"/>
      <c r="D368" s="89"/>
      <c r="E368" s="89"/>
      <c r="F368" s="89"/>
      <c r="G368" s="89"/>
      <c r="H368" s="89"/>
      <c r="I368" s="89"/>
      <c r="J368" s="89"/>
      <c r="K368" s="89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</row>
    <row r="369" spans="1:26" ht="16.5" customHeight="1">
      <c r="A369" s="66"/>
      <c r="B369" s="66"/>
      <c r="C369" s="89"/>
      <c r="D369" s="89"/>
      <c r="E369" s="89"/>
      <c r="F369" s="89"/>
      <c r="G369" s="89"/>
      <c r="H369" s="89"/>
      <c r="I369" s="89"/>
      <c r="J369" s="89"/>
      <c r="K369" s="89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</row>
    <row r="370" spans="1:26" ht="16.5" customHeight="1">
      <c r="A370" s="66"/>
      <c r="B370" s="66"/>
      <c r="C370" s="89"/>
      <c r="D370" s="89"/>
      <c r="E370" s="89"/>
      <c r="F370" s="89"/>
      <c r="G370" s="89"/>
      <c r="H370" s="89"/>
      <c r="I370" s="89"/>
      <c r="J370" s="89"/>
      <c r="K370" s="89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</row>
    <row r="371" spans="1:26" ht="16.5" customHeight="1">
      <c r="A371" s="66"/>
      <c r="B371" s="66"/>
      <c r="C371" s="89"/>
      <c r="D371" s="89"/>
      <c r="E371" s="89"/>
      <c r="F371" s="89"/>
      <c r="G371" s="89"/>
      <c r="H371" s="89"/>
      <c r="I371" s="89"/>
      <c r="J371" s="89"/>
      <c r="K371" s="89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</row>
    <row r="372" spans="1:26" ht="16.5" customHeight="1">
      <c r="A372" s="66"/>
      <c r="B372" s="66"/>
      <c r="C372" s="89"/>
      <c r="D372" s="89"/>
      <c r="E372" s="89"/>
      <c r="F372" s="89"/>
      <c r="G372" s="89"/>
      <c r="H372" s="89"/>
      <c r="I372" s="89"/>
      <c r="J372" s="89"/>
      <c r="K372" s="89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</row>
    <row r="373" spans="1:26" ht="16.5" customHeight="1">
      <c r="A373" s="66"/>
      <c r="B373" s="66"/>
      <c r="C373" s="89"/>
      <c r="D373" s="89"/>
      <c r="E373" s="89"/>
      <c r="F373" s="89"/>
      <c r="G373" s="89"/>
      <c r="H373" s="89"/>
      <c r="I373" s="89"/>
      <c r="J373" s="89"/>
      <c r="K373" s="89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</row>
    <row r="374" spans="1:26" ht="16.5" customHeight="1">
      <c r="A374" s="66"/>
      <c r="B374" s="66"/>
      <c r="C374" s="89"/>
      <c r="D374" s="89"/>
      <c r="E374" s="89"/>
      <c r="F374" s="89"/>
      <c r="G374" s="89"/>
      <c r="H374" s="89"/>
      <c r="I374" s="89"/>
      <c r="J374" s="89"/>
      <c r="K374" s="89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</row>
    <row r="375" spans="1:26" ht="16.5" customHeight="1">
      <c r="A375" s="66"/>
      <c r="B375" s="66"/>
      <c r="C375" s="89"/>
      <c r="D375" s="89"/>
      <c r="E375" s="89"/>
      <c r="F375" s="89"/>
      <c r="G375" s="89"/>
      <c r="H375" s="89"/>
      <c r="I375" s="89"/>
      <c r="J375" s="89"/>
      <c r="K375" s="89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</row>
    <row r="376" spans="1:26" ht="16.5" customHeight="1">
      <c r="A376" s="66"/>
      <c r="B376" s="66"/>
      <c r="C376" s="89"/>
      <c r="D376" s="89"/>
      <c r="E376" s="89"/>
      <c r="F376" s="89"/>
      <c r="G376" s="89"/>
      <c r="H376" s="89"/>
      <c r="I376" s="89"/>
      <c r="J376" s="89"/>
      <c r="K376" s="89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</row>
    <row r="377" spans="1:26" ht="16.5" customHeight="1">
      <c r="A377" s="66"/>
      <c r="B377" s="66"/>
      <c r="C377" s="89"/>
      <c r="D377" s="89"/>
      <c r="E377" s="89"/>
      <c r="F377" s="89"/>
      <c r="G377" s="89"/>
      <c r="H377" s="89"/>
      <c r="I377" s="89"/>
      <c r="J377" s="89"/>
      <c r="K377" s="89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</row>
    <row r="378" spans="1:26" ht="16.5" customHeight="1">
      <c r="A378" s="66"/>
      <c r="B378" s="66"/>
      <c r="C378" s="89"/>
      <c r="D378" s="89"/>
      <c r="E378" s="89"/>
      <c r="F378" s="89"/>
      <c r="G378" s="89"/>
      <c r="H378" s="89"/>
      <c r="I378" s="89"/>
      <c r="J378" s="89"/>
      <c r="K378" s="89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</row>
    <row r="379" spans="1:26" ht="16.5" customHeight="1">
      <c r="A379" s="66"/>
      <c r="B379" s="66"/>
      <c r="C379" s="89"/>
      <c r="D379" s="89"/>
      <c r="E379" s="89"/>
      <c r="F379" s="89"/>
      <c r="G379" s="89"/>
      <c r="H379" s="89"/>
      <c r="I379" s="89"/>
      <c r="J379" s="89"/>
      <c r="K379" s="89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</row>
    <row r="380" spans="1:26" ht="16.5" customHeight="1">
      <c r="A380" s="66"/>
      <c r="B380" s="66"/>
      <c r="C380" s="89"/>
      <c r="D380" s="89"/>
      <c r="E380" s="89"/>
      <c r="F380" s="89"/>
      <c r="G380" s="89"/>
      <c r="H380" s="89"/>
      <c r="I380" s="89"/>
      <c r="J380" s="89"/>
      <c r="K380" s="89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</row>
    <row r="381" spans="1:26" ht="16.5" customHeight="1">
      <c r="A381" s="66"/>
      <c r="B381" s="66"/>
      <c r="C381" s="89"/>
      <c r="D381" s="89"/>
      <c r="E381" s="89"/>
      <c r="F381" s="89"/>
      <c r="G381" s="89"/>
      <c r="H381" s="89"/>
      <c r="I381" s="89"/>
      <c r="J381" s="89"/>
      <c r="K381" s="89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</row>
    <row r="382" spans="1:26" ht="16.5" customHeight="1">
      <c r="A382" s="66"/>
      <c r="B382" s="66"/>
      <c r="C382" s="89"/>
      <c r="D382" s="89"/>
      <c r="E382" s="89"/>
      <c r="F382" s="89"/>
      <c r="G382" s="89"/>
      <c r="H382" s="89"/>
      <c r="I382" s="89"/>
      <c r="J382" s="89"/>
      <c r="K382" s="89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</row>
    <row r="383" spans="1:26" ht="16.5" customHeight="1">
      <c r="A383" s="66"/>
      <c r="B383" s="66"/>
      <c r="C383" s="89"/>
      <c r="D383" s="89"/>
      <c r="E383" s="89"/>
      <c r="F383" s="89"/>
      <c r="G383" s="89"/>
      <c r="H383" s="89"/>
      <c r="I383" s="89"/>
      <c r="J383" s="89"/>
      <c r="K383" s="89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</row>
    <row r="384" spans="1:26" ht="16.5" customHeight="1">
      <c r="A384" s="66"/>
      <c r="B384" s="66"/>
      <c r="C384" s="89"/>
      <c r="D384" s="89"/>
      <c r="E384" s="89"/>
      <c r="F384" s="89"/>
      <c r="G384" s="89"/>
      <c r="H384" s="89"/>
      <c r="I384" s="89"/>
      <c r="J384" s="89"/>
      <c r="K384" s="89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</row>
    <row r="385" spans="1:26" ht="16.5" customHeight="1">
      <c r="A385" s="66"/>
      <c r="B385" s="66"/>
      <c r="C385" s="89"/>
      <c r="D385" s="89"/>
      <c r="E385" s="89"/>
      <c r="F385" s="89"/>
      <c r="G385" s="89"/>
      <c r="H385" s="89"/>
      <c r="I385" s="89"/>
      <c r="J385" s="89"/>
      <c r="K385" s="89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</row>
    <row r="386" spans="1:26" ht="16.5" customHeight="1">
      <c r="A386" s="66"/>
      <c r="B386" s="66"/>
      <c r="C386" s="89"/>
      <c r="D386" s="89"/>
      <c r="E386" s="89"/>
      <c r="F386" s="89"/>
      <c r="G386" s="89"/>
      <c r="H386" s="89"/>
      <c r="I386" s="89"/>
      <c r="J386" s="89"/>
      <c r="K386" s="89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</row>
    <row r="387" spans="1:26" ht="16.5" customHeight="1">
      <c r="A387" s="66"/>
      <c r="B387" s="66"/>
      <c r="C387" s="89"/>
      <c r="D387" s="89"/>
      <c r="E387" s="89"/>
      <c r="F387" s="89"/>
      <c r="G387" s="89"/>
      <c r="H387" s="89"/>
      <c r="I387" s="89"/>
      <c r="J387" s="89"/>
      <c r="K387" s="89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</row>
    <row r="388" spans="1:26" ht="16.5" customHeight="1">
      <c r="A388" s="66"/>
      <c r="B388" s="66"/>
      <c r="C388" s="89"/>
      <c r="D388" s="89"/>
      <c r="E388" s="89"/>
      <c r="F388" s="89"/>
      <c r="G388" s="89"/>
      <c r="H388" s="89"/>
      <c r="I388" s="89"/>
      <c r="J388" s="89"/>
      <c r="K388" s="89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</row>
    <row r="389" spans="1:26" ht="16.5" customHeight="1">
      <c r="A389" s="66"/>
      <c r="B389" s="66"/>
      <c r="C389" s="89"/>
      <c r="D389" s="89"/>
      <c r="E389" s="89"/>
      <c r="F389" s="89"/>
      <c r="G389" s="89"/>
      <c r="H389" s="89"/>
      <c r="I389" s="89"/>
      <c r="J389" s="89"/>
      <c r="K389" s="89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</row>
    <row r="390" spans="1:26" ht="16.5" customHeight="1">
      <c r="A390" s="66"/>
      <c r="B390" s="66"/>
      <c r="C390" s="89"/>
      <c r="D390" s="89"/>
      <c r="E390" s="89"/>
      <c r="F390" s="89"/>
      <c r="G390" s="89"/>
      <c r="H390" s="89"/>
      <c r="I390" s="89"/>
      <c r="J390" s="89"/>
      <c r="K390" s="89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</row>
    <row r="391" spans="1:26" ht="16.5" customHeight="1">
      <c r="A391" s="66"/>
      <c r="B391" s="66"/>
      <c r="C391" s="89"/>
      <c r="D391" s="89"/>
      <c r="E391" s="89"/>
      <c r="F391" s="89"/>
      <c r="G391" s="89"/>
      <c r="H391" s="89"/>
      <c r="I391" s="89"/>
      <c r="J391" s="89"/>
      <c r="K391" s="89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</row>
    <row r="392" spans="1:26" ht="16.5" customHeight="1">
      <c r="A392" s="66"/>
      <c r="B392" s="66"/>
      <c r="C392" s="89"/>
      <c r="D392" s="89"/>
      <c r="E392" s="89"/>
      <c r="F392" s="89"/>
      <c r="G392" s="89"/>
      <c r="H392" s="89"/>
      <c r="I392" s="89"/>
      <c r="J392" s="89"/>
      <c r="K392" s="89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</row>
    <row r="393" spans="1:26" ht="16.5" customHeight="1">
      <c r="A393" s="66"/>
      <c r="B393" s="66"/>
      <c r="C393" s="89"/>
      <c r="D393" s="89"/>
      <c r="E393" s="89"/>
      <c r="F393" s="89"/>
      <c r="G393" s="89"/>
      <c r="H393" s="89"/>
      <c r="I393" s="89"/>
      <c r="J393" s="89"/>
      <c r="K393" s="89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</row>
    <row r="394" spans="1:26" ht="16.5" customHeight="1">
      <c r="A394" s="66"/>
      <c r="B394" s="66"/>
      <c r="C394" s="89"/>
      <c r="D394" s="89"/>
      <c r="E394" s="89"/>
      <c r="F394" s="89"/>
      <c r="G394" s="89"/>
      <c r="H394" s="89"/>
      <c r="I394" s="89"/>
      <c r="J394" s="89"/>
      <c r="K394" s="89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</row>
    <row r="395" spans="1:26" ht="16.5" customHeight="1">
      <c r="A395" s="66"/>
      <c r="B395" s="66"/>
      <c r="C395" s="89"/>
      <c r="D395" s="89"/>
      <c r="E395" s="89"/>
      <c r="F395" s="89"/>
      <c r="G395" s="89"/>
      <c r="H395" s="89"/>
      <c r="I395" s="89"/>
      <c r="J395" s="89"/>
      <c r="K395" s="89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</row>
    <row r="396" spans="1:26" ht="16.5" customHeight="1">
      <c r="A396" s="66"/>
      <c r="B396" s="66"/>
      <c r="C396" s="89"/>
      <c r="D396" s="89"/>
      <c r="E396" s="89"/>
      <c r="F396" s="89"/>
      <c r="G396" s="89"/>
      <c r="H396" s="89"/>
      <c r="I396" s="89"/>
      <c r="J396" s="89"/>
      <c r="K396" s="89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</row>
    <row r="397" spans="1:26" ht="16.5" customHeight="1">
      <c r="A397" s="66"/>
      <c r="B397" s="66"/>
      <c r="C397" s="89"/>
      <c r="D397" s="89"/>
      <c r="E397" s="89"/>
      <c r="F397" s="89"/>
      <c r="G397" s="89"/>
      <c r="H397" s="89"/>
      <c r="I397" s="89"/>
      <c r="J397" s="89"/>
      <c r="K397" s="89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</row>
    <row r="398" spans="1:26" ht="16.5" customHeight="1">
      <c r="A398" s="66"/>
      <c r="B398" s="66"/>
      <c r="C398" s="89"/>
      <c r="D398" s="89"/>
      <c r="E398" s="89"/>
      <c r="F398" s="89"/>
      <c r="G398" s="89"/>
      <c r="H398" s="89"/>
      <c r="I398" s="89"/>
      <c r="J398" s="89"/>
      <c r="K398" s="89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</row>
    <row r="399" spans="1:26" ht="16.5" customHeight="1">
      <c r="A399" s="66"/>
      <c r="B399" s="66"/>
      <c r="C399" s="89"/>
      <c r="D399" s="89"/>
      <c r="E399" s="89"/>
      <c r="F399" s="89"/>
      <c r="G399" s="89"/>
      <c r="H399" s="89"/>
      <c r="I399" s="89"/>
      <c r="J399" s="89"/>
      <c r="K399" s="89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</row>
    <row r="400" spans="1:26" ht="16.5" customHeight="1">
      <c r="A400" s="66"/>
      <c r="B400" s="66"/>
      <c r="C400" s="89"/>
      <c r="D400" s="89"/>
      <c r="E400" s="89"/>
      <c r="F400" s="89"/>
      <c r="G400" s="89"/>
      <c r="H400" s="89"/>
      <c r="I400" s="89"/>
      <c r="J400" s="89"/>
      <c r="K400" s="89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</row>
    <row r="401" spans="1:26" ht="16.5" customHeight="1">
      <c r="A401" s="66"/>
      <c r="B401" s="66"/>
      <c r="C401" s="89"/>
      <c r="D401" s="89"/>
      <c r="E401" s="89"/>
      <c r="F401" s="89"/>
      <c r="G401" s="89"/>
      <c r="H401" s="89"/>
      <c r="I401" s="89"/>
      <c r="J401" s="89"/>
      <c r="K401" s="89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</row>
    <row r="402" spans="1:26" ht="16.5" customHeight="1">
      <c r="A402" s="66"/>
      <c r="B402" s="66"/>
      <c r="C402" s="89"/>
      <c r="D402" s="89"/>
      <c r="E402" s="89"/>
      <c r="F402" s="89"/>
      <c r="G402" s="89"/>
      <c r="H402" s="89"/>
      <c r="I402" s="89"/>
      <c r="J402" s="89"/>
      <c r="K402" s="89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</row>
    <row r="403" spans="1:26" ht="16.5" customHeight="1">
      <c r="A403" s="66"/>
      <c r="B403" s="66"/>
      <c r="C403" s="89"/>
      <c r="D403" s="89"/>
      <c r="E403" s="89"/>
      <c r="F403" s="89"/>
      <c r="G403" s="89"/>
      <c r="H403" s="89"/>
      <c r="I403" s="89"/>
      <c r="J403" s="89"/>
      <c r="K403" s="89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</row>
    <row r="404" spans="1:26" ht="16.5" customHeight="1">
      <c r="A404" s="66"/>
      <c r="B404" s="66"/>
      <c r="C404" s="89"/>
      <c r="D404" s="89"/>
      <c r="E404" s="89"/>
      <c r="F404" s="89"/>
      <c r="G404" s="89"/>
      <c r="H404" s="89"/>
      <c r="I404" s="89"/>
      <c r="J404" s="89"/>
      <c r="K404" s="89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</row>
    <row r="405" spans="1:26" ht="16.5" customHeight="1">
      <c r="A405" s="66"/>
      <c r="B405" s="66"/>
      <c r="C405" s="89"/>
      <c r="D405" s="89"/>
      <c r="E405" s="89"/>
      <c r="F405" s="89"/>
      <c r="G405" s="89"/>
      <c r="H405" s="89"/>
      <c r="I405" s="89"/>
      <c r="J405" s="89"/>
      <c r="K405" s="89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</row>
    <row r="406" spans="1:26" ht="16.5" customHeight="1">
      <c r="A406" s="66"/>
      <c r="B406" s="66"/>
      <c r="C406" s="89"/>
      <c r="D406" s="89"/>
      <c r="E406" s="89"/>
      <c r="F406" s="89"/>
      <c r="G406" s="89"/>
      <c r="H406" s="89"/>
      <c r="I406" s="89"/>
      <c r="J406" s="89"/>
      <c r="K406" s="89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</row>
    <row r="407" spans="1:26" ht="16.5" customHeight="1">
      <c r="A407" s="66"/>
      <c r="B407" s="66"/>
      <c r="C407" s="89"/>
      <c r="D407" s="89"/>
      <c r="E407" s="89"/>
      <c r="F407" s="89"/>
      <c r="G407" s="89"/>
      <c r="H407" s="89"/>
      <c r="I407" s="89"/>
      <c r="J407" s="89"/>
      <c r="K407" s="89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</row>
    <row r="408" spans="1:26" ht="16.5" customHeight="1">
      <c r="A408" s="66"/>
      <c r="B408" s="66"/>
      <c r="C408" s="89"/>
      <c r="D408" s="89"/>
      <c r="E408" s="89"/>
      <c r="F408" s="89"/>
      <c r="G408" s="89"/>
      <c r="H408" s="89"/>
      <c r="I408" s="89"/>
      <c r="J408" s="89"/>
      <c r="K408" s="89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</row>
    <row r="409" spans="1:26" ht="16.5" customHeight="1">
      <c r="A409" s="66"/>
      <c r="B409" s="66"/>
      <c r="C409" s="89"/>
      <c r="D409" s="89"/>
      <c r="E409" s="89"/>
      <c r="F409" s="89"/>
      <c r="G409" s="89"/>
      <c r="H409" s="89"/>
      <c r="I409" s="89"/>
      <c r="J409" s="89"/>
      <c r="K409" s="89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</row>
    <row r="410" spans="1:26" ht="16.5" customHeight="1">
      <c r="A410" s="66"/>
      <c r="B410" s="66"/>
      <c r="C410" s="89"/>
      <c r="D410" s="89"/>
      <c r="E410" s="89"/>
      <c r="F410" s="89"/>
      <c r="G410" s="89"/>
      <c r="H410" s="89"/>
      <c r="I410" s="89"/>
      <c r="J410" s="89"/>
      <c r="K410" s="89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</row>
    <row r="411" spans="1:26" ht="16.5" customHeight="1">
      <c r="A411" s="66"/>
      <c r="B411" s="66"/>
      <c r="C411" s="89"/>
      <c r="D411" s="89"/>
      <c r="E411" s="89"/>
      <c r="F411" s="89"/>
      <c r="G411" s="89"/>
      <c r="H411" s="89"/>
      <c r="I411" s="89"/>
      <c r="J411" s="89"/>
      <c r="K411" s="89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</row>
    <row r="412" spans="1:26" ht="16.5" customHeight="1">
      <c r="A412" s="66"/>
      <c r="B412" s="66"/>
      <c r="C412" s="89"/>
      <c r="D412" s="89"/>
      <c r="E412" s="89"/>
      <c r="F412" s="89"/>
      <c r="G412" s="89"/>
      <c r="H412" s="89"/>
      <c r="I412" s="89"/>
      <c r="J412" s="89"/>
      <c r="K412" s="89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</row>
    <row r="413" spans="1:26" ht="16.5" customHeight="1">
      <c r="A413" s="66"/>
      <c r="B413" s="66"/>
      <c r="C413" s="89"/>
      <c r="D413" s="89"/>
      <c r="E413" s="89"/>
      <c r="F413" s="89"/>
      <c r="G413" s="89"/>
      <c r="H413" s="89"/>
      <c r="I413" s="89"/>
      <c r="J413" s="89"/>
      <c r="K413" s="89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</row>
    <row r="414" spans="1:26" ht="16.5" customHeight="1">
      <c r="A414" s="66"/>
      <c r="B414" s="66"/>
      <c r="C414" s="89"/>
      <c r="D414" s="89"/>
      <c r="E414" s="89"/>
      <c r="F414" s="89"/>
      <c r="G414" s="89"/>
      <c r="H414" s="89"/>
      <c r="I414" s="89"/>
      <c r="J414" s="89"/>
      <c r="K414" s="89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</row>
    <row r="415" spans="1:26" ht="16.5" customHeight="1">
      <c r="A415" s="66"/>
      <c r="B415" s="66"/>
      <c r="C415" s="89"/>
      <c r="D415" s="89"/>
      <c r="E415" s="89"/>
      <c r="F415" s="89"/>
      <c r="G415" s="89"/>
      <c r="H415" s="89"/>
      <c r="I415" s="89"/>
      <c r="J415" s="89"/>
      <c r="K415" s="89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</row>
    <row r="416" spans="1:26" ht="16.5" customHeight="1">
      <c r="A416" s="66"/>
      <c r="B416" s="66"/>
      <c r="C416" s="89"/>
      <c r="D416" s="89"/>
      <c r="E416" s="89"/>
      <c r="F416" s="89"/>
      <c r="G416" s="89"/>
      <c r="H416" s="89"/>
      <c r="I416" s="89"/>
      <c r="J416" s="89"/>
      <c r="K416" s="89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</row>
    <row r="417" spans="1:26" ht="16.5" customHeight="1">
      <c r="A417" s="66"/>
      <c r="B417" s="66"/>
      <c r="C417" s="89"/>
      <c r="D417" s="89"/>
      <c r="E417" s="89"/>
      <c r="F417" s="89"/>
      <c r="G417" s="89"/>
      <c r="H417" s="89"/>
      <c r="I417" s="89"/>
      <c r="J417" s="89"/>
      <c r="K417" s="89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</row>
    <row r="418" spans="1:26" ht="16.5" customHeight="1">
      <c r="A418" s="66"/>
      <c r="B418" s="66"/>
      <c r="C418" s="89"/>
      <c r="D418" s="89"/>
      <c r="E418" s="89"/>
      <c r="F418" s="89"/>
      <c r="G418" s="89"/>
      <c r="H418" s="89"/>
      <c r="I418" s="89"/>
      <c r="J418" s="89"/>
      <c r="K418" s="89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</row>
    <row r="419" spans="1:26" ht="16.5" customHeight="1">
      <c r="A419" s="66"/>
      <c r="B419" s="66"/>
      <c r="C419" s="89"/>
      <c r="D419" s="89"/>
      <c r="E419" s="89"/>
      <c r="F419" s="89"/>
      <c r="G419" s="89"/>
      <c r="H419" s="89"/>
      <c r="I419" s="89"/>
      <c r="J419" s="89"/>
      <c r="K419" s="89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</row>
    <row r="420" spans="1:26" ht="16.5" customHeight="1">
      <c r="A420" s="66"/>
      <c r="B420" s="66"/>
      <c r="C420" s="89"/>
      <c r="D420" s="89"/>
      <c r="E420" s="89"/>
      <c r="F420" s="89"/>
      <c r="G420" s="89"/>
      <c r="H420" s="89"/>
      <c r="I420" s="89"/>
      <c r="J420" s="89"/>
      <c r="K420" s="89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</row>
    <row r="421" spans="1:26" ht="16.5" customHeight="1">
      <c r="A421" s="66"/>
      <c r="B421" s="66"/>
      <c r="C421" s="89"/>
      <c r="D421" s="89"/>
      <c r="E421" s="89"/>
      <c r="F421" s="89"/>
      <c r="G421" s="89"/>
      <c r="H421" s="89"/>
      <c r="I421" s="89"/>
      <c r="J421" s="89"/>
      <c r="K421" s="89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</row>
    <row r="422" spans="1:26" ht="16.5" customHeight="1">
      <c r="A422" s="66"/>
      <c r="B422" s="66"/>
      <c r="C422" s="89"/>
      <c r="D422" s="89"/>
      <c r="E422" s="89"/>
      <c r="F422" s="89"/>
      <c r="G422" s="89"/>
      <c r="H422" s="89"/>
      <c r="I422" s="89"/>
      <c r="J422" s="89"/>
      <c r="K422" s="89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</row>
    <row r="423" spans="1:26" ht="16.5" customHeight="1">
      <c r="A423" s="66"/>
      <c r="B423" s="66"/>
      <c r="C423" s="89"/>
      <c r="D423" s="89"/>
      <c r="E423" s="89"/>
      <c r="F423" s="89"/>
      <c r="G423" s="89"/>
      <c r="H423" s="89"/>
      <c r="I423" s="89"/>
      <c r="J423" s="89"/>
      <c r="K423" s="89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</row>
    <row r="424" spans="1:26" ht="16.5" customHeight="1">
      <c r="A424" s="66"/>
      <c r="B424" s="66"/>
      <c r="C424" s="89"/>
      <c r="D424" s="89"/>
      <c r="E424" s="89"/>
      <c r="F424" s="89"/>
      <c r="G424" s="89"/>
      <c r="H424" s="89"/>
      <c r="I424" s="89"/>
      <c r="J424" s="89"/>
      <c r="K424" s="89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</row>
    <row r="425" spans="1:26" ht="16.5" customHeight="1">
      <c r="A425" s="66"/>
      <c r="B425" s="66"/>
      <c r="C425" s="89"/>
      <c r="D425" s="89"/>
      <c r="E425" s="89"/>
      <c r="F425" s="89"/>
      <c r="G425" s="89"/>
      <c r="H425" s="89"/>
      <c r="I425" s="89"/>
      <c r="J425" s="89"/>
      <c r="K425" s="89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</row>
    <row r="426" spans="1:26" ht="16.5" customHeight="1">
      <c r="A426" s="66"/>
      <c r="B426" s="66"/>
      <c r="C426" s="89"/>
      <c r="D426" s="89"/>
      <c r="E426" s="89"/>
      <c r="F426" s="89"/>
      <c r="G426" s="89"/>
      <c r="H426" s="89"/>
      <c r="I426" s="89"/>
      <c r="J426" s="89"/>
      <c r="K426" s="89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</row>
    <row r="427" spans="1:26" ht="16.5" customHeight="1">
      <c r="A427" s="66"/>
      <c r="B427" s="66"/>
      <c r="C427" s="89"/>
      <c r="D427" s="89"/>
      <c r="E427" s="89"/>
      <c r="F427" s="89"/>
      <c r="G427" s="89"/>
      <c r="H427" s="89"/>
      <c r="I427" s="89"/>
      <c r="J427" s="89"/>
      <c r="K427" s="89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</row>
    <row r="428" spans="1:26" ht="16.5" customHeight="1">
      <c r="A428" s="66"/>
      <c r="B428" s="66"/>
      <c r="C428" s="89"/>
      <c r="D428" s="89"/>
      <c r="E428" s="89"/>
      <c r="F428" s="89"/>
      <c r="G428" s="89"/>
      <c r="H428" s="89"/>
      <c r="I428" s="89"/>
      <c r="J428" s="89"/>
      <c r="K428" s="89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</row>
    <row r="429" spans="1:26" ht="16.5" customHeight="1">
      <c r="A429" s="66"/>
      <c r="B429" s="66"/>
      <c r="C429" s="89"/>
      <c r="D429" s="89"/>
      <c r="E429" s="89"/>
      <c r="F429" s="89"/>
      <c r="G429" s="89"/>
      <c r="H429" s="89"/>
      <c r="I429" s="89"/>
      <c r="J429" s="89"/>
      <c r="K429" s="89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</row>
    <row r="430" spans="1:26" ht="16.5" customHeight="1">
      <c r="A430" s="66"/>
      <c r="B430" s="66"/>
      <c r="C430" s="89"/>
      <c r="D430" s="89"/>
      <c r="E430" s="89"/>
      <c r="F430" s="89"/>
      <c r="G430" s="89"/>
      <c r="H430" s="89"/>
      <c r="I430" s="89"/>
      <c r="J430" s="89"/>
      <c r="K430" s="89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</row>
    <row r="431" spans="1:26" ht="16.5" customHeight="1">
      <c r="A431" s="66"/>
      <c r="B431" s="66"/>
      <c r="C431" s="89"/>
      <c r="D431" s="89"/>
      <c r="E431" s="89"/>
      <c r="F431" s="89"/>
      <c r="G431" s="89"/>
      <c r="H431" s="89"/>
      <c r="I431" s="89"/>
      <c r="J431" s="89"/>
      <c r="K431" s="89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</row>
    <row r="432" spans="1:26" ht="16.5" customHeight="1">
      <c r="A432" s="66"/>
      <c r="B432" s="66"/>
      <c r="C432" s="89"/>
      <c r="D432" s="89"/>
      <c r="E432" s="89"/>
      <c r="F432" s="89"/>
      <c r="G432" s="89"/>
      <c r="H432" s="89"/>
      <c r="I432" s="89"/>
      <c r="J432" s="89"/>
      <c r="K432" s="89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</row>
    <row r="433" spans="1:26" ht="16.5" customHeight="1">
      <c r="A433" s="66"/>
      <c r="B433" s="66"/>
      <c r="C433" s="89"/>
      <c r="D433" s="89"/>
      <c r="E433" s="89"/>
      <c r="F433" s="89"/>
      <c r="G433" s="89"/>
      <c r="H433" s="89"/>
      <c r="I433" s="89"/>
      <c r="J433" s="89"/>
      <c r="K433" s="89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</row>
    <row r="434" spans="1:26" ht="16.5" customHeight="1">
      <c r="A434" s="66"/>
      <c r="B434" s="66"/>
      <c r="C434" s="89"/>
      <c r="D434" s="89"/>
      <c r="E434" s="89"/>
      <c r="F434" s="89"/>
      <c r="G434" s="89"/>
      <c r="H434" s="89"/>
      <c r="I434" s="89"/>
      <c r="J434" s="89"/>
      <c r="K434" s="89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</row>
    <row r="435" spans="1:26" ht="16.5" customHeight="1">
      <c r="A435" s="66"/>
      <c r="B435" s="66"/>
      <c r="C435" s="89"/>
      <c r="D435" s="89"/>
      <c r="E435" s="89"/>
      <c r="F435" s="89"/>
      <c r="G435" s="89"/>
      <c r="H435" s="89"/>
      <c r="I435" s="89"/>
      <c r="J435" s="89"/>
      <c r="K435" s="89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</row>
    <row r="436" spans="1:26" ht="16.5" customHeight="1">
      <c r="A436" s="66"/>
      <c r="B436" s="66"/>
      <c r="C436" s="89"/>
      <c r="D436" s="89"/>
      <c r="E436" s="89"/>
      <c r="F436" s="89"/>
      <c r="G436" s="89"/>
      <c r="H436" s="89"/>
      <c r="I436" s="89"/>
      <c r="J436" s="89"/>
      <c r="K436" s="89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</row>
    <row r="437" spans="1:26" ht="16.5" customHeight="1">
      <c r="A437" s="66"/>
      <c r="B437" s="66"/>
      <c r="C437" s="89"/>
      <c r="D437" s="89"/>
      <c r="E437" s="89"/>
      <c r="F437" s="89"/>
      <c r="G437" s="89"/>
      <c r="H437" s="89"/>
      <c r="I437" s="89"/>
      <c r="J437" s="89"/>
      <c r="K437" s="89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</row>
    <row r="438" spans="1:26" ht="16.5" customHeight="1">
      <c r="A438" s="66"/>
      <c r="B438" s="66"/>
      <c r="C438" s="89"/>
      <c r="D438" s="89"/>
      <c r="E438" s="89"/>
      <c r="F438" s="89"/>
      <c r="G438" s="89"/>
      <c r="H438" s="89"/>
      <c r="I438" s="89"/>
      <c r="J438" s="89"/>
      <c r="K438" s="89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</row>
    <row r="439" spans="1:26" ht="16.5" customHeight="1">
      <c r="A439" s="66"/>
      <c r="B439" s="66"/>
      <c r="C439" s="89"/>
      <c r="D439" s="89"/>
      <c r="E439" s="89"/>
      <c r="F439" s="89"/>
      <c r="G439" s="89"/>
      <c r="H439" s="89"/>
      <c r="I439" s="89"/>
      <c r="J439" s="89"/>
      <c r="K439" s="89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</row>
    <row r="440" spans="1:26" ht="16.5" customHeight="1">
      <c r="A440" s="66"/>
      <c r="B440" s="66"/>
      <c r="C440" s="89"/>
      <c r="D440" s="89"/>
      <c r="E440" s="89"/>
      <c r="F440" s="89"/>
      <c r="G440" s="89"/>
      <c r="H440" s="89"/>
      <c r="I440" s="89"/>
      <c r="J440" s="89"/>
      <c r="K440" s="89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</row>
    <row r="441" spans="1:26" ht="16.5" customHeight="1">
      <c r="A441" s="66"/>
      <c r="B441" s="66"/>
      <c r="C441" s="89"/>
      <c r="D441" s="89"/>
      <c r="E441" s="89"/>
      <c r="F441" s="89"/>
      <c r="G441" s="89"/>
      <c r="H441" s="89"/>
      <c r="I441" s="89"/>
      <c r="J441" s="89"/>
      <c r="K441" s="89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</row>
    <row r="442" spans="1:26" ht="16.5" customHeight="1">
      <c r="A442" s="66"/>
      <c r="B442" s="66"/>
      <c r="C442" s="89"/>
      <c r="D442" s="89"/>
      <c r="E442" s="89"/>
      <c r="F442" s="89"/>
      <c r="G442" s="89"/>
      <c r="H442" s="89"/>
      <c r="I442" s="89"/>
      <c r="J442" s="89"/>
      <c r="K442" s="89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</row>
    <row r="443" spans="1:26" ht="16.5" customHeight="1">
      <c r="A443" s="66"/>
      <c r="B443" s="66"/>
      <c r="C443" s="89"/>
      <c r="D443" s="89"/>
      <c r="E443" s="89"/>
      <c r="F443" s="89"/>
      <c r="G443" s="89"/>
      <c r="H443" s="89"/>
      <c r="I443" s="89"/>
      <c r="J443" s="89"/>
      <c r="K443" s="89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</row>
    <row r="444" spans="1:26" ht="16.5" customHeight="1">
      <c r="A444" s="66"/>
      <c r="B444" s="66"/>
      <c r="C444" s="89"/>
      <c r="D444" s="89"/>
      <c r="E444" s="89"/>
      <c r="F444" s="89"/>
      <c r="G444" s="89"/>
      <c r="H444" s="89"/>
      <c r="I444" s="89"/>
      <c r="J444" s="89"/>
      <c r="K444" s="89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</row>
    <row r="445" spans="1:26" ht="16.5" customHeight="1">
      <c r="A445" s="66"/>
      <c r="B445" s="66"/>
      <c r="C445" s="89"/>
      <c r="D445" s="89"/>
      <c r="E445" s="89"/>
      <c r="F445" s="89"/>
      <c r="G445" s="89"/>
      <c r="H445" s="89"/>
      <c r="I445" s="89"/>
      <c r="J445" s="89"/>
      <c r="K445" s="89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</row>
    <row r="446" spans="1:26" ht="16.5" customHeight="1">
      <c r="A446" s="66"/>
      <c r="B446" s="66"/>
      <c r="C446" s="89"/>
      <c r="D446" s="89"/>
      <c r="E446" s="89"/>
      <c r="F446" s="89"/>
      <c r="G446" s="89"/>
      <c r="H446" s="89"/>
      <c r="I446" s="89"/>
      <c r="J446" s="89"/>
      <c r="K446" s="89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</row>
    <row r="447" spans="1:26" ht="16.5" customHeight="1">
      <c r="A447" s="66"/>
      <c r="B447" s="66"/>
      <c r="C447" s="89"/>
      <c r="D447" s="89"/>
      <c r="E447" s="89"/>
      <c r="F447" s="89"/>
      <c r="G447" s="89"/>
      <c r="H447" s="89"/>
      <c r="I447" s="89"/>
      <c r="J447" s="89"/>
      <c r="K447" s="89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</row>
    <row r="448" spans="1:26" ht="16.5" customHeight="1">
      <c r="A448" s="66"/>
      <c r="B448" s="66"/>
      <c r="C448" s="89"/>
      <c r="D448" s="89"/>
      <c r="E448" s="89"/>
      <c r="F448" s="89"/>
      <c r="G448" s="89"/>
      <c r="H448" s="89"/>
      <c r="I448" s="89"/>
      <c r="J448" s="89"/>
      <c r="K448" s="89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</row>
    <row r="449" spans="1:26" ht="16.5" customHeight="1">
      <c r="A449" s="66"/>
      <c r="B449" s="66"/>
      <c r="C449" s="89"/>
      <c r="D449" s="89"/>
      <c r="E449" s="89"/>
      <c r="F449" s="89"/>
      <c r="G449" s="89"/>
      <c r="H449" s="89"/>
      <c r="I449" s="89"/>
      <c r="J449" s="89"/>
      <c r="K449" s="89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</row>
    <row r="450" spans="1:26" ht="16.5" customHeight="1">
      <c r="A450" s="66"/>
      <c r="B450" s="66"/>
      <c r="C450" s="89"/>
      <c r="D450" s="89"/>
      <c r="E450" s="89"/>
      <c r="F450" s="89"/>
      <c r="G450" s="89"/>
      <c r="H450" s="89"/>
      <c r="I450" s="89"/>
      <c r="J450" s="89"/>
      <c r="K450" s="89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</row>
    <row r="451" spans="1:26" ht="16.5" customHeight="1">
      <c r="A451" s="66"/>
      <c r="B451" s="66"/>
      <c r="C451" s="89"/>
      <c r="D451" s="89"/>
      <c r="E451" s="89"/>
      <c r="F451" s="89"/>
      <c r="G451" s="89"/>
      <c r="H451" s="89"/>
      <c r="I451" s="89"/>
      <c r="J451" s="89"/>
      <c r="K451" s="89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</row>
    <row r="452" spans="1:26" ht="16.5" customHeight="1">
      <c r="A452" s="66"/>
      <c r="B452" s="66"/>
      <c r="C452" s="89"/>
      <c r="D452" s="89"/>
      <c r="E452" s="89"/>
      <c r="F452" s="89"/>
      <c r="G452" s="89"/>
      <c r="H452" s="89"/>
      <c r="I452" s="89"/>
      <c r="J452" s="89"/>
      <c r="K452" s="89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</row>
    <row r="453" spans="1:26" ht="16.5" customHeight="1">
      <c r="A453" s="66"/>
      <c r="B453" s="66"/>
      <c r="C453" s="89"/>
      <c r="D453" s="89"/>
      <c r="E453" s="89"/>
      <c r="F453" s="89"/>
      <c r="G453" s="89"/>
      <c r="H453" s="89"/>
      <c r="I453" s="89"/>
      <c r="J453" s="89"/>
      <c r="K453" s="89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</row>
    <row r="454" spans="1:26" ht="16.5" customHeight="1">
      <c r="A454" s="66"/>
      <c r="B454" s="66"/>
      <c r="C454" s="89"/>
      <c r="D454" s="89"/>
      <c r="E454" s="89"/>
      <c r="F454" s="89"/>
      <c r="G454" s="89"/>
      <c r="H454" s="89"/>
      <c r="I454" s="89"/>
      <c r="J454" s="89"/>
      <c r="K454" s="89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</row>
    <row r="455" spans="1:26" ht="16.5" customHeight="1">
      <c r="A455" s="66"/>
      <c r="B455" s="66"/>
      <c r="C455" s="89"/>
      <c r="D455" s="89"/>
      <c r="E455" s="89"/>
      <c r="F455" s="89"/>
      <c r="G455" s="89"/>
      <c r="H455" s="89"/>
      <c r="I455" s="89"/>
      <c r="J455" s="89"/>
      <c r="K455" s="89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</row>
    <row r="456" spans="1:26" ht="16.5" customHeight="1">
      <c r="A456" s="66"/>
      <c r="B456" s="66"/>
      <c r="C456" s="89"/>
      <c r="D456" s="89"/>
      <c r="E456" s="89"/>
      <c r="F456" s="89"/>
      <c r="G456" s="89"/>
      <c r="H456" s="89"/>
      <c r="I456" s="89"/>
      <c r="J456" s="89"/>
      <c r="K456" s="89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</row>
    <row r="457" spans="1:26" ht="16.5" customHeight="1">
      <c r="A457" s="66"/>
      <c r="B457" s="66"/>
      <c r="C457" s="89"/>
      <c r="D457" s="89"/>
      <c r="E457" s="89"/>
      <c r="F457" s="89"/>
      <c r="G457" s="89"/>
      <c r="H457" s="89"/>
      <c r="I457" s="89"/>
      <c r="J457" s="89"/>
      <c r="K457" s="89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</row>
    <row r="458" spans="1:26" ht="16.5" customHeight="1">
      <c r="A458" s="66"/>
      <c r="B458" s="66"/>
      <c r="C458" s="89"/>
      <c r="D458" s="89"/>
      <c r="E458" s="89"/>
      <c r="F458" s="89"/>
      <c r="G458" s="89"/>
      <c r="H458" s="89"/>
      <c r="I458" s="89"/>
      <c r="J458" s="89"/>
      <c r="K458" s="89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</row>
    <row r="459" spans="1:26" ht="16.5" customHeight="1">
      <c r="A459" s="66"/>
      <c r="B459" s="66"/>
      <c r="C459" s="89"/>
      <c r="D459" s="89"/>
      <c r="E459" s="89"/>
      <c r="F459" s="89"/>
      <c r="G459" s="89"/>
      <c r="H459" s="89"/>
      <c r="I459" s="89"/>
      <c r="J459" s="89"/>
      <c r="K459" s="89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</row>
    <row r="460" spans="1:26" ht="16.5" customHeight="1">
      <c r="A460" s="66"/>
      <c r="B460" s="66"/>
      <c r="C460" s="89"/>
      <c r="D460" s="89"/>
      <c r="E460" s="89"/>
      <c r="F460" s="89"/>
      <c r="G460" s="89"/>
      <c r="H460" s="89"/>
      <c r="I460" s="89"/>
      <c r="J460" s="89"/>
      <c r="K460" s="89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</row>
    <row r="461" spans="1:26" ht="16.5" customHeight="1">
      <c r="A461" s="66"/>
      <c r="B461" s="66"/>
      <c r="C461" s="89"/>
      <c r="D461" s="89"/>
      <c r="E461" s="89"/>
      <c r="F461" s="89"/>
      <c r="G461" s="89"/>
      <c r="H461" s="89"/>
      <c r="I461" s="89"/>
      <c r="J461" s="89"/>
      <c r="K461" s="89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</row>
    <row r="462" spans="1:26" ht="16.5" customHeight="1">
      <c r="A462" s="66"/>
      <c r="B462" s="66"/>
      <c r="C462" s="89"/>
      <c r="D462" s="89"/>
      <c r="E462" s="89"/>
      <c r="F462" s="89"/>
      <c r="G462" s="89"/>
      <c r="H462" s="89"/>
      <c r="I462" s="89"/>
      <c r="J462" s="89"/>
      <c r="K462" s="89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</row>
    <row r="463" spans="1:26" ht="16.5" customHeight="1">
      <c r="A463" s="66"/>
      <c r="B463" s="66"/>
      <c r="C463" s="89"/>
      <c r="D463" s="89"/>
      <c r="E463" s="89"/>
      <c r="F463" s="89"/>
      <c r="G463" s="89"/>
      <c r="H463" s="89"/>
      <c r="I463" s="89"/>
      <c r="J463" s="89"/>
      <c r="K463" s="89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</row>
    <row r="464" spans="1:26" ht="16.5" customHeight="1">
      <c r="A464" s="66"/>
      <c r="B464" s="66"/>
      <c r="C464" s="89"/>
      <c r="D464" s="89"/>
      <c r="E464" s="89"/>
      <c r="F464" s="89"/>
      <c r="G464" s="89"/>
      <c r="H464" s="89"/>
      <c r="I464" s="89"/>
      <c r="J464" s="89"/>
      <c r="K464" s="89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</row>
    <row r="465" spans="1:26" ht="16.5" customHeight="1">
      <c r="A465" s="66"/>
      <c r="B465" s="66"/>
      <c r="C465" s="89"/>
      <c r="D465" s="89"/>
      <c r="E465" s="89"/>
      <c r="F465" s="89"/>
      <c r="G465" s="89"/>
      <c r="H465" s="89"/>
      <c r="I465" s="89"/>
      <c r="J465" s="89"/>
      <c r="K465" s="89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</row>
    <row r="466" spans="1:26" ht="16.5" customHeight="1">
      <c r="A466" s="66"/>
      <c r="B466" s="66"/>
      <c r="C466" s="89"/>
      <c r="D466" s="89"/>
      <c r="E466" s="89"/>
      <c r="F466" s="89"/>
      <c r="G466" s="89"/>
      <c r="H466" s="89"/>
      <c r="I466" s="89"/>
      <c r="J466" s="89"/>
      <c r="K466" s="89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</row>
    <row r="467" spans="1:26" ht="16.5" customHeight="1">
      <c r="A467" s="66"/>
      <c r="B467" s="66"/>
      <c r="C467" s="89"/>
      <c r="D467" s="89"/>
      <c r="E467" s="89"/>
      <c r="F467" s="89"/>
      <c r="G467" s="89"/>
      <c r="H467" s="89"/>
      <c r="I467" s="89"/>
      <c r="J467" s="89"/>
      <c r="K467" s="89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</row>
    <row r="468" spans="1:26" ht="16.5" customHeight="1">
      <c r="A468" s="66"/>
      <c r="B468" s="66"/>
      <c r="C468" s="89"/>
      <c r="D468" s="89"/>
      <c r="E468" s="89"/>
      <c r="F468" s="89"/>
      <c r="G468" s="89"/>
      <c r="H468" s="89"/>
      <c r="I468" s="89"/>
      <c r="J468" s="89"/>
      <c r="K468" s="89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</row>
    <row r="469" spans="1:26" ht="16.5" customHeight="1">
      <c r="A469" s="66"/>
      <c r="B469" s="66"/>
      <c r="C469" s="89"/>
      <c r="D469" s="89"/>
      <c r="E469" s="89"/>
      <c r="F469" s="89"/>
      <c r="G469" s="89"/>
      <c r="H469" s="89"/>
      <c r="I469" s="89"/>
      <c r="J469" s="89"/>
      <c r="K469" s="89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</row>
    <row r="470" spans="1:26" ht="16.5" customHeight="1">
      <c r="A470" s="66"/>
      <c r="B470" s="66"/>
      <c r="C470" s="89"/>
      <c r="D470" s="89"/>
      <c r="E470" s="89"/>
      <c r="F470" s="89"/>
      <c r="G470" s="89"/>
      <c r="H470" s="89"/>
      <c r="I470" s="89"/>
      <c r="J470" s="89"/>
      <c r="K470" s="89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</row>
    <row r="471" spans="1:26" ht="16.5" customHeight="1">
      <c r="A471" s="66"/>
      <c r="B471" s="66"/>
      <c r="C471" s="89"/>
      <c r="D471" s="89"/>
      <c r="E471" s="89"/>
      <c r="F471" s="89"/>
      <c r="G471" s="89"/>
      <c r="H471" s="89"/>
      <c r="I471" s="89"/>
      <c r="J471" s="89"/>
      <c r="K471" s="89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</row>
    <row r="472" spans="1:26" ht="16.5" customHeight="1">
      <c r="A472" s="66"/>
      <c r="B472" s="66"/>
      <c r="C472" s="89"/>
      <c r="D472" s="89"/>
      <c r="E472" s="89"/>
      <c r="F472" s="89"/>
      <c r="G472" s="89"/>
      <c r="H472" s="89"/>
      <c r="I472" s="89"/>
      <c r="J472" s="89"/>
      <c r="K472" s="89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</row>
    <row r="473" spans="1:26" ht="16.5" customHeight="1">
      <c r="A473" s="66"/>
      <c r="B473" s="66"/>
      <c r="C473" s="89"/>
      <c r="D473" s="89"/>
      <c r="E473" s="89"/>
      <c r="F473" s="89"/>
      <c r="G473" s="89"/>
      <c r="H473" s="89"/>
      <c r="I473" s="89"/>
      <c r="J473" s="89"/>
      <c r="K473" s="89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</row>
    <row r="474" spans="1:26" ht="16.5" customHeight="1">
      <c r="A474" s="66"/>
      <c r="B474" s="66"/>
      <c r="C474" s="89"/>
      <c r="D474" s="89"/>
      <c r="E474" s="89"/>
      <c r="F474" s="89"/>
      <c r="G474" s="89"/>
      <c r="H474" s="89"/>
      <c r="I474" s="89"/>
      <c r="J474" s="89"/>
      <c r="K474" s="89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</row>
    <row r="475" spans="1:26" ht="16.5" customHeight="1">
      <c r="A475" s="66"/>
      <c r="B475" s="66"/>
      <c r="C475" s="89"/>
      <c r="D475" s="89"/>
      <c r="E475" s="89"/>
      <c r="F475" s="89"/>
      <c r="G475" s="89"/>
      <c r="H475" s="89"/>
      <c r="I475" s="89"/>
      <c r="J475" s="89"/>
      <c r="K475" s="89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</row>
    <row r="476" spans="1:26" ht="16.5" customHeight="1">
      <c r="A476" s="66"/>
      <c r="B476" s="66"/>
      <c r="C476" s="89"/>
      <c r="D476" s="89"/>
      <c r="E476" s="89"/>
      <c r="F476" s="89"/>
      <c r="G476" s="89"/>
      <c r="H476" s="89"/>
      <c r="I476" s="89"/>
      <c r="J476" s="89"/>
      <c r="K476" s="89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</row>
    <row r="477" spans="1:26" ht="16.5" customHeight="1">
      <c r="A477" s="66"/>
      <c r="B477" s="66"/>
      <c r="C477" s="89"/>
      <c r="D477" s="89"/>
      <c r="E477" s="89"/>
      <c r="F477" s="89"/>
      <c r="G477" s="89"/>
      <c r="H477" s="89"/>
      <c r="I477" s="89"/>
      <c r="J477" s="89"/>
      <c r="K477" s="89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</row>
    <row r="478" spans="1:26" ht="16.5" customHeight="1">
      <c r="A478" s="66"/>
      <c r="B478" s="66"/>
      <c r="C478" s="89"/>
      <c r="D478" s="89"/>
      <c r="E478" s="89"/>
      <c r="F478" s="89"/>
      <c r="G478" s="89"/>
      <c r="H478" s="89"/>
      <c r="I478" s="89"/>
      <c r="J478" s="89"/>
      <c r="K478" s="89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</row>
    <row r="479" spans="1:26" ht="16.5" customHeight="1">
      <c r="A479" s="66"/>
      <c r="B479" s="66"/>
      <c r="C479" s="89"/>
      <c r="D479" s="89"/>
      <c r="E479" s="89"/>
      <c r="F479" s="89"/>
      <c r="G479" s="89"/>
      <c r="H479" s="89"/>
      <c r="I479" s="89"/>
      <c r="J479" s="89"/>
      <c r="K479" s="89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</row>
    <row r="480" spans="1:26" ht="16.5" customHeight="1">
      <c r="A480" s="66"/>
      <c r="B480" s="66"/>
      <c r="C480" s="89"/>
      <c r="D480" s="89"/>
      <c r="E480" s="89"/>
      <c r="F480" s="89"/>
      <c r="G480" s="89"/>
      <c r="H480" s="89"/>
      <c r="I480" s="89"/>
      <c r="J480" s="89"/>
      <c r="K480" s="89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</row>
    <row r="481" spans="1:26" ht="16.5" customHeight="1">
      <c r="A481" s="66"/>
      <c r="B481" s="66"/>
      <c r="C481" s="89"/>
      <c r="D481" s="89"/>
      <c r="E481" s="89"/>
      <c r="F481" s="89"/>
      <c r="G481" s="89"/>
      <c r="H481" s="89"/>
      <c r="I481" s="89"/>
      <c r="J481" s="89"/>
      <c r="K481" s="89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</row>
    <row r="482" spans="1:26" ht="16.5" customHeight="1">
      <c r="A482" s="66"/>
      <c r="B482" s="66"/>
      <c r="C482" s="89"/>
      <c r="D482" s="89"/>
      <c r="E482" s="89"/>
      <c r="F482" s="89"/>
      <c r="G482" s="89"/>
      <c r="H482" s="89"/>
      <c r="I482" s="89"/>
      <c r="J482" s="89"/>
      <c r="K482" s="89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</row>
    <row r="483" spans="1:26" ht="16.5" customHeight="1">
      <c r="A483" s="66"/>
      <c r="B483" s="66"/>
      <c r="C483" s="89"/>
      <c r="D483" s="89"/>
      <c r="E483" s="89"/>
      <c r="F483" s="89"/>
      <c r="G483" s="89"/>
      <c r="H483" s="89"/>
      <c r="I483" s="89"/>
      <c r="J483" s="89"/>
      <c r="K483" s="89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</row>
    <row r="484" spans="1:26" ht="16.5" customHeight="1">
      <c r="A484" s="66"/>
      <c r="B484" s="66"/>
      <c r="C484" s="89"/>
      <c r="D484" s="89"/>
      <c r="E484" s="89"/>
      <c r="F484" s="89"/>
      <c r="G484" s="89"/>
      <c r="H484" s="89"/>
      <c r="I484" s="89"/>
      <c r="J484" s="89"/>
      <c r="K484" s="89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</row>
    <row r="485" spans="1:26" ht="16.5" customHeight="1">
      <c r="A485" s="66"/>
      <c r="B485" s="66"/>
      <c r="C485" s="89"/>
      <c r="D485" s="89"/>
      <c r="E485" s="89"/>
      <c r="F485" s="89"/>
      <c r="G485" s="89"/>
      <c r="H485" s="89"/>
      <c r="I485" s="89"/>
      <c r="J485" s="89"/>
      <c r="K485" s="89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</row>
    <row r="486" spans="1:26" ht="16.5" customHeight="1">
      <c r="A486" s="66"/>
      <c r="B486" s="66"/>
      <c r="C486" s="89"/>
      <c r="D486" s="89"/>
      <c r="E486" s="89"/>
      <c r="F486" s="89"/>
      <c r="G486" s="89"/>
      <c r="H486" s="89"/>
      <c r="I486" s="89"/>
      <c r="J486" s="89"/>
      <c r="K486" s="89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</row>
    <row r="487" spans="1:26" ht="16.5" customHeight="1">
      <c r="A487" s="66"/>
      <c r="B487" s="66"/>
      <c r="C487" s="89"/>
      <c r="D487" s="89"/>
      <c r="E487" s="89"/>
      <c r="F487" s="89"/>
      <c r="G487" s="89"/>
      <c r="H487" s="89"/>
      <c r="I487" s="89"/>
      <c r="J487" s="89"/>
      <c r="K487" s="89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</row>
    <row r="488" spans="1:26" ht="16.5" customHeight="1">
      <c r="A488" s="66"/>
      <c r="B488" s="66"/>
      <c r="C488" s="89"/>
      <c r="D488" s="89"/>
      <c r="E488" s="89"/>
      <c r="F488" s="89"/>
      <c r="G488" s="89"/>
      <c r="H488" s="89"/>
      <c r="I488" s="89"/>
      <c r="J488" s="89"/>
      <c r="K488" s="89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</row>
    <row r="489" spans="1:26" ht="16.5" customHeight="1">
      <c r="A489" s="66"/>
      <c r="B489" s="66"/>
      <c r="C489" s="89"/>
      <c r="D489" s="89"/>
      <c r="E489" s="89"/>
      <c r="F489" s="89"/>
      <c r="G489" s="89"/>
      <c r="H489" s="89"/>
      <c r="I489" s="89"/>
      <c r="J489" s="89"/>
      <c r="K489" s="89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</row>
    <row r="490" spans="1:26" ht="16.5" customHeight="1">
      <c r="A490" s="66"/>
      <c r="B490" s="66"/>
      <c r="C490" s="89"/>
      <c r="D490" s="89"/>
      <c r="E490" s="89"/>
      <c r="F490" s="89"/>
      <c r="G490" s="89"/>
      <c r="H490" s="89"/>
      <c r="I490" s="89"/>
      <c r="J490" s="89"/>
      <c r="K490" s="89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</row>
    <row r="491" spans="1:26" ht="16.5" customHeight="1">
      <c r="A491" s="66"/>
      <c r="B491" s="66"/>
      <c r="C491" s="89"/>
      <c r="D491" s="89"/>
      <c r="E491" s="89"/>
      <c r="F491" s="89"/>
      <c r="G491" s="89"/>
      <c r="H491" s="89"/>
      <c r="I491" s="89"/>
      <c r="J491" s="89"/>
      <c r="K491" s="89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</row>
    <row r="492" spans="1:26" ht="16.5" customHeight="1">
      <c r="A492" s="66"/>
      <c r="B492" s="66"/>
      <c r="C492" s="89"/>
      <c r="D492" s="89"/>
      <c r="E492" s="89"/>
      <c r="F492" s="89"/>
      <c r="G492" s="89"/>
      <c r="H492" s="89"/>
      <c r="I492" s="89"/>
      <c r="J492" s="89"/>
      <c r="K492" s="89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</row>
    <row r="493" spans="1:26" ht="16.5" customHeight="1">
      <c r="A493" s="66"/>
      <c r="B493" s="66"/>
      <c r="C493" s="89"/>
      <c r="D493" s="89"/>
      <c r="E493" s="89"/>
      <c r="F493" s="89"/>
      <c r="G493" s="89"/>
      <c r="H493" s="89"/>
      <c r="I493" s="89"/>
      <c r="J493" s="89"/>
      <c r="K493" s="89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</row>
    <row r="494" spans="1:26" ht="16.5" customHeight="1">
      <c r="A494" s="66"/>
      <c r="B494" s="66"/>
      <c r="C494" s="89"/>
      <c r="D494" s="89"/>
      <c r="E494" s="89"/>
      <c r="F494" s="89"/>
      <c r="G494" s="89"/>
      <c r="H494" s="89"/>
      <c r="I494" s="89"/>
      <c r="J494" s="89"/>
      <c r="K494" s="89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</row>
    <row r="495" spans="1:26" ht="16.5" customHeight="1">
      <c r="A495" s="66"/>
      <c r="B495" s="66"/>
      <c r="C495" s="89"/>
      <c r="D495" s="89"/>
      <c r="E495" s="89"/>
      <c r="F495" s="89"/>
      <c r="G495" s="89"/>
      <c r="H495" s="89"/>
      <c r="I495" s="89"/>
      <c r="J495" s="89"/>
      <c r="K495" s="89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</row>
    <row r="496" spans="1:26" ht="16.5" customHeight="1">
      <c r="A496" s="66"/>
      <c r="B496" s="66"/>
      <c r="C496" s="89"/>
      <c r="D496" s="89"/>
      <c r="E496" s="89"/>
      <c r="F496" s="89"/>
      <c r="G496" s="89"/>
      <c r="H496" s="89"/>
      <c r="I496" s="89"/>
      <c r="J496" s="89"/>
      <c r="K496" s="89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</row>
    <row r="497" spans="1:26" ht="16.5" customHeight="1">
      <c r="A497" s="66"/>
      <c r="B497" s="66"/>
      <c r="C497" s="89"/>
      <c r="D497" s="89"/>
      <c r="E497" s="89"/>
      <c r="F497" s="89"/>
      <c r="G497" s="89"/>
      <c r="H497" s="89"/>
      <c r="I497" s="89"/>
      <c r="J497" s="89"/>
      <c r="K497" s="89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</row>
    <row r="498" spans="1:26" ht="16.5" customHeight="1">
      <c r="A498" s="66"/>
      <c r="B498" s="66"/>
      <c r="C498" s="89"/>
      <c r="D498" s="89"/>
      <c r="E498" s="89"/>
      <c r="F498" s="89"/>
      <c r="G498" s="89"/>
      <c r="H498" s="89"/>
      <c r="I498" s="89"/>
      <c r="J498" s="89"/>
      <c r="K498" s="89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</row>
    <row r="499" spans="1:26" ht="16.5" customHeight="1">
      <c r="A499" s="66"/>
      <c r="B499" s="66"/>
      <c r="C499" s="89"/>
      <c r="D499" s="89"/>
      <c r="E499" s="89"/>
      <c r="F499" s="89"/>
      <c r="G499" s="89"/>
      <c r="H499" s="89"/>
      <c r="I499" s="89"/>
      <c r="J499" s="89"/>
      <c r="K499" s="89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</row>
    <row r="500" spans="1:26" ht="16.5" customHeight="1">
      <c r="A500" s="66"/>
      <c r="B500" s="66"/>
      <c r="C500" s="89"/>
      <c r="D500" s="89"/>
      <c r="E500" s="89"/>
      <c r="F500" s="89"/>
      <c r="G500" s="89"/>
      <c r="H500" s="89"/>
      <c r="I500" s="89"/>
      <c r="J500" s="89"/>
      <c r="K500" s="89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</row>
    <row r="501" spans="1:26" ht="16.5" customHeight="1">
      <c r="A501" s="66"/>
      <c r="B501" s="66"/>
      <c r="C501" s="89"/>
      <c r="D501" s="89"/>
      <c r="E501" s="89"/>
      <c r="F501" s="89"/>
      <c r="G501" s="89"/>
      <c r="H501" s="89"/>
      <c r="I501" s="89"/>
      <c r="J501" s="89"/>
      <c r="K501" s="89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</row>
    <row r="502" spans="1:26" ht="16.5" customHeight="1">
      <c r="A502" s="66"/>
      <c r="B502" s="66"/>
      <c r="C502" s="89"/>
      <c r="D502" s="89"/>
      <c r="E502" s="89"/>
      <c r="F502" s="89"/>
      <c r="G502" s="89"/>
      <c r="H502" s="89"/>
      <c r="I502" s="89"/>
      <c r="J502" s="89"/>
      <c r="K502" s="89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</row>
    <row r="503" spans="1:26" ht="16.5" customHeight="1">
      <c r="A503" s="66"/>
      <c r="B503" s="66"/>
      <c r="C503" s="89"/>
      <c r="D503" s="89"/>
      <c r="E503" s="89"/>
      <c r="F503" s="89"/>
      <c r="G503" s="89"/>
      <c r="H503" s="89"/>
      <c r="I503" s="89"/>
      <c r="J503" s="89"/>
      <c r="K503" s="89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</row>
    <row r="504" spans="1:26" ht="16.5" customHeight="1">
      <c r="A504" s="66"/>
      <c r="B504" s="66"/>
      <c r="C504" s="89"/>
      <c r="D504" s="89"/>
      <c r="E504" s="89"/>
      <c r="F504" s="89"/>
      <c r="G504" s="89"/>
      <c r="H504" s="89"/>
      <c r="I504" s="89"/>
      <c r="J504" s="89"/>
      <c r="K504" s="89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</row>
    <row r="505" spans="1:26" ht="16.5" customHeight="1">
      <c r="A505" s="66"/>
      <c r="B505" s="66"/>
      <c r="C505" s="89"/>
      <c r="D505" s="89"/>
      <c r="E505" s="89"/>
      <c r="F505" s="89"/>
      <c r="G505" s="89"/>
      <c r="H505" s="89"/>
      <c r="I505" s="89"/>
      <c r="J505" s="89"/>
      <c r="K505" s="89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</row>
    <row r="506" spans="1:26" ht="16.5" customHeight="1">
      <c r="A506" s="66"/>
      <c r="B506" s="66"/>
      <c r="C506" s="89"/>
      <c r="D506" s="89"/>
      <c r="E506" s="89"/>
      <c r="F506" s="89"/>
      <c r="G506" s="89"/>
      <c r="H506" s="89"/>
      <c r="I506" s="89"/>
      <c r="J506" s="89"/>
      <c r="K506" s="89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</row>
    <row r="507" spans="1:26" ht="16.5" customHeight="1">
      <c r="A507" s="66"/>
      <c r="B507" s="66"/>
      <c r="C507" s="89"/>
      <c r="D507" s="89"/>
      <c r="E507" s="89"/>
      <c r="F507" s="89"/>
      <c r="G507" s="89"/>
      <c r="H507" s="89"/>
      <c r="I507" s="89"/>
      <c r="J507" s="89"/>
      <c r="K507" s="89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</row>
    <row r="508" spans="1:26" ht="16.5" customHeight="1">
      <c r="A508" s="66"/>
      <c r="B508" s="66"/>
      <c r="C508" s="89"/>
      <c r="D508" s="89"/>
      <c r="E508" s="89"/>
      <c r="F508" s="89"/>
      <c r="G508" s="89"/>
      <c r="H508" s="89"/>
      <c r="I508" s="89"/>
      <c r="J508" s="89"/>
      <c r="K508" s="89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</row>
    <row r="509" spans="1:26" ht="16.5" customHeight="1">
      <c r="A509" s="66"/>
      <c r="B509" s="66"/>
      <c r="C509" s="89"/>
      <c r="D509" s="89"/>
      <c r="E509" s="89"/>
      <c r="F509" s="89"/>
      <c r="G509" s="89"/>
      <c r="H509" s="89"/>
      <c r="I509" s="89"/>
      <c r="J509" s="89"/>
      <c r="K509" s="89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</row>
    <row r="510" spans="1:26" ht="16.5" customHeight="1">
      <c r="A510" s="66"/>
      <c r="B510" s="66"/>
      <c r="C510" s="89"/>
      <c r="D510" s="89"/>
      <c r="E510" s="89"/>
      <c r="F510" s="89"/>
      <c r="G510" s="89"/>
      <c r="H510" s="89"/>
      <c r="I510" s="89"/>
      <c r="J510" s="89"/>
      <c r="K510" s="89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</row>
    <row r="511" spans="1:26" ht="16.5" customHeight="1">
      <c r="A511" s="66"/>
      <c r="B511" s="66"/>
      <c r="C511" s="89"/>
      <c r="D511" s="89"/>
      <c r="E511" s="89"/>
      <c r="F511" s="89"/>
      <c r="G511" s="89"/>
      <c r="H511" s="89"/>
      <c r="I511" s="89"/>
      <c r="J511" s="89"/>
      <c r="K511" s="89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</row>
    <row r="512" spans="1:26" ht="16.5" customHeight="1">
      <c r="A512" s="66"/>
      <c r="B512" s="66"/>
      <c r="C512" s="89"/>
      <c r="D512" s="89"/>
      <c r="E512" s="89"/>
      <c r="F512" s="89"/>
      <c r="G512" s="89"/>
      <c r="H512" s="89"/>
      <c r="I512" s="89"/>
      <c r="J512" s="89"/>
      <c r="K512" s="89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</row>
    <row r="513" spans="1:26" ht="16.5" customHeight="1">
      <c r="A513" s="66"/>
      <c r="B513" s="66"/>
      <c r="C513" s="89"/>
      <c r="D513" s="89"/>
      <c r="E513" s="89"/>
      <c r="F513" s="89"/>
      <c r="G513" s="89"/>
      <c r="H513" s="89"/>
      <c r="I513" s="89"/>
      <c r="J513" s="89"/>
      <c r="K513" s="89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</row>
    <row r="514" spans="1:26" ht="16.5" customHeight="1">
      <c r="A514" s="66"/>
      <c r="B514" s="66"/>
      <c r="C514" s="89"/>
      <c r="D514" s="89"/>
      <c r="E514" s="89"/>
      <c r="F514" s="89"/>
      <c r="G514" s="89"/>
      <c r="H514" s="89"/>
      <c r="I514" s="89"/>
      <c r="J514" s="89"/>
      <c r="K514" s="89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</row>
    <row r="515" spans="1:26" ht="16.5" customHeight="1">
      <c r="A515" s="66"/>
      <c r="B515" s="66"/>
      <c r="C515" s="89"/>
      <c r="D515" s="89"/>
      <c r="E515" s="89"/>
      <c r="F515" s="89"/>
      <c r="G515" s="89"/>
      <c r="H515" s="89"/>
      <c r="I515" s="89"/>
      <c r="J515" s="89"/>
      <c r="K515" s="89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</row>
    <row r="516" spans="1:26" ht="16.5" customHeight="1">
      <c r="A516" s="66"/>
      <c r="B516" s="66"/>
      <c r="C516" s="89"/>
      <c r="D516" s="89"/>
      <c r="E516" s="89"/>
      <c r="F516" s="89"/>
      <c r="G516" s="89"/>
      <c r="H516" s="89"/>
      <c r="I516" s="89"/>
      <c r="J516" s="89"/>
      <c r="K516" s="89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</row>
    <row r="517" spans="1:26" ht="16.5" customHeight="1">
      <c r="A517" s="66"/>
      <c r="B517" s="66"/>
      <c r="C517" s="89"/>
      <c r="D517" s="89"/>
      <c r="E517" s="89"/>
      <c r="F517" s="89"/>
      <c r="G517" s="89"/>
      <c r="H517" s="89"/>
      <c r="I517" s="89"/>
      <c r="J517" s="89"/>
      <c r="K517" s="89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</row>
    <row r="518" spans="1:26" ht="16.5" customHeight="1">
      <c r="A518" s="66"/>
      <c r="B518" s="66"/>
      <c r="C518" s="89"/>
      <c r="D518" s="89"/>
      <c r="E518" s="89"/>
      <c r="F518" s="89"/>
      <c r="G518" s="89"/>
      <c r="H518" s="89"/>
      <c r="I518" s="89"/>
      <c r="J518" s="89"/>
      <c r="K518" s="89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</row>
    <row r="519" spans="1:26" ht="16.5" customHeight="1">
      <c r="A519" s="66"/>
      <c r="B519" s="66"/>
      <c r="C519" s="89"/>
      <c r="D519" s="89"/>
      <c r="E519" s="89"/>
      <c r="F519" s="89"/>
      <c r="G519" s="89"/>
      <c r="H519" s="89"/>
      <c r="I519" s="89"/>
      <c r="J519" s="89"/>
      <c r="K519" s="89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</row>
    <row r="520" spans="1:26" ht="16.5" customHeight="1">
      <c r="A520" s="66"/>
      <c r="B520" s="66"/>
      <c r="C520" s="89"/>
      <c r="D520" s="89"/>
      <c r="E520" s="89"/>
      <c r="F520" s="89"/>
      <c r="G520" s="89"/>
      <c r="H520" s="89"/>
      <c r="I520" s="89"/>
      <c r="J520" s="89"/>
      <c r="K520" s="89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</row>
    <row r="521" spans="1:26" ht="16.5" customHeight="1">
      <c r="A521" s="66"/>
      <c r="B521" s="66"/>
      <c r="C521" s="89"/>
      <c r="D521" s="89"/>
      <c r="E521" s="89"/>
      <c r="F521" s="89"/>
      <c r="G521" s="89"/>
      <c r="H521" s="89"/>
      <c r="I521" s="89"/>
      <c r="J521" s="89"/>
      <c r="K521" s="89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</row>
    <row r="522" spans="1:26" ht="16.5" customHeight="1">
      <c r="A522" s="66"/>
      <c r="B522" s="66"/>
      <c r="C522" s="89"/>
      <c r="D522" s="89"/>
      <c r="E522" s="89"/>
      <c r="F522" s="89"/>
      <c r="G522" s="89"/>
      <c r="H522" s="89"/>
      <c r="I522" s="89"/>
      <c r="J522" s="89"/>
      <c r="K522" s="89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</row>
    <row r="523" spans="1:26" ht="16.5" customHeight="1">
      <c r="A523" s="66"/>
      <c r="B523" s="66"/>
      <c r="C523" s="89"/>
      <c r="D523" s="89"/>
      <c r="E523" s="89"/>
      <c r="F523" s="89"/>
      <c r="G523" s="89"/>
      <c r="H523" s="89"/>
      <c r="I523" s="89"/>
      <c r="J523" s="89"/>
      <c r="K523" s="89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</row>
    <row r="524" spans="1:26" ht="16.5" customHeight="1">
      <c r="A524" s="66"/>
      <c r="B524" s="66"/>
      <c r="C524" s="89"/>
      <c r="D524" s="89"/>
      <c r="E524" s="89"/>
      <c r="F524" s="89"/>
      <c r="G524" s="89"/>
      <c r="H524" s="89"/>
      <c r="I524" s="89"/>
      <c r="J524" s="89"/>
      <c r="K524" s="89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</row>
    <row r="525" spans="1:26" ht="16.5" customHeight="1">
      <c r="A525" s="66"/>
      <c r="B525" s="66"/>
      <c r="C525" s="89"/>
      <c r="D525" s="89"/>
      <c r="E525" s="89"/>
      <c r="F525" s="89"/>
      <c r="G525" s="89"/>
      <c r="H525" s="89"/>
      <c r="I525" s="89"/>
      <c r="J525" s="89"/>
      <c r="K525" s="89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</row>
    <row r="526" spans="1:26" ht="16.5" customHeight="1">
      <c r="A526" s="66"/>
      <c r="B526" s="66"/>
      <c r="C526" s="89"/>
      <c r="D526" s="89"/>
      <c r="E526" s="89"/>
      <c r="F526" s="89"/>
      <c r="G526" s="89"/>
      <c r="H526" s="89"/>
      <c r="I526" s="89"/>
      <c r="J526" s="89"/>
      <c r="K526" s="89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</row>
    <row r="527" spans="1:26" ht="16.5" customHeight="1">
      <c r="A527" s="66"/>
      <c r="B527" s="66"/>
      <c r="C527" s="89"/>
      <c r="D527" s="89"/>
      <c r="E527" s="89"/>
      <c r="F527" s="89"/>
      <c r="G527" s="89"/>
      <c r="H527" s="89"/>
      <c r="I527" s="89"/>
      <c r="J527" s="89"/>
      <c r="K527" s="89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</row>
    <row r="528" spans="1:26" ht="16.5" customHeight="1">
      <c r="A528" s="66"/>
      <c r="B528" s="66"/>
      <c r="C528" s="89"/>
      <c r="D528" s="89"/>
      <c r="E528" s="89"/>
      <c r="F528" s="89"/>
      <c r="G528" s="89"/>
      <c r="H528" s="89"/>
      <c r="I528" s="89"/>
      <c r="J528" s="89"/>
      <c r="K528" s="89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</row>
    <row r="529" spans="1:26" ht="16.5" customHeight="1">
      <c r="A529" s="66"/>
      <c r="B529" s="66"/>
      <c r="C529" s="89"/>
      <c r="D529" s="89"/>
      <c r="E529" s="89"/>
      <c r="F529" s="89"/>
      <c r="G529" s="89"/>
      <c r="H529" s="89"/>
      <c r="I529" s="89"/>
      <c r="J529" s="89"/>
      <c r="K529" s="89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</row>
    <row r="530" spans="1:26" ht="16.5" customHeight="1">
      <c r="A530" s="66"/>
      <c r="B530" s="66"/>
      <c r="C530" s="89"/>
      <c r="D530" s="89"/>
      <c r="E530" s="89"/>
      <c r="F530" s="89"/>
      <c r="G530" s="89"/>
      <c r="H530" s="89"/>
      <c r="I530" s="89"/>
      <c r="J530" s="89"/>
      <c r="K530" s="89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</row>
    <row r="531" spans="1:26" ht="16.5" customHeight="1">
      <c r="A531" s="66"/>
      <c r="B531" s="66"/>
      <c r="C531" s="89"/>
      <c r="D531" s="89"/>
      <c r="E531" s="89"/>
      <c r="F531" s="89"/>
      <c r="G531" s="89"/>
      <c r="H531" s="89"/>
      <c r="I531" s="89"/>
      <c r="J531" s="89"/>
      <c r="K531" s="89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</row>
    <row r="532" spans="1:26" ht="16.5" customHeight="1">
      <c r="A532" s="66"/>
      <c r="B532" s="66"/>
      <c r="C532" s="89"/>
      <c r="D532" s="89"/>
      <c r="E532" s="89"/>
      <c r="F532" s="89"/>
      <c r="G532" s="89"/>
      <c r="H532" s="89"/>
      <c r="I532" s="89"/>
      <c r="J532" s="89"/>
      <c r="K532" s="89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</row>
    <row r="533" spans="1:26" ht="16.5" customHeight="1">
      <c r="A533" s="66"/>
      <c r="B533" s="66"/>
      <c r="C533" s="89"/>
      <c r="D533" s="89"/>
      <c r="E533" s="89"/>
      <c r="F533" s="89"/>
      <c r="G533" s="89"/>
      <c r="H533" s="89"/>
      <c r="I533" s="89"/>
      <c r="J533" s="89"/>
      <c r="K533" s="89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</row>
    <row r="534" spans="1:26" ht="16.5" customHeight="1">
      <c r="A534" s="66"/>
      <c r="B534" s="66"/>
      <c r="C534" s="89"/>
      <c r="D534" s="89"/>
      <c r="E534" s="89"/>
      <c r="F534" s="89"/>
      <c r="G534" s="89"/>
      <c r="H534" s="89"/>
      <c r="I534" s="89"/>
      <c r="J534" s="89"/>
      <c r="K534" s="89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</row>
    <row r="535" spans="1:26" ht="16.5" customHeight="1">
      <c r="A535" s="66"/>
      <c r="B535" s="66"/>
      <c r="C535" s="89"/>
      <c r="D535" s="89"/>
      <c r="E535" s="89"/>
      <c r="F535" s="89"/>
      <c r="G535" s="89"/>
      <c r="H535" s="89"/>
      <c r="I535" s="89"/>
      <c r="J535" s="89"/>
      <c r="K535" s="89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</row>
    <row r="536" spans="1:26" ht="16.5" customHeight="1">
      <c r="A536" s="66"/>
      <c r="B536" s="66"/>
      <c r="C536" s="89"/>
      <c r="D536" s="89"/>
      <c r="E536" s="89"/>
      <c r="F536" s="89"/>
      <c r="G536" s="89"/>
      <c r="H536" s="89"/>
      <c r="I536" s="89"/>
      <c r="J536" s="89"/>
      <c r="K536" s="89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</row>
    <row r="537" spans="1:26" ht="16.5" customHeight="1">
      <c r="A537" s="66"/>
      <c r="B537" s="66"/>
      <c r="C537" s="89"/>
      <c r="D537" s="89"/>
      <c r="E537" s="89"/>
      <c r="F537" s="89"/>
      <c r="G537" s="89"/>
      <c r="H537" s="89"/>
      <c r="I537" s="89"/>
      <c r="J537" s="89"/>
      <c r="K537" s="89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</row>
    <row r="538" spans="1:26" ht="16.5" customHeight="1">
      <c r="A538" s="66"/>
      <c r="B538" s="66"/>
      <c r="C538" s="89"/>
      <c r="D538" s="89"/>
      <c r="E538" s="89"/>
      <c r="F538" s="89"/>
      <c r="G538" s="89"/>
      <c r="H538" s="89"/>
      <c r="I538" s="89"/>
      <c r="J538" s="89"/>
      <c r="K538" s="89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</row>
    <row r="539" spans="1:26" ht="16.5" customHeight="1">
      <c r="A539" s="66"/>
      <c r="B539" s="66"/>
      <c r="C539" s="89"/>
      <c r="D539" s="89"/>
      <c r="E539" s="89"/>
      <c r="F539" s="89"/>
      <c r="G539" s="89"/>
      <c r="H539" s="89"/>
      <c r="I539" s="89"/>
      <c r="J539" s="89"/>
      <c r="K539" s="89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</row>
    <row r="540" spans="1:26" ht="16.5" customHeight="1">
      <c r="A540" s="66"/>
      <c r="B540" s="66"/>
      <c r="C540" s="89"/>
      <c r="D540" s="89"/>
      <c r="E540" s="89"/>
      <c r="F540" s="89"/>
      <c r="G540" s="89"/>
      <c r="H540" s="89"/>
      <c r="I540" s="89"/>
      <c r="J540" s="89"/>
      <c r="K540" s="89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</row>
    <row r="541" spans="1:26" ht="16.5" customHeight="1">
      <c r="A541" s="66"/>
      <c r="B541" s="66"/>
      <c r="C541" s="89"/>
      <c r="D541" s="89"/>
      <c r="E541" s="89"/>
      <c r="F541" s="89"/>
      <c r="G541" s="89"/>
      <c r="H541" s="89"/>
      <c r="I541" s="89"/>
      <c r="J541" s="89"/>
      <c r="K541" s="89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</row>
    <row r="542" spans="1:26" ht="16.5" customHeight="1">
      <c r="A542" s="66"/>
      <c r="B542" s="66"/>
      <c r="C542" s="89"/>
      <c r="D542" s="89"/>
      <c r="E542" s="89"/>
      <c r="F542" s="89"/>
      <c r="G542" s="89"/>
      <c r="H542" s="89"/>
      <c r="I542" s="89"/>
      <c r="J542" s="89"/>
      <c r="K542" s="89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</row>
    <row r="543" spans="1:26" ht="16.5" customHeight="1">
      <c r="A543" s="66"/>
      <c r="B543" s="66"/>
      <c r="C543" s="89"/>
      <c r="D543" s="89"/>
      <c r="E543" s="89"/>
      <c r="F543" s="89"/>
      <c r="G543" s="89"/>
      <c r="H543" s="89"/>
      <c r="I543" s="89"/>
      <c r="J543" s="89"/>
      <c r="K543" s="89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</row>
    <row r="544" spans="1:26" ht="16.5" customHeight="1">
      <c r="A544" s="66"/>
      <c r="B544" s="66"/>
      <c r="C544" s="89"/>
      <c r="D544" s="89"/>
      <c r="E544" s="89"/>
      <c r="F544" s="89"/>
      <c r="G544" s="89"/>
      <c r="H544" s="89"/>
      <c r="I544" s="89"/>
      <c r="J544" s="89"/>
      <c r="K544" s="89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</row>
    <row r="545" spans="1:26" ht="16.5" customHeight="1">
      <c r="A545" s="66"/>
      <c r="B545" s="66"/>
      <c r="C545" s="89"/>
      <c r="D545" s="89"/>
      <c r="E545" s="89"/>
      <c r="F545" s="89"/>
      <c r="G545" s="89"/>
      <c r="H545" s="89"/>
      <c r="I545" s="89"/>
      <c r="J545" s="89"/>
      <c r="K545" s="89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</row>
    <row r="546" spans="1:26" ht="16.5" customHeight="1">
      <c r="A546" s="66"/>
      <c r="B546" s="66"/>
      <c r="C546" s="89"/>
      <c r="D546" s="89"/>
      <c r="E546" s="89"/>
      <c r="F546" s="89"/>
      <c r="G546" s="89"/>
      <c r="H546" s="89"/>
      <c r="I546" s="89"/>
      <c r="J546" s="89"/>
      <c r="K546" s="89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</row>
    <row r="547" spans="1:26" ht="16.5" customHeight="1">
      <c r="A547" s="66"/>
      <c r="B547" s="66"/>
      <c r="C547" s="89"/>
      <c r="D547" s="89"/>
      <c r="E547" s="89"/>
      <c r="F547" s="89"/>
      <c r="G547" s="89"/>
      <c r="H547" s="89"/>
      <c r="I547" s="89"/>
      <c r="J547" s="89"/>
      <c r="K547" s="89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</row>
    <row r="548" spans="1:26" ht="16.5" customHeight="1">
      <c r="A548" s="66"/>
      <c r="B548" s="66"/>
      <c r="C548" s="89"/>
      <c r="D548" s="89"/>
      <c r="E548" s="89"/>
      <c r="F548" s="89"/>
      <c r="G548" s="89"/>
      <c r="H548" s="89"/>
      <c r="I548" s="89"/>
      <c r="J548" s="89"/>
      <c r="K548" s="89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</row>
    <row r="549" spans="1:26" ht="16.5" customHeight="1">
      <c r="A549" s="66"/>
      <c r="B549" s="66"/>
      <c r="C549" s="89"/>
      <c r="D549" s="89"/>
      <c r="E549" s="89"/>
      <c r="F549" s="89"/>
      <c r="G549" s="89"/>
      <c r="H549" s="89"/>
      <c r="I549" s="89"/>
      <c r="J549" s="89"/>
      <c r="K549" s="89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</row>
    <row r="550" spans="1:26" ht="16.5" customHeight="1">
      <c r="A550" s="66"/>
      <c r="B550" s="66"/>
      <c r="C550" s="89"/>
      <c r="D550" s="89"/>
      <c r="E550" s="89"/>
      <c r="F550" s="89"/>
      <c r="G550" s="89"/>
      <c r="H550" s="89"/>
      <c r="I550" s="89"/>
      <c r="J550" s="89"/>
      <c r="K550" s="89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</row>
    <row r="551" spans="1:26" ht="16.5" customHeight="1">
      <c r="A551" s="66"/>
      <c r="B551" s="66"/>
      <c r="C551" s="89"/>
      <c r="D551" s="89"/>
      <c r="E551" s="89"/>
      <c r="F551" s="89"/>
      <c r="G551" s="89"/>
      <c r="H551" s="89"/>
      <c r="I551" s="89"/>
      <c r="J551" s="89"/>
      <c r="K551" s="89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</row>
    <row r="552" spans="1:26" ht="16.5" customHeight="1">
      <c r="A552" s="66"/>
      <c r="B552" s="66"/>
      <c r="C552" s="89"/>
      <c r="D552" s="89"/>
      <c r="E552" s="89"/>
      <c r="F552" s="89"/>
      <c r="G552" s="89"/>
      <c r="H552" s="89"/>
      <c r="I552" s="89"/>
      <c r="J552" s="89"/>
      <c r="K552" s="89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</row>
    <row r="553" spans="1:26" ht="16.5" customHeight="1">
      <c r="A553" s="66"/>
      <c r="B553" s="66"/>
      <c r="C553" s="89"/>
      <c r="D553" s="89"/>
      <c r="E553" s="89"/>
      <c r="F553" s="89"/>
      <c r="G553" s="89"/>
      <c r="H553" s="89"/>
      <c r="I553" s="89"/>
      <c r="J553" s="89"/>
      <c r="K553" s="89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</row>
    <row r="554" spans="1:26" ht="16.5" customHeight="1">
      <c r="A554" s="66"/>
      <c r="B554" s="66"/>
      <c r="C554" s="89"/>
      <c r="D554" s="89"/>
      <c r="E554" s="89"/>
      <c r="F554" s="89"/>
      <c r="G554" s="89"/>
      <c r="H554" s="89"/>
      <c r="I554" s="89"/>
      <c r="J554" s="89"/>
      <c r="K554" s="89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</row>
    <row r="555" spans="1:26" ht="16.5" customHeight="1">
      <c r="A555" s="66"/>
      <c r="B555" s="66"/>
      <c r="C555" s="89"/>
      <c r="D555" s="89"/>
      <c r="E555" s="89"/>
      <c r="F555" s="89"/>
      <c r="G555" s="89"/>
      <c r="H555" s="89"/>
      <c r="I555" s="89"/>
      <c r="J555" s="89"/>
      <c r="K555" s="89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</row>
    <row r="556" spans="1:26" ht="16.5" customHeight="1">
      <c r="A556" s="66"/>
      <c r="B556" s="66"/>
      <c r="C556" s="89"/>
      <c r="D556" s="89"/>
      <c r="E556" s="89"/>
      <c r="F556" s="89"/>
      <c r="G556" s="89"/>
      <c r="H556" s="89"/>
      <c r="I556" s="89"/>
      <c r="J556" s="89"/>
      <c r="K556" s="89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</row>
    <row r="557" spans="1:26" ht="16.5" customHeight="1">
      <c r="A557" s="66"/>
      <c r="B557" s="66"/>
      <c r="C557" s="89"/>
      <c r="D557" s="89"/>
      <c r="E557" s="89"/>
      <c r="F557" s="89"/>
      <c r="G557" s="89"/>
      <c r="H557" s="89"/>
      <c r="I557" s="89"/>
      <c r="J557" s="89"/>
      <c r="K557" s="89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</row>
    <row r="558" spans="1:26" ht="16.5" customHeight="1">
      <c r="A558" s="66"/>
      <c r="B558" s="66"/>
      <c r="C558" s="89"/>
      <c r="D558" s="89"/>
      <c r="E558" s="89"/>
      <c r="F558" s="89"/>
      <c r="G558" s="89"/>
      <c r="H558" s="89"/>
      <c r="I558" s="89"/>
      <c r="J558" s="89"/>
      <c r="K558" s="89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</row>
    <row r="559" spans="1:26" ht="16.5" customHeight="1">
      <c r="A559" s="66"/>
      <c r="B559" s="66"/>
      <c r="C559" s="89"/>
      <c r="D559" s="89"/>
      <c r="E559" s="89"/>
      <c r="F559" s="89"/>
      <c r="G559" s="89"/>
      <c r="H559" s="89"/>
      <c r="I559" s="89"/>
      <c r="J559" s="89"/>
      <c r="K559" s="89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</row>
    <row r="560" spans="1:26" ht="16.5" customHeight="1">
      <c r="A560" s="66"/>
      <c r="B560" s="66"/>
      <c r="C560" s="89"/>
      <c r="D560" s="89"/>
      <c r="E560" s="89"/>
      <c r="F560" s="89"/>
      <c r="G560" s="89"/>
      <c r="H560" s="89"/>
      <c r="I560" s="89"/>
      <c r="J560" s="89"/>
      <c r="K560" s="89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</row>
    <row r="561" spans="1:26" ht="16.5" customHeight="1">
      <c r="A561" s="66"/>
      <c r="B561" s="66"/>
      <c r="C561" s="89"/>
      <c r="D561" s="89"/>
      <c r="E561" s="89"/>
      <c r="F561" s="89"/>
      <c r="G561" s="89"/>
      <c r="H561" s="89"/>
      <c r="I561" s="89"/>
      <c r="J561" s="89"/>
      <c r="K561" s="89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</row>
    <row r="562" spans="1:26" ht="16.5" customHeight="1">
      <c r="A562" s="66"/>
      <c r="B562" s="66"/>
      <c r="C562" s="89"/>
      <c r="D562" s="89"/>
      <c r="E562" s="89"/>
      <c r="F562" s="89"/>
      <c r="G562" s="89"/>
      <c r="H562" s="89"/>
      <c r="I562" s="89"/>
      <c r="J562" s="89"/>
      <c r="K562" s="89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</row>
    <row r="563" spans="1:26" ht="16.5" customHeight="1">
      <c r="A563" s="66"/>
      <c r="B563" s="66"/>
      <c r="C563" s="89"/>
      <c r="D563" s="89"/>
      <c r="E563" s="89"/>
      <c r="F563" s="89"/>
      <c r="G563" s="89"/>
      <c r="H563" s="89"/>
      <c r="I563" s="89"/>
      <c r="J563" s="89"/>
      <c r="K563" s="89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</row>
    <row r="564" spans="1:26" ht="16.5" customHeight="1">
      <c r="A564" s="66"/>
      <c r="B564" s="66"/>
      <c r="C564" s="89"/>
      <c r="D564" s="89"/>
      <c r="E564" s="89"/>
      <c r="F564" s="89"/>
      <c r="G564" s="89"/>
      <c r="H564" s="89"/>
      <c r="I564" s="89"/>
      <c r="J564" s="89"/>
      <c r="K564" s="89"/>
      <c r="L564" s="60"/>
      <c r="M564" s="60"/>
      <c r="N564" s="60"/>
      <c r="O564" s="60"/>
      <c r="P564" s="60"/>
      <c r="Q564" s="60"/>
      <c r="R564" s="60"/>
      <c r="S564" s="60"/>
      <c r="T564" s="60"/>
      <c r="U564" s="60"/>
      <c r="V564" s="60"/>
      <c r="W564" s="60"/>
      <c r="X564" s="60"/>
      <c r="Y564" s="60"/>
      <c r="Z564" s="60"/>
    </row>
    <row r="565" spans="1:26" ht="16.5" customHeight="1">
      <c r="A565" s="66"/>
      <c r="B565" s="66"/>
      <c r="C565" s="89"/>
      <c r="D565" s="89"/>
      <c r="E565" s="89"/>
      <c r="F565" s="89"/>
      <c r="G565" s="89"/>
      <c r="H565" s="89"/>
      <c r="I565" s="89"/>
      <c r="J565" s="89"/>
      <c r="K565" s="89"/>
      <c r="L565" s="60"/>
      <c r="M565" s="60"/>
      <c r="N565" s="60"/>
      <c r="O565" s="60"/>
      <c r="P565" s="60"/>
      <c r="Q565" s="60"/>
      <c r="R565" s="60"/>
      <c r="S565" s="60"/>
      <c r="T565" s="60"/>
      <c r="U565" s="60"/>
      <c r="V565" s="60"/>
      <c r="W565" s="60"/>
      <c r="X565" s="60"/>
      <c r="Y565" s="60"/>
      <c r="Z565" s="60"/>
    </row>
    <row r="566" spans="1:26" ht="16.5" customHeight="1">
      <c r="A566" s="66"/>
      <c r="B566" s="66"/>
      <c r="C566" s="89"/>
      <c r="D566" s="89"/>
      <c r="E566" s="89"/>
      <c r="F566" s="89"/>
      <c r="G566" s="89"/>
      <c r="H566" s="89"/>
      <c r="I566" s="89"/>
      <c r="J566" s="89"/>
      <c r="K566" s="89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</row>
    <row r="567" spans="1:26" ht="16.5" customHeight="1">
      <c r="A567" s="66"/>
      <c r="B567" s="66"/>
      <c r="C567" s="89"/>
      <c r="D567" s="89"/>
      <c r="E567" s="89"/>
      <c r="F567" s="89"/>
      <c r="G567" s="89"/>
      <c r="H567" s="89"/>
      <c r="I567" s="89"/>
      <c r="J567" s="89"/>
      <c r="K567" s="89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</row>
    <row r="568" spans="1:26" ht="16.5" customHeight="1">
      <c r="A568" s="66"/>
      <c r="B568" s="66"/>
      <c r="C568" s="89"/>
      <c r="D568" s="89"/>
      <c r="E568" s="89"/>
      <c r="F568" s="89"/>
      <c r="G568" s="89"/>
      <c r="H568" s="89"/>
      <c r="I568" s="89"/>
      <c r="J568" s="89"/>
      <c r="K568" s="89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</row>
    <row r="569" spans="1:26" ht="16.5" customHeight="1">
      <c r="A569" s="66"/>
      <c r="B569" s="66"/>
      <c r="C569" s="89"/>
      <c r="D569" s="89"/>
      <c r="E569" s="89"/>
      <c r="F569" s="89"/>
      <c r="G569" s="89"/>
      <c r="H569" s="89"/>
      <c r="I569" s="89"/>
      <c r="J569" s="89"/>
      <c r="K569" s="89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</row>
    <row r="570" spans="1:26" ht="16.5" customHeight="1">
      <c r="A570" s="66"/>
      <c r="B570" s="66"/>
      <c r="C570" s="89"/>
      <c r="D570" s="89"/>
      <c r="E570" s="89"/>
      <c r="F570" s="89"/>
      <c r="G570" s="89"/>
      <c r="H570" s="89"/>
      <c r="I570" s="89"/>
      <c r="J570" s="89"/>
      <c r="K570" s="89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</row>
    <row r="571" spans="1:26" ht="16.5" customHeight="1">
      <c r="A571" s="66"/>
      <c r="B571" s="66"/>
      <c r="C571" s="89"/>
      <c r="D571" s="89"/>
      <c r="E571" s="89"/>
      <c r="F571" s="89"/>
      <c r="G571" s="89"/>
      <c r="H571" s="89"/>
      <c r="I571" s="89"/>
      <c r="J571" s="89"/>
      <c r="K571" s="89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</row>
    <row r="572" spans="1:26" ht="16.5" customHeight="1">
      <c r="A572" s="66"/>
      <c r="B572" s="66"/>
      <c r="C572" s="89"/>
      <c r="D572" s="89"/>
      <c r="E572" s="89"/>
      <c r="F572" s="89"/>
      <c r="G572" s="89"/>
      <c r="H572" s="89"/>
      <c r="I572" s="89"/>
      <c r="J572" s="89"/>
      <c r="K572" s="89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</row>
    <row r="573" spans="1:26" ht="16.5" customHeight="1">
      <c r="A573" s="66"/>
      <c r="B573" s="66"/>
      <c r="C573" s="89"/>
      <c r="D573" s="89"/>
      <c r="E573" s="89"/>
      <c r="F573" s="89"/>
      <c r="G573" s="89"/>
      <c r="H573" s="89"/>
      <c r="I573" s="89"/>
      <c r="J573" s="89"/>
      <c r="K573" s="89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</row>
    <row r="574" spans="1:26" ht="16.5" customHeight="1">
      <c r="A574" s="66"/>
      <c r="B574" s="66"/>
      <c r="C574" s="89"/>
      <c r="D574" s="89"/>
      <c r="E574" s="89"/>
      <c r="F574" s="89"/>
      <c r="G574" s="89"/>
      <c r="H574" s="89"/>
      <c r="I574" s="89"/>
      <c r="J574" s="89"/>
      <c r="K574" s="89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</row>
    <row r="575" spans="1:26" ht="16.5" customHeight="1">
      <c r="A575" s="66"/>
      <c r="B575" s="66"/>
      <c r="C575" s="89"/>
      <c r="D575" s="89"/>
      <c r="E575" s="89"/>
      <c r="F575" s="89"/>
      <c r="G575" s="89"/>
      <c r="H575" s="89"/>
      <c r="I575" s="89"/>
      <c r="J575" s="89"/>
      <c r="K575" s="89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</row>
    <row r="576" spans="1:26" ht="16.5" customHeight="1">
      <c r="A576" s="66"/>
      <c r="B576" s="66"/>
      <c r="C576" s="89"/>
      <c r="D576" s="89"/>
      <c r="E576" s="89"/>
      <c r="F576" s="89"/>
      <c r="G576" s="89"/>
      <c r="H576" s="89"/>
      <c r="I576" s="89"/>
      <c r="J576" s="89"/>
      <c r="K576" s="89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</row>
    <row r="577" spans="1:26" ht="16.5" customHeight="1">
      <c r="A577" s="66"/>
      <c r="B577" s="66"/>
      <c r="C577" s="89"/>
      <c r="D577" s="89"/>
      <c r="E577" s="89"/>
      <c r="F577" s="89"/>
      <c r="G577" s="89"/>
      <c r="H577" s="89"/>
      <c r="I577" s="89"/>
      <c r="J577" s="89"/>
      <c r="K577" s="89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</row>
    <row r="578" spans="1:26" ht="16.5" customHeight="1">
      <c r="A578" s="66"/>
      <c r="B578" s="66"/>
      <c r="C578" s="89"/>
      <c r="D578" s="89"/>
      <c r="E578" s="89"/>
      <c r="F578" s="89"/>
      <c r="G578" s="89"/>
      <c r="H578" s="89"/>
      <c r="I578" s="89"/>
      <c r="J578" s="89"/>
      <c r="K578" s="89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</row>
    <row r="579" spans="1:26" ht="16.5" customHeight="1">
      <c r="A579" s="66"/>
      <c r="B579" s="66"/>
      <c r="C579" s="89"/>
      <c r="D579" s="89"/>
      <c r="E579" s="89"/>
      <c r="F579" s="89"/>
      <c r="G579" s="89"/>
      <c r="H579" s="89"/>
      <c r="I579" s="89"/>
      <c r="J579" s="89"/>
      <c r="K579" s="89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</row>
    <row r="580" spans="1:26" ht="16.5" customHeight="1">
      <c r="A580" s="66"/>
      <c r="B580" s="66"/>
      <c r="C580" s="89"/>
      <c r="D580" s="89"/>
      <c r="E580" s="89"/>
      <c r="F580" s="89"/>
      <c r="G580" s="89"/>
      <c r="H580" s="89"/>
      <c r="I580" s="89"/>
      <c r="J580" s="89"/>
      <c r="K580" s="89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</row>
    <row r="581" spans="1:26" ht="16.5" customHeight="1">
      <c r="A581" s="66"/>
      <c r="B581" s="66"/>
      <c r="C581" s="89"/>
      <c r="D581" s="89"/>
      <c r="E581" s="89"/>
      <c r="F581" s="89"/>
      <c r="G581" s="89"/>
      <c r="H581" s="89"/>
      <c r="I581" s="89"/>
      <c r="J581" s="89"/>
      <c r="K581" s="89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</row>
    <row r="582" spans="1:26" ht="16.5" customHeight="1">
      <c r="A582" s="66"/>
      <c r="B582" s="66"/>
      <c r="C582" s="89"/>
      <c r="D582" s="89"/>
      <c r="E582" s="89"/>
      <c r="F582" s="89"/>
      <c r="G582" s="89"/>
      <c r="H582" s="89"/>
      <c r="I582" s="89"/>
      <c r="J582" s="89"/>
      <c r="K582" s="89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</row>
    <row r="583" spans="1:26" ht="16.5" customHeight="1">
      <c r="A583" s="66"/>
      <c r="B583" s="66"/>
      <c r="C583" s="89"/>
      <c r="D583" s="89"/>
      <c r="E583" s="89"/>
      <c r="F583" s="89"/>
      <c r="G583" s="89"/>
      <c r="H583" s="89"/>
      <c r="I583" s="89"/>
      <c r="J583" s="89"/>
      <c r="K583" s="89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</row>
    <row r="584" spans="1:26" ht="16.5" customHeight="1">
      <c r="A584" s="66"/>
      <c r="B584" s="66"/>
      <c r="C584" s="89"/>
      <c r="D584" s="89"/>
      <c r="E584" s="89"/>
      <c r="F584" s="89"/>
      <c r="G584" s="89"/>
      <c r="H584" s="89"/>
      <c r="I584" s="89"/>
      <c r="J584" s="89"/>
      <c r="K584" s="89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</row>
    <row r="585" spans="1:26" ht="16.5" customHeight="1">
      <c r="A585" s="66"/>
      <c r="B585" s="66"/>
      <c r="C585" s="89"/>
      <c r="D585" s="89"/>
      <c r="E585" s="89"/>
      <c r="F585" s="89"/>
      <c r="G585" s="89"/>
      <c r="H585" s="89"/>
      <c r="I585" s="89"/>
      <c r="J585" s="89"/>
      <c r="K585" s="89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</row>
    <row r="586" spans="1:26" ht="16.5" customHeight="1">
      <c r="A586" s="66"/>
      <c r="B586" s="66"/>
      <c r="C586" s="89"/>
      <c r="D586" s="89"/>
      <c r="E586" s="89"/>
      <c r="F586" s="89"/>
      <c r="G586" s="89"/>
      <c r="H586" s="89"/>
      <c r="I586" s="89"/>
      <c r="J586" s="89"/>
      <c r="K586" s="89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</row>
    <row r="587" spans="1:26" ht="16.5" customHeight="1">
      <c r="A587" s="66"/>
      <c r="B587" s="66"/>
      <c r="C587" s="89"/>
      <c r="D587" s="89"/>
      <c r="E587" s="89"/>
      <c r="F587" s="89"/>
      <c r="G587" s="89"/>
      <c r="H587" s="89"/>
      <c r="I587" s="89"/>
      <c r="J587" s="89"/>
      <c r="K587" s="89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</row>
    <row r="588" spans="1:26" ht="16.5" customHeight="1">
      <c r="A588" s="66"/>
      <c r="B588" s="66"/>
      <c r="C588" s="89"/>
      <c r="D588" s="89"/>
      <c r="E588" s="89"/>
      <c r="F588" s="89"/>
      <c r="G588" s="89"/>
      <c r="H588" s="89"/>
      <c r="I588" s="89"/>
      <c r="J588" s="89"/>
      <c r="K588" s="89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</row>
    <row r="589" spans="1:26" ht="16.5" customHeight="1">
      <c r="A589" s="66"/>
      <c r="B589" s="66"/>
      <c r="C589" s="89"/>
      <c r="D589" s="89"/>
      <c r="E589" s="89"/>
      <c r="F589" s="89"/>
      <c r="G589" s="89"/>
      <c r="H589" s="89"/>
      <c r="I589" s="89"/>
      <c r="J589" s="89"/>
      <c r="K589" s="89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</row>
    <row r="590" spans="1:26" ht="16.5" customHeight="1">
      <c r="A590" s="66"/>
      <c r="B590" s="66"/>
      <c r="C590" s="89"/>
      <c r="D590" s="89"/>
      <c r="E590" s="89"/>
      <c r="F590" s="89"/>
      <c r="G590" s="89"/>
      <c r="H590" s="89"/>
      <c r="I590" s="89"/>
      <c r="J590" s="89"/>
      <c r="K590" s="89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</row>
    <row r="591" spans="1:26" ht="16.5" customHeight="1">
      <c r="A591" s="66"/>
      <c r="B591" s="66"/>
      <c r="C591" s="89"/>
      <c r="D591" s="89"/>
      <c r="E591" s="89"/>
      <c r="F591" s="89"/>
      <c r="G591" s="89"/>
      <c r="H591" s="89"/>
      <c r="I591" s="89"/>
      <c r="J591" s="89"/>
      <c r="K591" s="89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</row>
    <row r="592" spans="1:26" ht="16.5" customHeight="1">
      <c r="A592" s="66"/>
      <c r="B592" s="66"/>
      <c r="C592" s="89"/>
      <c r="D592" s="89"/>
      <c r="E592" s="89"/>
      <c r="F592" s="89"/>
      <c r="G592" s="89"/>
      <c r="H592" s="89"/>
      <c r="I592" s="89"/>
      <c r="J592" s="89"/>
      <c r="K592" s="89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</row>
    <row r="593" spans="1:26" ht="16.5" customHeight="1">
      <c r="A593" s="66"/>
      <c r="B593" s="66"/>
      <c r="C593" s="89"/>
      <c r="D593" s="89"/>
      <c r="E593" s="89"/>
      <c r="F593" s="89"/>
      <c r="G593" s="89"/>
      <c r="H593" s="89"/>
      <c r="I593" s="89"/>
      <c r="J593" s="89"/>
      <c r="K593" s="89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</row>
    <row r="594" spans="1:26" ht="16.5" customHeight="1">
      <c r="A594" s="66"/>
      <c r="B594" s="66"/>
      <c r="C594" s="89"/>
      <c r="D594" s="89"/>
      <c r="E594" s="89"/>
      <c r="F594" s="89"/>
      <c r="G594" s="89"/>
      <c r="H594" s="89"/>
      <c r="I594" s="89"/>
      <c r="J594" s="89"/>
      <c r="K594" s="89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</row>
    <row r="595" spans="1:26" ht="16.5" customHeight="1">
      <c r="A595" s="66"/>
      <c r="B595" s="66"/>
      <c r="C595" s="89"/>
      <c r="D595" s="89"/>
      <c r="E595" s="89"/>
      <c r="F595" s="89"/>
      <c r="G595" s="89"/>
      <c r="H595" s="89"/>
      <c r="I595" s="89"/>
      <c r="J595" s="89"/>
      <c r="K595" s="89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</row>
    <row r="596" spans="1:26" ht="16.5" customHeight="1">
      <c r="A596" s="66"/>
      <c r="B596" s="66"/>
      <c r="C596" s="89"/>
      <c r="D596" s="89"/>
      <c r="E596" s="89"/>
      <c r="F596" s="89"/>
      <c r="G596" s="89"/>
      <c r="H596" s="89"/>
      <c r="I596" s="89"/>
      <c r="J596" s="89"/>
      <c r="K596" s="89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</row>
    <row r="597" spans="1:26" ht="16.5" customHeight="1">
      <c r="A597" s="66"/>
      <c r="B597" s="66"/>
      <c r="C597" s="89"/>
      <c r="D597" s="89"/>
      <c r="E597" s="89"/>
      <c r="F597" s="89"/>
      <c r="G597" s="89"/>
      <c r="H597" s="89"/>
      <c r="I597" s="89"/>
      <c r="J597" s="89"/>
      <c r="K597" s="89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</row>
    <row r="598" spans="1:26" ht="16.5" customHeight="1">
      <c r="A598" s="66"/>
      <c r="B598" s="66"/>
      <c r="C598" s="89"/>
      <c r="D598" s="89"/>
      <c r="E598" s="89"/>
      <c r="F598" s="89"/>
      <c r="G598" s="89"/>
      <c r="H598" s="89"/>
      <c r="I598" s="89"/>
      <c r="J598" s="89"/>
      <c r="K598" s="89"/>
      <c r="L598" s="60"/>
      <c r="M598" s="60"/>
      <c r="N598" s="60"/>
      <c r="O598" s="60"/>
      <c r="P598" s="60"/>
      <c r="Q598" s="60"/>
      <c r="R598" s="60"/>
      <c r="S598" s="60"/>
      <c r="T598" s="60"/>
      <c r="U598" s="60"/>
      <c r="V598" s="60"/>
      <c r="W598" s="60"/>
      <c r="X598" s="60"/>
      <c r="Y598" s="60"/>
      <c r="Z598" s="60"/>
    </row>
    <row r="599" spans="1:26" ht="16.5" customHeight="1">
      <c r="A599" s="66"/>
      <c r="B599" s="66"/>
      <c r="C599" s="89"/>
      <c r="D599" s="89"/>
      <c r="E599" s="89"/>
      <c r="F599" s="89"/>
      <c r="G599" s="89"/>
      <c r="H599" s="89"/>
      <c r="I599" s="89"/>
      <c r="J599" s="89"/>
      <c r="K599" s="89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</row>
    <row r="600" spans="1:26" ht="16.5" customHeight="1">
      <c r="A600" s="66"/>
      <c r="B600" s="66"/>
      <c r="C600" s="89"/>
      <c r="D600" s="89"/>
      <c r="E600" s="89"/>
      <c r="F600" s="89"/>
      <c r="G600" s="89"/>
      <c r="H600" s="89"/>
      <c r="I600" s="89"/>
      <c r="J600" s="89"/>
      <c r="K600" s="89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</row>
    <row r="601" spans="1:26" ht="16.5" customHeight="1">
      <c r="A601" s="66"/>
      <c r="B601" s="66"/>
      <c r="C601" s="89"/>
      <c r="D601" s="89"/>
      <c r="E601" s="89"/>
      <c r="F601" s="89"/>
      <c r="G601" s="89"/>
      <c r="H601" s="89"/>
      <c r="I601" s="89"/>
      <c r="J601" s="89"/>
      <c r="K601" s="89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</row>
    <row r="602" spans="1:26" ht="16.5" customHeight="1">
      <c r="A602" s="66"/>
      <c r="B602" s="66"/>
      <c r="C602" s="89"/>
      <c r="D602" s="89"/>
      <c r="E602" s="89"/>
      <c r="F602" s="89"/>
      <c r="G602" s="89"/>
      <c r="H602" s="89"/>
      <c r="I602" s="89"/>
      <c r="J602" s="89"/>
      <c r="K602" s="89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</row>
    <row r="603" spans="1:26" ht="16.5" customHeight="1">
      <c r="A603" s="66"/>
      <c r="B603" s="66"/>
      <c r="C603" s="89"/>
      <c r="D603" s="89"/>
      <c r="E603" s="89"/>
      <c r="F603" s="89"/>
      <c r="G603" s="89"/>
      <c r="H603" s="89"/>
      <c r="I603" s="89"/>
      <c r="J603" s="89"/>
      <c r="K603" s="89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</row>
    <row r="604" spans="1:26" ht="16.5" customHeight="1">
      <c r="A604" s="66"/>
      <c r="B604" s="66"/>
      <c r="C604" s="89"/>
      <c r="D604" s="89"/>
      <c r="E604" s="89"/>
      <c r="F604" s="89"/>
      <c r="G604" s="89"/>
      <c r="H604" s="89"/>
      <c r="I604" s="89"/>
      <c r="J604" s="89"/>
      <c r="K604" s="89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</row>
    <row r="605" spans="1:26" ht="16.5" customHeight="1">
      <c r="A605" s="66"/>
      <c r="B605" s="66"/>
      <c r="C605" s="89"/>
      <c r="D605" s="89"/>
      <c r="E605" s="89"/>
      <c r="F605" s="89"/>
      <c r="G605" s="89"/>
      <c r="H605" s="89"/>
      <c r="I605" s="89"/>
      <c r="J605" s="89"/>
      <c r="K605" s="89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</row>
    <row r="606" spans="1:26" ht="16.5" customHeight="1">
      <c r="A606" s="66"/>
      <c r="B606" s="66"/>
      <c r="C606" s="89"/>
      <c r="D606" s="89"/>
      <c r="E606" s="89"/>
      <c r="F606" s="89"/>
      <c r="G606" s="89"/>
      <c r="H606" s="89"/>
      <c r="I606" s="89"/>
      <c r="J606" s="89"/>
      <c r="K606" s="89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</row>
    <row r="607" spans="1:26" ht="16.5" customHeight="1">
      <c r="A607" s="66"/>
      <c r="B607" s="66"/>
      <c r="C607" s="89"/>
      <c r="D607" s="89"/>
      <c r="E607" s="89"/>
      <c r="F607" s="89"/>
      <c r="G607" s="89"/>
      <c r="H607" s="89"/>
      <c r="I607" s="89"/>
      <c r="J607" s="89"/>
      <c r="K607" s="89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</row>
    <row r="608" spans="1:26" ht="16.5" customHeight="1">
      <c r="A608" s="66"/>
      <c r="B608" s="66"/>
      <c r="C608" s="89"/>
      <c r="D608" s="89"/>
      <c r="E608" s="89"/>
      <c r="F608" s="89"/>
      <c r="G608" s="89"/>
      <c r="H608" s="89"/>
      <c r="I608" s="89"/>
      <c r="J608" s="89"/>
      <c r="K608" s="89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</row>
    <row r="609" spans="1:26" ht="16.5" customHeight="1">
      <c r="A609" s="66"/>
      <c r="B609" s="66"/>
      <c r="C609" s="89"/>
      <c r="D609" s="89"/>
      <c r="E609" s="89"/>
      <c r="F609" s="89"/>
      <c r="G609" s="89"/>
      <c r="H609" s="89"/>
      <c r="I609" s="89"/>
      <c r="J609" s="89"/>
      <c r="K609" s="89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</row>
    <row r="610" spans="1:26" ht="16.5" customHeight="1">
      <c r="A610" s="66"/>
      <c r="B610" s="66"/>
      <c r="C610" s="89"/>
      <c r="D610" s="89"/>
      <c r="E610" s="89"/>
      <c r="F610" s="89"/>
      <c r="G610" s="89"/>
      <c r="H610" s="89"/>
      <c r="I610" s="89"/>
      <c r="J610" s="89"/>
      <c r="K610" s="89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</row>
    <row r="611" spans="1:26" ht="16.5" customHeight="1">
      <c r="A611" s="66"/>
      <c r="B611" s="66"/>
      <c r="C611" s="89"/>
      <c r="D611" s="89"/>
      <c r="E611" s="89"/>
      <c r="F611" s="89"/>
      <c r="G611" s="89"/>
      <c r="H611" s="89"/>
      <c r="I611" s="89"/>
      <c r="J611" s="89"/>
      <c r="K611" s="89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</row>
    <row r="612" spans="1:26" ht="16.5" customHeight="1">
      <c r="A612" s="66"/>
      <c r="B612" s="66"/>
      <c r="C612" s="89"/>
      <c r="D612" s="89"/>
      <c r="E612" s="89"/>
      <c r="F612" s="89"/>
      <c r="G612" s="89"/>
      <c r="H612" s="89"/>
      <c r="I612" s="89"/>
      <c r="J612" s="89"/>
      <c r="K612" s="89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</row>
    <row r="613" spans="1:26" ht="16.5" customHeight="1">
      <c r="A613" s="66"/>
      <c r="B613" s="66"/>
      <c r="C613" s="89"/>
      <c r="D613" s="89"/>
      <c r="E613" s="89"/>
      <c r="F613" s="89"/>
      <c r="G613" s="89"/>
      <c r="H613" s="89"/>
      <c r="I613" s="89"/>
      <c r="J613" s="89"/>
      <c r="K613" s="89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</row>
    <row r="614" spans="1:26" ht="16.5" customHeight="1">
      <c r="A614" s="66"/>
      <c r="B614" s="66"/>
      <c r="C614" s="89"/>
      <c r="D614" s="89"/>
      <c r="E614" s="89"/>
      <c r="F614" s="89"/>
      <c r="G614" s="89"/>
      <c r="H614" s="89"/>
      <c r="I614" s="89"/>
      <c r="J614" s="89"/>
      <c r="K614" s="89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</row>
    <row r="615" spans="1:26" ht="16.5" customHeight="1">
      <c r="A615" s="66"/>
      <c r="B615" s="66"/>
      <c r="C615" s="89"/>
      <c r="D615" s="89"/>
      <c r="E615" s="89"/>
      <c r="F615" s="89"/>
      <c r="G615" s="89"/>
      <c r="H615" s="89"/>
      <c r="I615" s="89"/>
      <c r="J615" s="89"/>
      <c r="K615" s="89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</row>
    <row r="616" spans="1:26" ht="16.5" customHeight="1">
      <c r="A616" s="66"/>
      <c r="B616" s="66"/>
      <c r="C616" s="89"/>
      <c r="D616" s="89"/>
      <c r="E616" s="89"/>
      <c r="F616" s="89"/>
      <c r="G616" s="89"/>
      <c r="H616" s="89"/>
      <c r="I616" s="89"/>
      <c r="J616" s="89"/>
      <c r="K616" s="89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</row>
    <row r="617" spans="1:26" ht="16.5" customHeight="1">
      <c r="A617" s="66"/>
      <c r="B617" s="66"/>
      <c r="C617" s="89"/>
      <c r="D617" s="89"/>
      <c r="E617" s="89"/>
      <c r="F617" s="89"/>
      <c r="G617" s="89"/>
      <c r="H617" s="89"/>
      <c r="I617" s="89"/>
      <c r="J617" s="89"/>
      <c r="K617" s="89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</row>
    <row r="618" spans="1:26" ht="16.5" customHeight="1">
      <c r="A618" s="66"/>
      <c r="B618" s="66"/>
      <c r="C618" s="89"/>
      <c r="D618" s="89"/>
      <c r="E618" s="89"/>
      <c r="F618" s="89"/>
      <c r="G618" s="89"/>
      <c r="H618" s="89"/>
      <c r="I618" s="89"/>
      <c r="J618" s="89"/>
      <c r="K618" s="89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</row>
    <row r="619" spans="1:26" ht="16.5" customHeight="1">
      <c r="A619" s="66"/>
      <c r="B619" s="66"/>
      <c r="C619" s="89"/>
      <c r="D619" s="89"/>
      <c r="E619" s="89"/>
      <c r="F619" s="89"/>
      <c r="G619" s="89"/>
      <c r="H619" s="89"/>
      <c r="I619" s="89"/>
      <c r="J619" s="89"/>
      <c r="K619" s="89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</row>
    <row r="620" spans="1:26" ht="16.5" customHeight="1">
      <c r="A620" s="66"/>
      <c r="B620" s="66"/>
      <c r="C620" s="89"/>
      <c r="D620" s="89"/>
      <c r="E620" s="89"/>
      <c r="F620" s="89"/>
      <c r="G620" s="89"/>
      <c r="H620" s="89"/>
      <c r="I620" s="89"/>
      <c r="J620" s="89"/>
      <c r="K620" s="89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</row>
    <row r="621" spans="1:26" ht="16.5" customHeight="1">
      <c r="A621" s="66"/>
      <c r="B621" s="66"/>
      <c r="C621" s="89"/>
      <c r="D621" s="89"/>
      <c r="E621" s="89"/>
      <c r="F621" s="89"/>
      <c r="G621" s="89"/>
      <c r="H621" s="89"/>
      <c r="I621" s="89"/>
      <c r="J621" s="89"/>
      <c r="K621" s="89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</row>
    <row r="622" spans="1:26" ht="16.5" customHeight="1">
      <c r="A622" s="66"/>
      <c r="B622" s="66"/>
      <c r="C622" s="89"/>
      <c r="D622" s="89"/>
      <c r="E622" s="89"/>
      <c r="F622" s="89"/>
      <c r="G622" s="89"/>
      <c r="H622" s="89"/>
      <c r="I622" s="89"/>
      <c r="J622" s="89"/>
      <c r="K622" s="89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</row>
    <row r="623" spans="1:26" ht="16.5" customHeight="1">
      <c r="A623" s="66"/>
      <c r="B623" s="66"/>
      <c r="C623" s="89"/>
      <c r="D623" s="89"/>
      <c r="E623" s="89"/>
      <c r="F623" s="89"/>
      <c r="G623" s="89"/>
      <c r="H623" s="89"/>
      <c r="I623" s="89"/>
      <c r="J623" s="89"/>
      <c r="K623" s="89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</row>
    <row r="624" spans="1:26" ht="16.5" customHeight="1">
      <c r="A624" s="66"/>
      <c r="B624" s="66"/>
      <c r="C624" s="89"/>
      <c r="D624" s="89"/>
      <c r="E624" s="89"/>
      <c r="F624" s="89"/>
      <c r="G624" s="89"/>
      <c r="H624" s="89"/>
      <c r="I624" s="89"/>
      <c r="J624" s="89"/>
      <c r="K624" s="89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</row>
    <row r="625" spans="1:26" ht="16.5" customHeight="1">
      <c r="A625" s="66"/>
      <c r="B625" s="66"/>
      <c r="C625" s="89"/>
      <c r="D625" s="89"/>
      <c r="E625" s="89"/>
      <c r="F625" s="89"/>
      <c r="G625" s="89"/>
      <c r="H625" s="89"/>
      <c r="I625" s="89"/>
      <c r="J625" s="89"/>
      <c r="K625" s="89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</row>
    <row r="626" spans="1:26" ht="16.5" customHeight="1">
      <c r="A626" s="66"/>
      <c r="B626" s="66"/>
      <c r="C626" s="89"/>
      <c r="D626" s="89"/>
      <c r="E626" s="89"/>
      <c r="F626" s="89"/>
      <c r="G626" s="89"/>
      <c r="H626" s="89"/>
      <c r="I626" s="89"/>
      <c r="J626" s="89"/>
      <c r="K626" s="89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</row>
    <row r="627" spans="1:26" ht="16.5" customHeight="1">
      <c r="A627" s="66"/>
      <c r="B627" s="66"/>
      <c r="C627" s="89"/>
      <c r="D627" s="89"/>
      <c r="E627" s="89"/>
      <c r="F627" s="89"/>
      <c r="G627" s="89"/>
      <c r="H627" s="89"/>
      <c r="I627" s="89"/>
      <c r="J627" s="89"/>
      <c r="K627" s="89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</row>
    <row r="628" spans="1:26" ht="16.5" customHeight="1">
      <c r="A628" s="66"/>
      <c r="B628" s="66"/>
      <c r="C628" s="89"/>
      <c r="D628" s="89"/>
      <c r="E628" s="89"/>
      <c r="F628" s="89"/>
      <c r="G628" s="89"/>
      <c r="H628" s="89"/>
      <c r="I628" s="89"/>
      <c r="J628" s="89"/>
      <c r="K628" s="89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</row>
    <row r="629" spans="1:26" ht="16.5" customHeight="1">
      <c r="A629" s="66"/>
      <c r="B629" s="66"/>
      <c r="C629" s="89"/>
      <c r="D629" s="89"/>
      <c r="E629" s="89"/>
      <c r="F629" s="89"/>
      <c r="G629" s="89"/>
      <c r="H629" s="89"/>
      <c r="I629" s="89"/>
      <c r="J629" s="89"/>
      <c r="K629" s="89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</row>
    <row r="630" spans="1:26" ht="16.5" customHeight="1">
      <c r="A630" s="66"/>
      <c r="B630" s="66"/>
      <c r="C630" s="89"/>
      <c r="D630" s="89"/>
      <c r="E630" s="89"/>
      <c r="F630" s="89"/>
      <c r="G630" s="89"/>
      <c r="H630" s="89"/>
      <c r="I630" s="89"/>
      <c r="J630" s="89"/>
      <c r="K630" s="89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</row>
    <row r="631" spans="1:26" ht="16.5" customHeight="1">
      <c r="A631" s="66"/>
      <c r="B631" s="66"/>
      <c r="C631" s="89"/>
      <c r="D631" s="89"/>
      <c r="E631" s="89"/>
      <c r="F631" s="89"/>
      <c r="G631" s="89"/>
      <c r="H631" s="89"/>
      <c r="I631" s="89"/>
      <c r="J631" s="89"/>
      <c r="K631" s="89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</row>
    <row r="632" spans="1:26" ht="16.5" customHeight="1">
      <c r="A632" s="66"/>
      <c r="B632" s="66"/>
      <c r="C632" s="89"/>
      <c r="D632" s="89"/>
      <c r="E632" s="89"/>
      <c r="F632" s="89"/>
      <c r="G632" s="89"/>
      <c r="H632" s="89"/>
      <c r="I632" s="89"/>
      <c r="J632" s="89"/>
      <c r="K632" s="89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</row>
    <row r="633" spans="1:26" ht="16.5" customHeight="1">
      <c r="A633" s="66"/>
      <c r="B633" s="66"/>
      <c r="C633" s="89"/>
      <c r="D633" s="89"/>
      <c r="E633" s="89"/>
      <c r="F633" s="89"/>
      <c r="G633" s="89"/>
      <c r="H633" s="89"/>
      <c r="I633" s="89"/>
      <c r="J633" s="89"/>
      <c r="K633" s="89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</row>
    <row r="634" spans="1:26" ht="16.5" customHeight="1">
      <c r="A634" s="66"/>
      <c r="B634" s="66"/>
      <c r="C634" s="89"/>
      <c r="D634" s="89"/>
      <c r="E634" s="89"/>
      <c r="F634" s="89"/>
      <c r="G634" s="89"/>
      <c r="H634" s="89"/>
      <c r="I634" s="89"/>
      <c r="J634" s="89"/>
      <c r="K634" s="89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</row>
    <row r="635" spans="1:26" ht="16.5" customHeight="1">
      <c r="A635" s="66"/>
      <c r="B635" s="66"/>
      <c r="C635" s="89"/>
      <c r="D635" s="89"/>
      <c r="E635" s="89"/>
      <c r="F635" s="89"/>
      <c r="G635" s="89"/>
      <c r="H635" s="89"/>
      <c r="I635" s="89"/>
      <c r="J635" s="89"/>
      <c r="K635" s="89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</row>
    <row r="636" spans="1:26" ht="16.5" customHeight="1">
      <c r="A636" s="66"/>
      <c r="B636" s="66"/>
      <c r="C636" s="89"/>
      <c r="D636" s="89"/>
      <c r="E636" s="89"/>
      <c r="F636" s="89"/>
      <c r="G636" s="89"/>
      <c r="H636" s="89"/>
      <c r="I636" s="89"/>
      <c r="J636" s="89"/>
      <c r="K636" s="89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</row>
    <row r="637" spans="1:26" ht="16.5" customHeight="1">
      <c r="A637" s="66"/>
      <c r="B637" s="66"/>
      <c r="C637" s="89"/>
      <c r="D637" s="89"/>
      <c r="E637" s="89"/>
      <c r="F637" s="89"/>
      <c r="G637" s="89"/>
      <c r="H637" s="89"/>
      <c r="I637" s="89"/>
      <c r="J637" s="89"/>
      <c r="K637" s="89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</row>
    <row r="638" spans="1:26" ht="16.5" customHeight="1">
      <c r="A638" s="66"/>
      <c r="B638" s="66"/>
      <c r="C638" s="89"/>
      <c r="D638" s="89"/>
      <c r="E638" s="89"/>
      <c r="F638" s="89"/>
      <c r="G638" s="89"/>
      <c r="H638" s="89"/>
      <c r="I638" s="89"/>
      <c r="J638" s="89"/>
      <c r="K638" s="89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</row>
    <row r="639" spans="1:26" ht="16.5" customHeight="1">
      <c r="A639" s="66"/>
      <c r="B639" s="66"/>
      <c r="C639" s="89"/>
      <c r="D639" s="89"/>
      <c r="E639" s="89"/>
      <c r="F639" s="89"/>
      <c r="G639" s="89"/>
      <c r="H639" s="89"/>
      <c r="I639" s="89"/>
      <c r="J639" s="89"/>
      <c r="K639" s="89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</row>
    <row r="640" spans="1:26" ht="16.5" customHeight="1">
      <c r="A640" s="66"/>
      <c r="B640" s="66"/>
      <c r="C640" s="89"/>
      <c r="D640" s="89"/>
      <c r="E640" s="89"/>
      <c r="F640" s="89"/>
      <c r="G640" s="89"/>
      <c r="H640" s="89"/>
      <c r="I640" s="89"/>
      <c r="J640" s="89"/>
      <c r="K640" s="89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</row>
    <row r="641" spans="1:26" ht="16.5" customHeight="1">
      <c r="A641" s="66"/>
      <c r="B641" s="66"/>
      <c r="C641" s="89"/>
      <c r="D641" s="89"/>
      <c r="E641" s="89"/>
      <c r="F641" s="89"/>
      <c r="G641" s="89"/>
      <c r="H641" s="89"/>
      <c r="I641" s="89"/>
      <c r="J641" s="89"/>
      <c r="K641" s="89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</row>
    <row r="642" spans="1:26" ht="16.5" customHeight="1">
      <c r="A642" s="66"/>
      <c r="B642" s="66"/>
      <c r="C642" s="89"/>
      <c r="D642" s="89"/>
      <c r="E642" s="89"/>
      <c r="F642" s="89"/>
      <c r="G642" s="89"/>
      <c r="H642" s="89"/>
      <c r="I642" s="89"/>
      <c r="J642" s="89"/>
      <c r="K642" s="89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</row>
    <row r="643" spans="1:26" ht="16.5" customHeight="1">
      <c r="A643" s="66"/>
      <c r="B643" s="66"/>
      <c r="C643" s="89"/>
      <c r="D643" s="89"/>
      <c r="E643" s="89"/>
      <c r="F643" s="89"/>
      <c r="G643" s="89"/>
      <c r="H643" s="89"/>
      <c r="I643" s="89"/>
      <c r="J643" s="89"/>
      <c r="K643" s="89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</row>
    <row r="644" spans="1:26" ht="16.5" customHeight="1">
      <c r="A644" s="66"/>
      <c r="B644" s="66"/>
      <c r="C644" s="89"/>
      <c r="D644" s="89"/>
      <c r="E644" s="89"/>
      <c r="F644" s="89"/>
      <c r="G644" s="89"/>
      <c r="H644" s="89"/>
      <c r="I644" s="89"/>
      <c r="J644" s="89"/>
      <c r="K644" s="89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</row>
    <row r="645" spans="1:26" ht="16.5" customHeight="1">
      <c r="A645" s="66"/>
      <c r="B645" s="66"/>
      <c r="C645" s="89"/>
      <c r="D645" s="89"/>
      <c r="E645" s="89"/>
      <c r="F645" s="89"/>
      <c r="G645" s="89"/>
      <c r="H645" s="89"/>
      <c r="I645" s="89"/>
      <c r="J645" s="89"/>
      <c r="K645" s="89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</row>
    <row r="646" spans="1:26" ht="16.5" customHeight="1">
      <c r="A646" s="66"/>
      <c r="B646" s="66"/>
      <c r="C646" s="89"/>
      <c r="D646" s="89"/>
      <c r="E646" s="89"/>
      <c r="F646" s="89"/>
      <c r="G646" s="89"/>
      <c r="H646" s="89"/>
      <c r="I646" s="89"/>
      <c r="J646" s="89"/>
      <c r="K646" s="89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</row>
    <row r="647" spans="1:26" ht="16.5" customHeight="1">
      <c r="A647" s="66"/>
      <c r="B647" s="66"/>
      <c r="C647" s="89"/>
      <c r="D647" s="89"/>
      <c r="E647" s="89"/>
      <c r="F647" s="89"/>
      <c r="G647" s="89"/>
      <c r="H647" s="89"/>
      <c r="I647" s="89"/>
      <c r="J647" s="89"/>
      <c r="K647" s="89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</row>
    <row r="648" spans="1:26" ht="16.5" customHeight="1">
      <c r="A648" s="66"/>
      <c r="B648" s="66"/>
      <c r="C648" s="89"/>
      <c r="D648" s="89"/>
      <c r="E648" s="89"/>
      <c r="F648" s="89"/>
      <c r="G648" s="89"/>
      <c r="H648" s="89"/>
      <c r="I648" s="89"/>
      <c r="J648" s="89"/>
      <c r="K648" s="89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</row>
    <row r="649" spans="1:26" ht="16.5" customHeight="1">
      <c r="A649" s="66"/>
      <c r="B649" s="66"/>
      <c r="C649" s="89"/>
      <c r="D649" s="89"/>
      <c r="E649" s="89"/>
      <c r="F649" s="89"/>
      <c r="G649" s="89"/>
      <c r="H649" s="89"/>
      <c r="I649" s="89"/>
      <c r="J649" s="89"/>
      <c r="K649" s="89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</row>
    <row r="650" spans="1:26" ht="16.5" customHeight="1">
      <c r="A650" s="66"/>
      <c r="B650" s="66"/>
      <c r="C650" s="89"/>
      <c r="D650" s="89"/>
      <c r="E650" s="89"/>
      <c r="F650" s="89"/>
      <c r="G650" s="89"/>
      <c r="H650" s="89"/>
      <c r="I650" s="89"/>
      <c r="J650" s="89"/>
      <c r="K650" s="89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</row>
    <row r="651" spans="1:26" ht="16.5" customHeight="1">
      <c r="A651" s="66"/>
      <c r="B651" s="66"/>
      <c r="C651" s="89"/>
      <c r="D651" s="89"/>
      <c r="E651" s="89"/>
      <c r="F651" s="89"/>
      <c r="G651" s="89"/>
      <c r="H651" s="89"/>
      <c r="I651" s="89"/>
      <c r="J651" s="89"/>
      <c r="K651" s="89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</row>
    <row r="652" spans="1:26" ht="16.5" customHeight="1">
      <c r="A652" s="66"/>
      <c r="B652" s="66"/>
      <c r="C652" s="89"/>
      <c r="D652" s="89"/>
      <c r="E652" s="89"/>
      <c r="F652" s="89"/>
      <c r="G652" s="89"/>
      <c r="H652" s="89"/>
      <c r="I652" s="89"/>
      <c r="J652" s="89"/>
      <c r="K652" s="89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</row>
    <row r="653" spans="1:26" ht="16.5" customHeight="1">
      <c r="A653" s="66"/>
      <c r="B653" s="66"/>
      <c r="C653" s="89"/>
      <c r="D653" s="89"/>
      <c r="E653" s="89"/>
      <c r="F653" s="89"/>
      <c r="G653" s="89"/>
      <c r="H653" s="89"/>
      <c r="I653" s="89"/>
      <c r="J653" s="89"/>
      <c r="K653" s="89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</row>
    <row r="654" spans="1:26" ht="16.5" customHeight="1">
      <c r="A654" s="66"/>
      <c r="B654" s="66"/>
      <c r="C654" s="89"/>
      <c r="D654" s="89"/>
      <c r="E654" s="89"/>
      <c r="F654" s="89"/>
      <c r="G654" s="89"/>
      <c r="H654" s="89"/>
      <c r="I654" s="89"/>
      <c r="J654" s="89"/>
      <c r="K654" s="89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</row>
    <row r="655" spans="1:26" ht="16.5" customHeight="1">
      <c r="A655" s="66"/>
      <c r="B655" s="66"/>
      <c r="C655" s="89"/>
      <c r="D655" s="89"/>
      <c r="E655" s="89"/>
      <c r="F655" s="89"/>
      <c r="G655" s="89"/>
      <c r="H655" s="89"/>
      <c r="I655" s="89"/>
      <c r="J655" s="89"/>
      <c r="K655" s="89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</row>
    <row r="656" spans="1:26" ht="16.5" customHeight="1">
      <c r="A656" s="66"/>
      <c r="B656" s="66"/>
      <c r="C656" s="89"/>
      <c r="D656" s="89"/>
      <c r="E656" s="89"/>
      <c r="F656" s="89"/>
      <c r="G656" s="89"/>
      <c r="H656" s="89"/>
      <c r="I656" s="89"/>
      <c r="J656" s="89"/>
      <c r="K656" s="89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</row>
    <row r="657" spans="1:26" ht="16.5" customHeight="1">
      <c r="A657" s="66"/>
      <c r="B657" s="66"/>
      <c r="C657" s="89"/>
      <c r="D657" s="89"/>
      <c r="E657" s="89"/>
      <c r="F657" s="89"/>
      <c r="G657" s="89"/>
      <c r="H657" s="89"/>
      <c r="I657" s="89"/>
      <c r="J657" s="89"/>
      <c r="K657" s="89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</row>
    <row r="658" spans="1:26" ht="16.5" customHeight="1">
      <c r="A658" s="66"/>
      <c r="B658" s="66"/>
      <c r="C658" s="89"/>
      <c r="D658" s="89"/>
      <c r="E658" s="89"/>
      <c r="F658" s="89"/>
      <c r="G658" s="89"/>
      <c r="H658" s="89"/>
      <c r="I658" s="89"/>
      <c r="J658" s="89"/>
      <c r="K658" s="89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</row>
    <row r="659" spans="1:26" ht="16.5" customHeight="1">
      <c r="A659" s="66"/>
      <c r="B659" s="66"/>
      <c r="C659" s="89"/>
      <c r="D659" s="89"/>
      <c r="E659" s="89"/>
      <c r="F659" s="89"/>
      <c r="G659" s="89"/>
      <c r="H659" s="89"/>
      <c r="I659" s="89"/>
      <c r="J659" s="89"/>
      <c r="K659" s="89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</row>
    <row r="660" spans="1:26" ht="16.5" customHeight="1">
      <c r="A660" s="66"/>
      <c r="B660" s="66"/>
      <c r="C660" s="89"/>
      <c r="D660" s="89"/>
      <c r="E660" s="89"/>
      <c r="F660" s="89"/>
      <c r="G660" s="89"/>
      <c r="H660" s="89"/>
      <c r="I660" s="89"/>
      <c r="J660" s="89"/>
      <c r="K660" s="89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</row>
    <row r="661" spans="1:26" ht="16.5" customHeight="1">
      <c r="A661" s="66"/>
      <c r="B661" s="66"/>
      <c r="C661" s="89"/>
      <c r="D661" s="89"/>
      <c r="E661" s="89"/>
      <c r="F661" s="89"/>
      <c r="G661" s="89"/>
      <c r="H661" s="89"/>
      <c r="I661" s="89"/>
      <c r="J661" s="89"/>
      <c r="K661" s="89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</row>
    <row r="662" spans="1:26" ht="16.5" customHeight="1">
      <c r="A662" s="66"/>
      <c r="B662" s="66"/>
      <c r="C662" s="89"/>
      <c r="D662" s="89"/>
      <c r="E662" s="89"/>
      <c r="F662" s="89"/>
      <c r="G662" s="89"/>
      <c r="H662" s="89"/>
      <c r="I662" s="89"/>
      <c r="J662" s="89"/>
      <c r="K662" s="89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</row>
    <row r="663" spans="1:26" ht="16.5" customHeight="1">
      <c r="A663" s="66"/>
      <c r="B663" s="66"/>
      <c r="C663" s="89"/>
      <c r="D663" s="89"/>
      <c r="E663" s="89"/>
      <c r="F663" s="89"/>
      <c r="G663" s="89"/>
      <c r="H663" s="89"/>
      <c r="I663" s="89"/>
      <c r="J663" s="89"/>
      <c r="K663" s="89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</row>
    <row r="664" spans="1:26" ht="16.5" customHeight="1">
      <c r="A664" s="66"/>
      <c r="B664" s="66"/>
      <c r="C664" s="89"/>
      <c r="D664" s="89"/>
      <c r="E664" s="89"/>
      <c r="F664" s="89"/>
      <c r="G664" s="89"/>
      <c r="H664" s="89"/>
      <c r="I664" s="89"/>
      <c r="J664" s="89"/>
      <c r="K664" s="89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</row>
    <row r="665" spans="1:26" ht="16.5" customHeight="1">
      <c r="A665" s="66"/>
      <c r="B665" s="66"/>
      <c r="C665" s="89"/>
      <c r="D665" s="89"/>
      <c r="E665" s="89"/>
      <c r="F665" s="89"/>
      <c r="G665" s="89"/>
      <c r="H665" s="89"/>
      <c r="I665" s="89"/>
      <c r="J665" s="89"/>
      <c r="K665" s="89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</row>
    <row r="666" spans="1:26" ht="16.5" customHeight="1">
      <c r="A666" s="66"/>
      <c r="B666" s="66"/>
      <c r="C666" s="89"/>
      <c r="D666" s="89"/>
      <c r="E666" s="89"/>
      <c r="F666" s="89"/>
      <c r="G666" s="89"/>
      <c r="H666" s="89"/>
      <c r="I666" s="89"/>
      <c r="J666" s="89"/>
      <c r="K666" s="89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</row>
    <row r="667" spans="1:26" ht="16.5" customHeight="1">
      <c r="A667" s="66"/>
      <c r="B667" s="66"/>
      <c r="C667" s="89"/>
      <c r="D667" s="89"/>
      <c r="E667" s="89"/>
      <c r="F667" s="89"/>
      <c r="G667" s="89"/>
      <c r="H667" s="89"/>
      <c r="I667" s="89"/>
      <c r="J667" s="89"/>
      <c r="K667" s="89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</row>
    <row r="668" spans="1:26" ht="16.5" customHeight="1">
      <c r="A668" s="66"/>
      <c r="B668" s="66"/>
      <c r="C668" s="89"/>
      <c r="D668" s="89"/>
      <c r="E668" s="89"/>
      <c r="F668" s="89"/>
      <c r="G668" s="89"/>
      <c r="H668" s="89"/>
      <c r="I668" s="89"/>
      <c r="J668" s="89"/>
      <c r="K668" s="89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</row>
    <row r="669" spans="1:26" ht="16.5" customHeight="1">
      <c r="A669" s="66"/>
      <c r="B669" s="66"/>
      <c r="C669" s="89"/>
      <c r="D669" s="89"/>
      <c r="E669" s="89"/>
      <c r="F669" s="89"/>
      <c r="G669" s="89"/>
      <c r="H669" s="89"/>
      <c r="I669" s="89"/>
      <c r="J669" s="89"/>
      <c r="K669" s="89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</row>
    <row r="670" spans="1:26" ht="16.5" customHeight="1">
      <c r="A670" s="66"/>
      <c r="B670" s="66"/>
      <c r="C670" s="89"/>
      <c r="D670" s="89"/>
      <c r="E670" s="89"/>
      <c r="F670" s="89"/>
      <c r="G670" s="89"/>
      <c r="H670" s="89"/>
      <c r="I670" s="89"/>
      <c r="J670" s="89"/>
      <c r="K670" s="89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</row>
    <row r="671" spans="1:26" ht="16.5" customHeight="1">
      <c r="A671" s="66"/>
      <c r="B671" s="66"/>
      <c r="C671" s="89"/>
      <c r="D671" s="89"/>
      <c r="E671" s="89"/>
      <c r="F671" s="89"/>
      <c r="G671" s="89"/>
      <c r="H671" s="89"/>
      <c r="I671" s="89"/>
      <c r="J671" s="89"/>
      <c r="K671" s="89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</row>
    <row r="672" spans="1:26" ht="16.5" customHeight="1">
      <c r="A672" s="66"/>
      <c r="B672" s="66"/>
      <c r="C672" s="89"/>
      <c r="D672" s="89"/>
      <c r="E672" s="89"/>
      <c r="F672" s="89"/>
      <c r="G672" s="89"/>
      <c r="H672" s="89"/>
      <c r="I672" s="89"/>
      <c r="J672" s="89"/>
      <c r="K672" s="89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</row>
    <row r="673" spans="1:26" ht="16.5" customHeight="1">
      <c r="A673" s="66"/>
      <c r="B673" s="66"/>
      <c r="C673" s="89"/>
      <c r="D673" s="89"/>
      <c r="E673" s="89"/>
      <c r="F673" s="89"/>
      <c r="G673" s="89"/>
      <c r="H673" s="89"/>
      <c r="I673" s="89"/>
      <c r="J673" s="89"/>
      <c r="K673" s="89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</row>
    <row r="674" spans="1:26" ht="16.5" customHeight="1">
      <c r="A674" s="66"/>
      <c r="B674" s="66"/>
      <c r="C674" s="89"/>
      <c r="D674" s="89"/>
      <c r="E674" s="89"/>
      <c r="F674" s="89"/>
      <c r="G674" s="89"/>
      <c r="H674" s="89"/>
      <c r="I674" s="89"/>
      <c r="J674" s="89"/>
      <c r="K674" s="89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</row>
    <row r="675" spans="1:26" ht="16.5" customHeight="1">
      <c r="A675" s="66"/>
      <c r="B675" s="66"/>
      <c r="C675" s="89"/>
      <c r="D675" s="89"/>
      <c r="E675" s="89"/>
      <c r="F675" s="89"/>
      <c r="G675" s="89"/>
      <c r="H675" s="89"/>
      <c r="I675" s="89"/>
      <c r="J675" s="89"/>
      <c r="K675" s="89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</row>
    <row r="676" spans="1:26" ht="16.5" customHeight="1">
      <c r="A676" s="66"/>
      <c r="B676" s="66"/>
      <c r="C676" s="89"/>
      <c r="D676" s="89"/>
      <c r="E676" s="89"/>
      <c r="F676" s="89"/>
      <c r="G676" s="89"/>
      <c r="H676" s="89"/>
      <c r="I676" s="89"/>
      <c r="J676" s="89"/>
      <c r="K676" s="89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</row>
    <row r="677" spans="1:26" ht="16.5" customHeight="1">
      <c r="A677" s="66"/>
      <c r="B677" s="66"/>
      <c r="C677" s="89"/>
      <c r="D677" s="89"/>
      <c r="E677" s="89"/>
      <c r="F677" s="89"/>
      <c r="G677" s="89"/>
      <c r="H677" s="89"/>
      <c r="I677" s="89"/>
      <c r="J677" s="89"/>
      <c r="K677" s="89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</row>
    <row r="678" spans="1:26" ht="16.5" customHeight="1">
      <c r="A678" s="66"/>
      <c r="B678" s="66"/>
      <c r="C678" s="89"/>
      <c r="D678" s="89"/>
      <c r="E678" s="89"/>
      <c r="F678" s="89"/>
      <c r="G678" s="89"/>
      <c r="H678" s="89"/>
      <c r="I678" s="89"/>
      <c r="J678" s="89"/>
      <c r="K678" s="89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</row>
    <row r="679" spans="1:26" ht="16.5" customHeight="1">
      <c r="A679" s="66"/>
      <c r="B679" s="66"/>
      <c r="C679" s="89"/>
      <c r="D679" s="89"/>
      <c r="E679" s="89"/>
      <c r="F679" s="89"/>
      <c r="G679" s="89"/>
      <c r="H679" s="89"/>
      <c r="I679" s="89"/>
      <c r="J679" s="89"/>
      <c r="K679" s="89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</row>
    <row r="680" spans="1:26" ht="16.5" customHeight="1">
      <c r="A680" s="66"/>
      <c r="B680" s="66"/>
      <c r="C680" s="89"/>
      <c r="D680" s="89"/>
      <c r="E680" s="89"/>
      <c r="F680" s="89"/>
      <c r="G680" s="89"/>
      <c r="H680" s="89"/>
      <c r="I680" s="89"/>
      <c r="J680" s="89"/>
      <c r="K680" s="89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</row>
    <row r="681" spans="1:26" ht="16.5" customHeight="1">
      <c r="A681" s="66"/>
      <c r="B681" s="66"/>
      <c r="C681" s="89"/>
      <c r="D681" s="89"/>
      <c r="E681" s="89"/>
      <c r="F681" s="89"/>
      <c r="G681" s="89"/>
      <c r="H681" s="89"/>
      <c r="I681" s="89"/>
      <c r="J681" s="89"/>
      <c r="K681" s="89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</row>
    <row r="682" spans="1:26" ht="16.5" customHeight="1">
      <c r="A682" s="66"/>
      <c r="B682" s="66"/>
      <c r="C682" s="89"/>
      <c r="D682" s="89"/>
      <c r="E682" s="89"/>
      <c r="F682" s="89"/>
      <c r="G682" s="89"/>
      <c r="H682" s="89"/>
      <c r="I682" s="89"/>
      <c r="J682" s="89"/>
      <c r="K682" s="89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</row>
    <row r="683" spans="1:26" ht="16.5" customHeight="1">
      <c r="A683" s="66"/>
      <c r="B683" s="66"/>
      <c r="C683" s="89"/>
      <c r="D683" s="89"/>
      <c r="E683" s="89"/>
      <c r="F683" s="89"/>
      <c r="G683" s="89"/>
      <c r="H683" s="89"/>
      <c r="I683" s="89"/>
      <c r="J683" s="89"/>
      <c r="K683" s="89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</row>
    <row r="684" spans="1:26" ht="16.5" customHeight="1">
      <c r="A684" s="66"/>
      <c r="B684" s="66"/>
      <c r="C684" s="89"/>
      <c r="D684" s="89"/>
      <c r="E684" s="89"/>
      <c r="F684" s="89"/>
      <c r="G684" s="89"/>
      <c r="H684" s="89"/>
      <c r="I684" s="89"/>
      <c r="J684" s="89"/>
      <c r="K684" s="89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</row>
    <row r="685" spans="1:26" ht="16.5" customHeight="1">
      <c r="A685" s="66"/>
      <c r="B685" s="66"/>
      <c r="C685" s="89"/>
      <c r="D685" s="89"/>
      <c r="E685" s="89"/>
      <c r="F685" s="89"/>
      <c r="G685" s="89"/>
      <c r="H685" s="89"/>
      <c r="I685" s="89"/>
      <c r="J685" s="89"/>
      <c r="K685" s="89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</row>
    <row r="686" spans="1:26" ht="16.5" customHeight="1">
      <c r="A686" s="66"/>
      <c r="B686" s="66"/>
      <c r="C686" s="89"/>
      <c r="D686" s="89"/>
      <c r="E686" s="89"/>
      <c r="F686" s="89"/>
      <c r="G686" s="89"/>
      <c r="H686" s="89"/>
      <c r="I686" s="89"/>
      <c r="J686" s="89"/>
      <c r="K686" s="89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</row>
    <row r="687" spans="1:26" ht="16.5" customHeight="1">
      <c r="A687" s="66"/>
      <c r="B687" s="66"/>
      <c r="C687" s="89"/>
      <c r="D687" s="89"/>
      <c r="E687" s="89"/>
      <c r="F687" s="89"/>
      <c r="G687" s="89"/>
      <c r="H687" s="89"/>
      <c r="I687" s="89"/>
      <c r="J687" s="89"/>
      <c r="K687" s="89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</row>
    <row r="688" spans="1:26" ht="16.5" customHeight="1">
      <c r="A688" s="66"/>
      <c r="B688" s="66"/>
      <c r="C688" s="89"/>
      <c r="D688" s="89"/>
      <c r="E688" s="89"/>
      <c r="F688" s="89"/>
      <c r="G688" s="89"/>
      <c r="H688" s="89"/>
      <c r="I688" s="89"/>
      <c r="J688" s="89"/>
      <c r="K688" s="89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</row>
    <row r="689" spans="1:26" ht="16.5" customHeight="1">
      <c r="A689" s="66"/>
      <c r="B689" s="66"/>
      <c r="C689" s="89"/>
      <c r="D689" s="89"/>
      <c r="E689" s="89"/>
      <c r="F689" s="89"/>
      <c r="G689" s="89"/>
      <c r="H689" s="89"/>
      <c r="I689" s="89"/>
      <c r="J689" s="89"/>
      <c r="K689" s="89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</row>
    <row r="690" spans="1:26" ht="16.5" customHeight="1">
      <c r="A690" s="66"/>
      <c r="B690" s="66"/>
      <c r="C690" s="89"/>
      <c r="D690" s="89"/>
      <c r="E690" s="89"/>
      <c r="F690" s="89"/>
      <c r="G690" s="89"/>
      <c r="H690" s="89"/>
      <c r="I690" s="89"/>
      <c r="J690" s="89"/>
      <c r="K690" s="89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</row>
    <row r="691" spans="1:26" ht="16.5" customHeight="1">
      <c r="A691" s="66"/>
      <c r="B691" s="66"/>
      <c r="C691" s="89"/>
      <c r="D691" s="89"/>
      <c r="E691" s="89"/>
      <c r="F691" s="89"/>
      <c r="G691" s="89"/>
      <c r="H691" s="89"/>
      <c r="I691" s="89"/>
      <c r="J691" s="89"/>
      <c r="K691" s="89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</row>
    <row r="692" spans="1:26" ht="16.5" customHeight="1">
      <c r="A692" s="66"/>
      <c r="B692" s="66"/>
      <c r="C692" s="89"/>
      <c r="D692" s="89"/>
      <c r="E692" s="89"/>
      <c r="F692" s="89"/>
      <c r="G692" s="89"/>
      <c r="H692" s="89"/>
      <c r="I692" s="89"/>
      <c r="J692" s="89"/>
      <c r="K692" s="89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</row>
    <row r="693" spans="1:26" ht="16.5" customHeight="1">
      <c r="A693" s="66"/>
      <c r="B693" s="66"/>
      <c r="C693" s="89"/>
      <c r="D693" s="89"/>
      <c r="E693" s="89"/>
      <c r="F693" s="89"/>
      <c r="G693" s="89"/>
      <c r="H693" s="89"/>
      <c r="I693" s="89"/>
      <c r="J693" s="89"/>
      <c r="K693" s="89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</row>
    <row r="694" spans="1:26" ht="16.5" customHeight="1">
      <c r="A694" s="66"/>
      <c r="B694" s="66"/>
      <c r="C694" s="89"/>
      <c r="D694" s="89"/>
      <c r="E694" s="89"/>
      <c r="F694" s="89"/>
      <c r="G694" s="89"/>
      <c r="H694" s="89"/>
      <c r="I694" s="89"/>
      <c r="J694" s="89"/>
      <c r="K694" s="89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</row>
    <row r="695" spans="1:26" ht="16.5" customHeight="1">
      <c r="A695" s="66"/>
      <c r="B695" s="66"/>
      <c r="C695" s="89"/>
      <c r="D695" s="89"/>
      <c r="E695" s="89"/>
      <c r="F695" s="89"/>
      <c r="G695" s="89"/>
      <c r="H695" s="89"/>
      <c r="I695" s="89"/>
      <c r="J695" s="89"/>
      <c r="K695" s="89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</row>
    <row r="696" spans="1:26" ht="16.5" customHeight="1">
      <c r="A696" s="66"/>
      <c r="B696" s="66"/>
      <c r="C696" s="89"/>
      <c r="D696" s="89"/>
      <c r="E696" s="89"/>
      <c r="F696" s="89"/>
      <c r="G696" s="89"/>
      <c r="H696" s="89"/>
      <c r="I696" s="89"/>
      <c r="J696" s="89"/>
      <c r="K696" s="89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</row>
    <row r="697" spans="1:26" ht="16.5" customHeight="1">
      <c r="A697" s="66"/>
      <c r="B697" s="66"/>
      <c r="C697" s="89"/>
      <c r="D697" s="89"/>
      <c r="E697" s="89"/>
      <c r="F697" s="89"/>
      <c r="G697" s="89"/>
      <c r="H697" s="89"/>
      <c r="I697" s="89"/>
      <c r="J697" s="89"/>
      <c r="K697" s="89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</row>
    <row r="698" spans="1:26" ht="16.5" customHeight="1">
      <c r="A698" s="66"/>
      <c r="B698" s="66"/>
      <c r="C698" s="89"/>
      <c r="D698" s="89"/>
      <c r="E698" s="89"/>
      <c r="F698" s="89"/>
      <c r="G698" s="89"/>
      <c r="H698" s="89"/>
      <c r="I698" s="89"/>
      <c r="J698" s="89"/>
      <c r="K698" s="89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</row>
    <row r="699" spans="1:26" ht="16.5" customHeight="1">
      <c r="A699" s="66"/>
      <c r="B699" s="66"/>
      <c r="C699" s="89"/>
      <c r="D699" s="89"/>
      <c r="E699" s="89"/>
      <c r="F699" s="89"/>
      <c r="G699" s="89"/>
      <c r="H699" s="89"/>
      <c r="I699" s="89"/>
      <c r="J699" s="89"/>
      <c r="K699" s="89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</row>
    <row r="700" spans="1:26" ht="16.5" customHeight="1">
      <c r="A700" s="66"/>
      <c r="B700" s="66"/>
      <c r="C700" s="89"/>
      <c r="D700" s="89"/>
      <c r="E700" s="89"/>
      <c r="F700" s="89"/>
      <c r="G700" s="89"/>
      <c r="H700" s="89"/>
      <c r="I700" s="89"/>
      <c r="J700" s="89"/>
      <c r="K700" s="89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</row>
    <row r="701" spans="1:26" ht="16.5" customHeight="1">
      <c r="A701" s="66"/>
      <c r="B701" s="66"/>
      <c r="C701" s="89"/>
      <c r="D701" s="89"/>
      <c r="E701" s="89"/>
      <c r="F701" s="89"/>
      <c r="G701" s="89"/>
      <c r="H701" s="89"/>
      <c r="I701" s="89"/>
      <c r="J701" s="89"/>
      <c r="K701" s="89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</row>
    <row r="702" spans="1:26" ht="16.5" customHeight="1">
      <c r="A702" s="66"/>
      <c r="B702" s="66"/>
      <c r="C702" s="89"/>
      <c r="D702" s="89"/>
      <c r="E702" s="89"/>
      <c r="F702" s="89"/>
      <c r="G702" s="89"/>
      <c r="H702" s="89"/>
      <c r="I702" s="89"/>
      <c r="J702" s="89"/>
      <c r="K702" s="89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</row>
    <row r="703" spans="1:26" ht="16.5" customHeight="1">
      <c r="A703" s="66"/>
      <c r="B703" s="66"/>
      <c r="C703" s="89"/>
      <c r="D703" s="89"/>
      <c r="E703" s="89"/>
      <c r="F703" s="89"/>
      <c r="G703" s="89"/>
      <c r="H703" s="89"/>
      <c r="I703" s="89"/>
      <c r="J703" s="89"/>
      <c r="K703" s="89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</row>
    <row r="704" spans="1:26" ht="16.5" customHeight="1">
      <c r="A704" s="66"/>
      <c r="B704" s="66"/>
      <c r="C704" s="89"/>
      <c r="D704" s="89"/>
      <c r="E704" s="89"/>
      <c r="F704" s="89"/>
      <c r="G704" s="89"/>
      <c r="H704" s="89"/>
      <c r="I704" s="89"/>
      <c r="J704" s="89"/>
      <c r="K704" s="89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</row>
    <row r="705" spans="1:26" ht="16.5" customHeight="1">
      <c r="A705" s="66"/>
      <c r="B705" s="66"/>
      <c r="C705" s="89"/>
      <c r="D705" s="89"/>
      <c r="E705" s="89"/>
      <c r="F705" s="89"/>
      <c r="G705" s="89"/>
      <c r="H705" s="89"/>
      <c r="I705" s="89"/>
      <c r="J705" s="89"/>
      <c r="K705" s="89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</row>
    <row r="706" spans="1:26" ht="16.5" customHeight="1">
      <c r="A706" s="66"/>
      <c r="B706" s="66"/>
      <c r="C706" s="89"/>
      <c r="D706" s="89"/>
      <c r="E706" s="89"/>
      <c r="F706" s="89"/>
      <c r="G706" s="89"/>
      <c r="H706" s="89"/>
      <c r="I706" s="89"/>
      <c r="J706" s="89"/>
      <c r="K706" s="89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</row>
    <row r="707" spans="1:26" ht="16.5" customHeight="1">
      <c r="A707" s="66"/>
      <c r="B707" s="66"/>
      <c r="C707" s="89"/>
      <c r="D707" s="89"/>
      <c r="E707" s="89"/>
      <c r="F707" s="89"/>
      <c r="G707" s="89"/>
      <c r="H707" s="89"/>
      <c r="I707" s="89"/>
      <c r="J707" s="89"/>
      <c r="K707" s="89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</row>
    <row r="708" spans="1:26" ht="16.5" customHeight="1">
      <c r="A708" s="66"/>
      <c r="B708" s="66"/>
      <c r="C708" s="89"/>
      <c r="D708" s="89"/>
      <c r="E708" s="89"/>
      <c r="F708" s="89"/>
      <c r="G708" s="89"/>
      <c r="H708" s="89"/>
      <c r="I708" s="89"/>
      <c r="J708" s="89"/>
      <c r="K708" s="89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</row>
    <row r="709" spans="1:26" ht="16.5" customHeight="1">
      <c r="A709" s="66"/>
      <c r="B709" s="66"/>
      <c r="C709" s="89"/>
      <c r="D709" s="89"/>
      <c r="E709" s="89"/>
      <c r="F709" s="89"/>
      <c r="G709" s="89"/>
      <c r="H709" s="89"/>
      <c r="I709" s="89"/>
      <c r="J709" s="89"/>
      <c r="K709" s="89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</row>
    <row r="710" spans="1:26" ht="16.5" customHeight="1">
      <c r="A710" s="66"/>
      <c r="B710" s="66"/>
      <c r="C710" s="89"/>
      <c r="D710" s="89"/>
      <c r="E710" s="89"/>
      <c r="F710" s="89"/>
      <c r="G710" s="89"/>
      <c r="H710" s="89"/>
      <c r="I710" s="89"/>
      <c r="J710" s="89"/>
      <c r="K710" s="89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</row>
    <row r="711" spans="1:26" ht="16.5" customHeight="1">
      <c r="A711" s="66"/>
      <c r="B711" s="66"/>
      <c r="C711" s="89"/>
      <c r="D711" s="89"/>
      <c r="E711" s="89"/>
      <c r="F711" s="89"/>
      <c r="G711" s="89"/>
      <c r="H711" s="89"/>
      <c r="I711" s="89"/>
      <c r="J711" s="89"/>
      <c r="K711" s="89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</row>
    <row r="712" spans="1:26" ht="16.5" customHeight="1">
      <c r="A712" s="66"/>
      <c r="B712" s="66"/>
      <c r="C712" s="89"/>
      <c r="D712" s="89"/>
      <c r="E712" s="89"/>
      <c r="F712" s="89"/>
      <c r="G712" s="89"/>
      <c r="H712" s="89"/>
      <c r="I712" s="89"/>
      <c r="J712" s="89"/>
      <c r="K712" s="89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</row>
    <row r="713" spans="1:26" ht="16.5" customHeight="1">
      <c r="A713" s="66"/>
      <c r="B713" s="66"/>
      <c r="C713" s="89"/>
      <c r="D713" s="89"/>
      <c r="E713" s="89"/>
      <c r="F713" s="89"/>
      <c r="G713" s="89"/>
      <c r="H713" s="89"/>
      <c r="I713" s="89"/>
      <c r="J713" s="89"/>
      <c r="K713" s="89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</row>
    <row r="714" spans="1:26" ht="16.5" customHeight="1">
      <c r="A714" s="66"/>
      <c r="B714" s="66"/>
      <c r="C714" s="89"/>
      <c r="D714" s="89"/>
      <c r="E714" s="89"/>
      <c r="F714" s="89"/>
      <c r="G714" s="89"/>
      <c r="H714" s="89"/>
      <c r="I714" s="89"/>
      <c r="J714" s="89"/>
      <c r="K714" s="89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</row>
    <row r="715" spans="1:26" ht="16.5" customHeight="1">
      <c r="A715" s="66"/>
      <c r="B715" s="66"/>
      <c r="C715" s="89"/>
      <c r="D715" s="89"/>
      <c r="E715" s="89"/>
      <c r="F715" s="89"/>
      <c r="G715" s="89"/>
      <c r="H715" s="89"/>
      <c r="I715" s="89"/>
      <c r="J715" s="89"/>
      <c r="K715" s="89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</row>
    <row r="716" spans="1:26" ht="16.5" customHeight="1">
      <c r="A716" s="66"/>
      <c r="B716" s="66"/>
      <c r="C716" s="89"/>
      <c r="D716" s="89"/>
      <c r="E716" s="89"/>
      <c r="F716" s="89"/>
      <c r="G716" s="89"/>
      <c r="H716" s="89"/>
      <c r="I716" s="89"/>
      <c r="J716" s="89"/>
      <c r="K716" s="89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</row>
    <row r="717" spans="1:26" ht="16.5" customHeight="1">
      <c r="A717" s="66"/>
      <c r="B717" s="66"/>
      <c r="C717" s="89"/>
      <c r="D717" s="89"/>
      <c r="E717" s="89"/>
      <c r="F717" s="89"/>
      <c r="G717" s="89"/>
      <c r="H717" s="89"/>
      <c r="I717" s="89"/>
      <c r="J717" s="89"/>
      <c r="K717" s="89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</row>
    <row r="718" spans="1:26" ht="16.5" customHeight="1">
      <c r="A718" s="66"/>
      <c r="B718" s="66"/>
      <c r="C718" s="89"/>
      <c r="D718" s="89"/>
      <c r="E718" s="89"/>
      <c r="F718" s="89"/>
      <c r="G718" s="89"/>
      <c r="H718" s="89"/>
      <c r="I718" s="89"/>
      <c r="J718" s="89"/>
      <c r="K718" s="89"/>
      <c r="L718" s="60"/>
      <c r="M718" s="60"/>
      <c r="N718" s="60"/>
      <c r="O718" s="60"/>
      <c r="P718" s="60"/>
      <c r="Q718" s="60"/>
      <c r="R718" s="60"/>
      <c r="S718" s="60"/>
      <c r="T718" s="60"/>
      <c r="U718" s="60"/>
      <c r="V718" s="60"/>
      <c r="W718" s="60"/>
      <c r="X718" s="60"/>
      <c r="Y718" s="60"/>
      <c r="Z718" s="60"/>
    </row>
    <row r="719" spans="1:26" ht="16.5" customHeight="1">
      <c r="A719" s="66"/>
      <c r="B719" s="66"/>
      <c r="C719" s="89"/>
      <c r="D719" s="89"/>
      <c r="E719" s="89"/>
      <c r="F719" s="89"/>
      <c r="G719" s="89"/>
      <c r="H719" s="89"/>
      <c r="I719" s="89"/>
      <c r="J719" s="89"/>
      <c r="K719" s="89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</row>
    <row r="720" spans="1:26" ht="16.5" customHeight="1">
      <c r="A720" s="66"/>
      <c r="B720" s="66"/>
      <c r="C720" s="89"/>
      <c r="D720" s="89"/>
      <c r="E720" s="89"/>
      <c r="F720" s="89"/>
      <c r="G720" s="89"/>
      <c r="H720" s="89"/>
      <c r="I720" s="89"/>
      <c r="J720" s="89"/>
      <c r="K720" s="89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</row>
    <row r="721" spans="1:26" ht="16.5" customHeight="1">
      <c r="A721" s="66"/>
      <c r="B721" s="66"/>
      <c r="C721" s="89"/>
      <c r="D721" s="89"/>
      <c r="E721" s="89"/>
      <c r="F721" s="89"/>
      <c r="G721" s="89"/>
      <c r="H721" s="89"/>
      <c r="I721" s="89"/>
      <c r="J721" s="89"/>
      <c r="K721" s="89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</row>
    <row r="722" spans="1:26" ht="16.5" customHeight="1">
      <c r="A722" s="66"/>
      <c r="B722" s="66"/>
      <c r="C722" s="89"/>
      <c r="D722" s="89"/>
      <c r="E722" s="89"/>
      <c r="F722" s="89"/>
      <c r="G722" s="89"/>
      <c r="H722" s="89"/>
      <c r="I722" s="89"/>
      <c r="J722" s="89"/>
      <c r="K722" s="89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</row>
    <row r="723" spans="1:26" ht="16.5" customHeight="1">
      <c r="A723" s="66"/>
      <c r="B723" s="66"/>
      <c r="C723" s="89"/>
      <c r="D723" s="89"/>
      <c r="E723" s="89"/>
      <c r="F723" s="89"/>
      <c r="G723" s="89"/>
      <c r="H723" s="89"/>
      <c r="I723" s="89"/>
      <c r="J723" s="89"/>
      <c r="K723" s="89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</row>
    <row r="724" spans="1:26" ht="16.5" customHeight="1">
      <c r="A724" s="66"/>
      <c r="B724" s="66"/>
      <c r="C724" s="89"/>
      <c r="D724" s="89"/>
      <c r="E724" s="89"/>
      <c r="F724" s="89"/>
      <c r="G724" s="89"/>
      <c r="H724" s="89"/>
      <c r="I724" s="89"/>
      <c r="J724" s="89"/>
      <c r="K724" s="89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</row>
    <row r="725" spans="1:26" ht="16.5" customHeight="1">
      <c r="A725" s="66"/>
      <c r="B725" s="66"/>
      <c r="C725" s="89"/>
      <c r="D725" s="89"/>
      <c r="E725" s="89"/>
      <c r="F725" s="89"/>
      <c r="G725" s="89"/>
      <c r="H725" s="89"/>
      <c r="I725" s="89"/>
      <c r="J725" s="89"/>
      <c r="K725" s="89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</row>
    <row r="726" spans="1:26" ht="16.5" customHeight="1">
      <c r="A726" s="66"/>
      <c r="B726" s="66"/>
      <c r="C726" s="89"/>
      <c r="D726" s="89"/>
      <c r="E726" s="89"/>
      <c r="F726" s="89"/>
      <c r="G726" s="89"/>
      <c r="H726" s="89"/>
      <c r="I726" s="89"/>
      <c r="J726" s="89"/>
      <c r="K726" s="89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</row>
    <row r="727" spans="1:26" ht="16.5" customHeight="1">
      <c r="A727" s="66"/>
      <c r="B727" s="66"/>
      <c r="C727" s="89"/>
      <c r="D727" s="89"/>
      <c r="E727" s="89"/>
      <c r="F727" s="89"/>
      <c r="G727" s="89"/>
      <c r="H727" s="89"/>
      <c r="I727" s="89"/>
      <c r="J727" s="89"/>
      <c r="K727" s="89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</row>
    <row r="728" spans="1:26" ht="16.5" customHeight="1">
      <c r="A728" s="66"/>
      <c r="B728" s="66"/>
      <c r="C728" s="89"/>
      <c r="D728" s="89"/>
      <c r="E728" s="89"/>
      <c r="F728" s="89"/>
      <c r="G728" s="89"/>
      <c r="H728" s="89"/>
      <c r="I728" s="89"/>
      <c r="J728" s="89"/>
      <c r="K728" s="89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</row>
    <row r="729" spans="1:26" ht="16.5" customHeight="1">
      <c r="A729" s="66"/>
      <c r="B729" s="66"/>
      <c r="C729" s="89"/>
      <c r="D729" s="89"/>
      <c r="E729" s="89"/>
      <c r="F729" s="89"/>
      <c r="G729" s="89"/>
      <c r="H729" s="89"/>
      <c r="I729" s="89"/>
      <c r="J729" s="89"/>
      <c r="K729" s="89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</row>
    <row r="730" spans="1:26" ht="16.5" customHeight="1">
      <c r="A730" s="66"/>
      <c r="B730" s="66"/>
      <c r="C730" s="89"/>
      <c r="D730" s="89"/>
      <c r="E730" s="89"/>
      <c r="F730" s="89"/>
      <c r="G730" s="89"/>
      <c r="H730" s="89"/>
      <c r="I730" s="89"/>
      <c r="J730" s="89"/>
      <c r="K730" s="89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</row>
    <row r="731" spans="1:26" ht="16.5" customHeight="1">
      <c r="A731" s="66"/>
      <c r="B731" s="66"/>
      <c r="C731" s="89"/>
      <c r="D731" s="89"/>
      <c r="E731" s="89"/>
      <c r="F731" s="89"/>
      <c r="G731" s="89"/>
      <c r="H731" s="89"/>
      <c r="I731" s="89"/>
      <c r="J731" s="89"/>
      <c r="K731" s="89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</row>
    <row r="732" spans="1:26" ht="16.5" customHeight="1">
      <c r="A732" s="66"/>
      <c r="B732" s="66"/>
      <c r="C732" s="89"/>
      <c r="D732" s="89"/>
      <c r="E732" s="89"/>
      <c r="F732" s="89"/>
      <c r="G732" s="89"/>
      <c r="H732" s="89"/>
      <c r="I732" s="89"/>
      <c r="J732" s="89"/>
      <c r="K732" s="89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</row>
    <row r="733" spans="1:26" ht="16.5" customHeight="1">
      <c r="A733" s="66"/>
      <c r="B733" s="66"/>
      <c r="C733" s="89"/>
      <c r="D733" s="89"/>
      <c r="E733" s="89"/>
      <c r="F733" s="89"/>
      <c r="G733" s="89"/>
      <c r="H733" s="89"/>
      <c r="I733" s="89"/>
      <c r="J733" s="89"/>
      <c r="K733" s="89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</row>
    <row r="734" spans="1:26" ht="16.5" customHeight="1">
      <c r="A734" s="66"/>
      <c r="B734" s="66"/>
      <c r="C734" s="89"/>
      <c r="D734" s="89"/>
      <c r="E734" s="89"/>
      <c r="F734" s="89"/>
      <c r="G734" s="89"/>
      <c r="H734" s="89"/>
      <c r="I734" s="89"/>
      <c r="J734" s="89"/>
      <c r="K734" s="89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</row>
    <row r="735" spans="1:26" ht="16.5" customHeight="1">
      <c r="A735" s="66"/>
      <c r="B735" s="66"/>
      <c r="C735" s="89"/>
      <c r="D735" s="89"/>
      <c r="E735" s="89"/>
      <c r="F735" s="89"/>
      <c r="G735" s="89"/>
      <c r="H735" s="89"/>
      <c r="I735" s="89"/>
      <c r="J735" s="89"/>
      <c r="K735" s="89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</row>
    <row r="736" spans="1:26" ht="16.5" customHeight="1">
      <c r="A736" s="66"/>
      <c r="B736" s="66"/>
      <c r="C736" s="89"/>
      <c r="D736" s="89"/>
      <c r="E736" s="89"/>
      <c r="F736" s="89"/>
      <c r="G736" s="89"/>
      <c r="H736" s="89"/>
      <c r="I736" s="89"/>
      <c r="J736" s="89"/>
      <c r="K736" s="89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</row>
    <row r="737" spans="1:26" ht="16.5" customHeight="1">
      <c r="A737" s="66"/>
      <c r="B737" s="66"/>
      <c r="C737" s="89"/>
      <c r="D737" s="89"/>
      <c r="E737" s="89"/>
      <c r="F737" s="89"/>
      <c r="G737" s="89"/>
      <c r="H737" s="89"/>
      <c r="I737" s="89"/>
      <c r="J737" s="89"/>
      <c r="K737" s="89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</row>
    <row r="738" spans="1:26" ht="16.5" customHeight="1">
      <c r="A738" s="66"/>
      <c r="B738" s="66"/>
      <c r="C738" s="89"/>
      <c r="D738" s="89"/>
      <c r="E738" s="89"/>
      <c r="F738" s="89"/>
      <c r="G738" s="89"/>
      <c r="H738" s="89"/>
      <c r="I738" s="89"/>
      <c r="J738" s="89"/>
      <c r="K738" s="89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</row>
    <row r="739" spans="1:26" ht="16.5" customHeight="1">
      <c r="A739" s="66"/>
      <c r="B739" s="66"/>
      <c r="C739" s="89"/>
      <c r="D739" s="89"/>
      <c r="E739" s="89"/>
      <c r="F739" s="89"/>
      <c r="G739" s="89"/>
      <c r="H739" s="89"/>
      <c r="I739" s="89"/>
      <c r="J739" s="89"/>
      <c r="K739" s="89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</row>
    <row r="740" spans="1:26" ht="16.5" customHeight="1">
      <c r="A740" s="66"/>
      <c r="B740" s="66"/>
      <c r="C740" s="89"/>
      <c r="D740" s="89"/>
      <c r="E740" s="89"/>
      <c r="F740" s="89"/>
      <c r="G740" s="89"/>
      <c r="H740" s="89"/>
      <c r="I740" s="89"/>
      <c r="J740" s="89"/>
      <c r="K740" s="89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</row>
    <row r="741" spans="1:26" ht="16.5" customHeight="1">
      <c r="A741" s="66"/>
      <c r="B741" s="66"/>
      <c r="C741" s="89"/>
      <c r="D741" s="89"/>
      <c r="E741" s="89"/>
      <c r="F741" s="89"/>
      <c r="G741" s="89"/>
      <c r="H741" s="89"/>
      <c r="I741" s="89"/>
      <c r="J741" s="89"/>
      <c r="K741" s="89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</row>
    <row r="742" spans="1:26" ht="16.5" customHeight="1">
      <c r="A742" s="66"/>
      <c r="B742" s="66"/>
      <c r="C742" s="89"/>
      <c r="D742" s="89"/>
      <c r="E742" s="89"/>
      <c r="F742" s="89"/>
      <c r="G742" s="89"/>
      <c r="H742" s="89"/>
      <c r="I742" s="89"/>
      <c r="J742" s="89"/>
      <c r="K742" s="89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</row>
    <row r="743" spans="1:26" ht="16.5" customHeight="1">
      <c r="A743" s="66"/>
      <c r="B743" s="66"/>
      <c r="C743" s="89"/>
      <c r="D743" s="89"/>
      <c r="E743" s="89"/>
      <c r="F743" s="89"/>
      <c r="G743" s="89"/>
      <c r="H743" s="89"/>
      <c r="I743" s="89"/>
      <c r="J743" s="89"/>
      <c r="K743" s="89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</row>
    <row r="744" spans="1:26" ht="16.5" customHeight="1">
      <c r="A744" s="66"/>
      <c r="B744" s="66"/>
      <c r="C744" s="89"/>
      <c r="D744" s="89"/>
      <c r="E744" s="89"/>
      <c r="F744" s="89"/>
      <c r="G744" s="89"/>
      <c r="H744" s="89"/>
      <c r="I744" s="89"/>
      <c r="J744" s="89"/>
      <c r="K744" s="89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</row>
    <row r="745" spans="1:26" ht="16.5" customHeight="1">
      <c r="A745" s="66"/>
      <c r="B745" s="66"/>
      <c r="C745" s="89"/>
      <c r="D745" s="89"/>
      <c r="E745" s="89"/>
      <c r="F745" s="89"/>
      <c r="G745" s="89"/>
      <c r="H745" s="89"/>
      <c r="I745" s="89"/>
      <c r="J745" s="89"/>
      <c r="K745" s="89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</row>
    <row r="746" spans="1:26" ht="16.5" customHeight="1">
      <c r="A746" s="66"/>
      <c r="B746" s="66"/>
      <c r="C746" s="89"/>
      <c r="D746" s="89"/>
      <c r="E746" s="89"/>
      <c r="F746" s="89"/>
      <c r="G746" s="89"/>
      <c r="H746" s="89"/>
      <c r="I746" s="89"/>
      <c r="J746" s="89"/>
      <c r="K746" s="89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</row>
    <row r="747" spans="1:26" ht="16.5" customHeight="1">
      <c r="A747" s="66"/>
      <c r="B747" s="66"/>
      <c r="C747" s="89"/>
      <c r="D747" s="89"/>
      <c r="E747" s="89"/>
      <c r="F747" s="89"/>
      <c r="G747" s="89"/>
      <c r="H747" s="89"/>
      <c r="I747" s="89"/>
      <c r="J747" s="89"/>
      <c r="K747" s="89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</row>
    <row r="748" spans="1:26" ht="16.5" customHeight="1">
      <c r="A748" s="66"/>
      <c r="B748" s="66"/>
      <c r="C748" s="89"/>
      <c r="D748" s="89"/>
      <c r="E748" s="89"/>
      <c r="F748" s="89"/>
      <c r="G748" s="89"/>
      <c r="H748" s="89"/>
      <c r="I748" s="89"/>
      <c r="J748" s="89"/>
      <c r="K748" s="89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</row>
    <row r="749" spans="1:26" ht="16.5" customHeight="1">
      <c r="A749" s="66"/>
      <c r="B749" s="66"/>
      <c r="C749" s="89"/>
      <c r="D749" s="89"/>
      <c r="E749" s="89"/>
      <c r="F749" s="89"/>
      <c r="G749" s="89"/>
      <c r="H749" s="89"/>
      <c r="I749" s="89"/>
      <c r="J749" s="89"/>
      <c r="K749" s="89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</row>
    <row r="750" spans="1:26" ht="16.5" customHeight="1">
      <c r="A750" s="66"/>
      <c r="B750" s="66"/>
      <c r="C750" s="89"/>
      <c r="D750" s="89"/>
      <c r="E750" s="89"/>
      <c r="F750" s="89"/>
      <c r="G750" s="89"/>
      <c r="H750" s="89"/>
      <c r="I750" s="89"/>
      <c r="J750" s="89"/>
      <c r="K750" s="89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</row>
    <row r="751" spans="1:26" ht="16.5" customHeight="1">
      <c r="A751" s="66"/>
      <c r="B751" s="66"/>
      <c r="C751" s="89"/>
      <c r="D751" s="89"/>
      <c r="E751" s="89"/>
      <c r="F751" s="89"/>
      <c r="G751" s="89"/>
      <c r="H751" s="89"/>
      <c r="I751" s="89"/>
      <c r="J751" s="89"/>
      <c r="K751" s="89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</row>
    <row r="752" spans="1:26" ht="16.5" customHeight="1">
      <c r="A752" s="66"/>
      <c r="B752" s="66"/>
      <c r="C752" s="89"/>
      <c r="D752" s="89"/>
      <c r="E752" s="89"/>
      <c r="F752" s="89"/>
      <c r="G752" s="89"/>
      <c r="H752" s="89"/>
      <c r="I752" s="89"/>
      <c r="J752" s="89"/>
      <c r="K752" s="89"/>
      <c r="L752" s="60"/>
      <c r="M752" s="60"/>
      <c r="N752" s="60"/>
      <c r="O752" s="60"/>
      <c r="P752" s="60"/>
      <c r="Q752" s="60"/>
      <c r="R752" s="60"/>
      <c r="S752" s="60"/>
      <c r="T752" s="60"/>
      <c r="U752" s="60"/>
      <c r="V752" s="60"/>
      <c r="W752" s="60"/>
      <c r="X752" s="60"/>
      <c r="Y752" s="60"/>
      <c r="Z752" s="60"/>
    </row>
    <row r="753" spans="1:26" ht="16.5" customHeight="1">
      <c r="A753" s="66"/>
      <c r="B753" s="66"/>
      <c r="C753" s="89"/>
      <c r="D753" s="89"/>
      <c r="E753" s="89"/>
      <c r="F753" s="89"/>
      <c r="G753" s="89"/>
      <c r="H753" s="89"/>
      <c r="I753" s="89"/>
      <c r="J753" s="89"/>
      <c r="K753" s="89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</row>
    <row r="754" spans="1:26" ht="16.5" customHeight="1">
      <c r="A754" s="66"/>
      <c r="B754" s="66"/>
      <c r="C754" s="89"/>
      <c r="D754" s="89"/>
      <c r="E754" s="89"/>
      <c r="F754" s="89"/>
      <c r="G754" s="89"/>
      <c r="H754" s="89"/>
      <c r="I754" s="89"/>
      <c r="J754" s="89"/>
      <c r="K754" s="89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</row>
    <row r="755" spans="1:26" ht="16.5" customHeight="1">
      <c r="A755" s="66"/>
      <c r="B755" s="66"/>
      <c r="C755" s="89"/>
      <c r="D755" s="89"/>
      <c r="E755" s="89"/>
      <c r="F755" s="89"/>
      <c r="G755" s="89"/>
      <c r="H755" s="89"/>
      <c r="I755" s="89"/>
      <c r="J755" s="89"/>
      <c r="K755" s="89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</row>
    <row r="756" spans="1:26" ht="16.5" customHeight="1">
      <c r="A756" s="66"/>
      <c r="B756" s="66"/>
      <c r="C756" s="89"/>
      <c r="D756" s="89"/>
      <c r="E756" s="89"/>
      <c r="F756" s="89"/>
      <c r="G756" s="89"/>
      <c r="H756" s="89"/>
      <c r="I756" s="89"/>
      <c r="J756" s="89"/>
      <c r="K756" s="89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</row>
    <row r="757" spans="1:26" ht="16.5" customHeight="1">
      <c r="A757" s="66"/>
      <c r="B757" s="66"/>
      <c r="C757" s="89"/>
      <c r="D757" s="89"/>
      <c r="E757" s="89"/>
      <c r="F757" s="89"/>
      <c r="G757" s="89"/>
      <c r="H757" s="89"/>
      <c r="I757" s="89"/>
      <c r="J757" s="89"/>
      <c r="K757" s="89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</row>
    <row r="758" spans="1:26" ht="16.5" customHeight="1">
      <c r="A758" s="66"/>
      <c r="B758" s="66"/>
      <c r="C758" s="89"/>
      <c r="D758" s="89"/>
      <c r="E758" s="89"/>
      <c r="F758" s="89"/>
      <c r="G758" s="89"/>
      <c r="H758" s="89"/>
      <c r="I758" s="89"/>
      <c r="J758" s="89"/>
      <c r="K758" s="89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</row>
    <row r="759" spans="1:26" ht="16.5" customHeight="1">
      <c r="A759" s="66"/>
      <c r="B759" s="66"/>
      <c r="C759" s="89"/>
      <c r="D759" s="89"/>
      <c r="E759" s="89"/>
      <c r="F759" s="89"/>
      <c r="G759" s="89"/>
      <c r="H759" s="89"/>
      <c r="I759" s="89"/>
      <c r="J759" s="89"/>
      <c r="K759" s="89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</row>
    <row r="760" spans="1:26" ht="16.5" customHeight="1">
      <c r="A760" s="66"/>
      <c r="B760" s="66"/>
      <c r="C760" s="89"/>
      <c r="D760" s="89"/>
      <c r="E760" s="89"/>
      <c r="F760" s="89"/>
      <c r="G760" s="89"/>
      <c r="H760" s="89"/>
      <c r="I760" s="89"/>
      <c r="J760" s="89"/>
      <c r="K760" s="89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</row>
    <row r="761" spans="1:26" ht="16.5" customHeight="1">
      <c r="A761" s="66"/>
      <c r="B761" s="66"/>
      <c r="C761" s="89"/>
      <c r="D761" s="89"/>
      <c r="E761" s="89"/>
      <c r="F761" s="89"/>
      <c r="G761" s="89"/>
      <c r="H761" s="89"/>
      <c r="I761" s="89"/>
      <c r="J761" s="89"/>
      <c r="K761" s="89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</row>
    <row r="762" spans="1:26" ht="16.5" customHeight="1">
      <c r="A762" s="66"/>
      <c r="B762" s="66"/>
      <c r="C762" s="89"/>
      <c r="D762" s="89"/>
      <c r="E762" s="89"/>
      <c r="F762" s="89"/>
      <c r="G762" s="89"/>
      <c r="H762" s="89"/>
      <c r="I762" s="89"/>
      <c r="J762" s="89"/>
      <c r="K762" s="89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</row>
    <row r="763" spans="1:26" ht="16.5" customHeight="1">
      <c r="A763" s="66"/>
      <c r="B763" s="66"/>
      <c r="C763" s="89"/>
      <c r="D763" s="89"/>
      <c r="E763" s="89"/>
      <c r="F763" s="89"/>
      <c r="G763" s="89"/>
      <c r="H763" s="89"/>
      <c r="I763" s="89"/>
      <c r="J763" s="89"/>
      <c r="K763" s="89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</row>
    <row r="764" spans="1:26" ht="16.5" customHeight="1">
      <c r="A764" s="66"/>
      <c r="B764" s="66"/>
      <c r="C764" s="89"/>
      <c r="D764" s="89"/>
      <c r="E764" s="89"/>
      <c r="F764" s="89"/>
      <c r="G764" s="89"/>
      <c r="H764" s="89"/>
      <c r="I764" s="89"/>
      <c r="J764" s="89"/>
      <c r="K764" s="89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</row>
    <row r="765" spans="1:26" ht="16.5" customHeight="1">
      <c r="A765" s="66"/>
      <c r="B765" s="66"/>
      <c r="C765" s="89"/>
      <c r="D765" s="89"/>
      <c r="E765" s="89"/>
      <c r="F765" s="89"/>
      <c r="G765" s="89"/>
      <c r="H765" s="89"/>
      <c r="I765" s="89"/>
      <c r="J765" s="89"/>
      <c r="K765" s="89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</row>
    <row r="766" spans="1:26" ht="16.5" customHeight="1">
      <c r="A766" s="66"/>
      <c r="B766" s="66"/>
      <c r="C766" s="89"/>
      <c r="D766" s="89"/>
      <c r="E766" s="89"/>
      <c r="F766" s="89"/>
      <c r="G766" s="89"/>
      <c r="H766" s="89"/>
      <c r="I766" s="89"/>
      <c r="J766" s="89"/>
      <c r="K766" s="89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</row>
    <row r="767" spans="1:26" ht="16.5" customHeight="1">
      <c r="A767" s="66"/>
      <c r="B767" s="66"/>
      <c r="C767" s="89"/>
      <c r="D767" s="89"/>
      <c r="E767" s="89"/>
      <c r="F767" s="89"/>
      <c r="G767" s="89"/>
      <c r="H767" s="89"/>
      <c r="I767" s="89"/>
      <c r="J767" s="89"/>
      <c r="K767" s="89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</row>
    <row r="768" spans="1:26" ht="16.5" customHeight="1">
      <c r="A768" s="66"/>
      <c r="B768" s="66"/>
      <c r="C768" s="89"/>
      <c r="D768" s="89"/>
      <c r="E768" s="89"/>
      <c r="F768" s="89"/>
      <c r="G768" s="89"/>
      <c r="H768" s="89"/>
      <c r="I768" s="89"/>
      <c r="J768" s="89"/>
      <c r="K768" s="89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</row>
    <row r="769" spans="1:26" ht="16.5" customHeight="1">
      <c r="A769" s="66"/>
      <c r="B769" s="66"/>
      <c r="C769" s="89"/>
      <c r="D769" s="89"/>
      <c r="E769" s="89"/>
      <c r="F769" s="89"/>
      <c r="G769" s="89"/>
      <c r="H769" s="89"/>
      <c r="I769" s="89"/>
      <c r="J769" s="89"/>
      <c r="K769" s="89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</row>
    <row r="770" spans="1:26" ht="16.5" customHeight="1">
      <c r="A770" s="66"/>
      <c r="B770" s="66"/>
      <c r="C770" s="89"/>
      <c r="D770" s="89"/>
      <c r="E770" s="89"/>
      <c r="F770" s="89"/>
      <c r="G770" s="89"/>
      <c r="H770" s="89"/>
      <c r="I770" s="89"/>
      <c r="J770" s="89"/>
      <c r="K770" s="89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</row>
    <row r="771" spans="1:26" ht="16.5" customHeight="1">
      <c r="A771" s="66"/>
      <c r="B771" s="66"/>
      <c r="C771" s="89"/>
      <c r="D771" s="89"/>
      <c r="E771" s="89"/>
      <c r="F771" s="89"/>
      <c r="G771" s="89"/>
      <c r="H771" s="89"/>
      <c r="I771" s="89"/>
      <c r="J771" s="89"/>
      <c r="K771" s="89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</row>
    <row r="772" spans="1:26" ht="16.5" customHeight="1">
      <c r="A772" s="66"/>
      <c r="B772" s="66"/>
      <c r="C772" s="89"/>
      <c r="D772" s="89"/>
      <c r="E772" s="89"/>
      <c r="F772" s="89"/>
      <c r="G772" s="89"/>
      <c r="H772" s="89"/>
      <c r="I772" s="89"/>
      <c r="J772" s="89"/>
      <c r="K772" s="89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</row>
    <row r="773" spans="1:26" ht="16.5" customHeight="1">
      <c r="A773" s="66"/>
      <c r="B773" s="66"/>
      <c r="C773" s="89"/>
      <c r="D773" s="89"/>
      <c r="E773" s="89"/>
      <c r="F773" s="89"/>
      <c r="G773" s="89"/>
      <c r="H773" s="89"/>
      <c r="I773" s="89"/>
      <c r="J773" s="89"/>
      <c r="K773" s="89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</row>
    <row r="774" spans="1:26" ht="16.5" customHeight="1">
      <c r="A774" s="66"/>
      <c r="B774" s="66"/>
      <c r="C774" s="89"/>
      <c r="D774" s="89"/>
      <c r="E774" s="89"/>
      <c r="F774" s="89"/>
      <c r="G774" s="89"/>
      <c r="H774" s="89"/>
      <c r="I774" s="89"/>
      <c r="J774" s="89"/>
      <c r="K774" s="89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</row>
    <row r="775" spans="1:26" ht="16.5" customHeight="1">
      <c r="A775" s="66"/>
      <c r="B775" s="66"/>
      <c r="C775" s="89"/>
      <c r="D775" s="89"/>
      <c r="E775" s="89"/>
      <c r="F775" s="89"/>
      <c r="G775" s="89"/>
      <c r="H775" s="89"/>
      <c r="I775" s="89"/>
      <c r="J775" s="89"/>
      <c r="K775" s="89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</row>
    <row r="776" spans="1:26" ht="16.5" customHeight="1">
      <c r="A776" s="66"/>
      <c r="B776" s="66"/>
      <c r="C776" s="89"/>
      <c r="D776" s="89"/>
      <c r="E776" s="89"/>
      <c r="F776" s="89"/>
      <c r="G776" s="89"/>
      <c r="H776" s="89"/>
      <c r="I776" s="89"/>
      <c r="J776" s="89"/>
      <c r="K776" s="89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</row>
    <row r="777" spans="1:26" ht="16.5" customHeight="1">
      <c r="A777" s="66"/>
      <c r="B777" s="66"/>
      <c r="C777" s="89"/>
      <c r="D777" s="89"/>
      <c r="E777" s="89"/>
      <c r="F777" s="89"/>
      <c r="G777" s="89"/>
      <c r="H777" s="89"/>
      <c r="I777" s="89"/>
      <c r="J777" s="89"/>
      <c r="K777" s="89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</row>
    <row r="778" spans="1:26" ht="16.5" customHeight="1">
      <c r="A778" s="66"/>
      <c r="B778" s="66"/>
      <c r="C778" s="89"/>
      <c r="D778" s="89"/>
      <c r="E778" s="89"/>
      <c r="F778" s="89"/>
      <c r="G778" s="89"/>
      <c r="H778" s="89"/>
      <c r="I778" s="89"/>
      <c r="J778" s="89"/>
      <c r="K778" s="89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</row>
    <row r="779" spans="1:26" ht="16.5" customHeight="1">
      <c r="A779" s="66"/>
      <c r="B779" s="66"/>
      <c r="C779" s="89"/>
      <c r="D779" s="89"/>
      <c r="E779" s="89"/>
      <c r="F779" s="89"/>
      <c r="G779" s="89"/>
      <c r="H779" s="89"/>
      <c r="I779" s="89"/>
      <c r="J779" s="89"/>
      <c r="K779" s="89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</row>
    <row r="780" spans="1:26" ht="16.5" customHeight="1">
      <c r="A780" s="66"/>
      <c r="B780" s="66"/>
      <c r="C780" s="89"/>
      <c r="D780" s="89"/>
      <c r="E780" s="89"/>
      <c r="F780" s="89"/>
      <c r="G780" s="89"/>
      <c r="H780" s="89"/>
      <c r="I780" s="89"/>
      <c r="J780" s="89"/>
      <c r="K780" s="89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</row>
    <row r="781" spans="1:26" ht="16.5" customHeight="1">
      <c r="A781" s="66"/>
      <c r="B781" s="66"/>
      <c r="C781" s="89"/>
      <c r="D781" s="89"/>
      <c r="E781" s="89"/>
      <c r="F781" s="89"/>
      <c r="G781" s="89"/>
      <c r="H781" s="89"/>
      <c r="I781" s="89"/>
      <c r="J781" s="89"/>
      <c r="K781" s="89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</row>
    <row r="782" spans="1:26" ht="16.5" customHeight="1">
      <c r="A782" s="66"/>
      <c r="B782" s="66"/>
      <c r="C782" s="89"/>
      <c r="D782" s="89"/>
      <c r="E782" s="89"/>
      <c r="F782" s="89"/>
      <c r="G782" s="89"/>
      <c r="H782" s="89"/>
      <c r="I782" s="89"/>
      <c r="J782" s="89"/>
      <c r="K782" s="89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</row>
    <row r="783" spans="1:26" ht="16.5" customHeight="1">
      <c r="A783" s="66"/>
      <c r="B783" s="66"/>
      <c r="C783" s="89"/>
      <c r="D783" s="89"/>
      <c r="E783" s="89"/>
      <c r="F783" s="89"/>
      <c r="G783" s="89"/>
      <c r="H783" s="89"/>
      <c r="I783" s="89"/>
      <c r="J783" s="89"/>
      <c r="K783" s="89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</row>
    <row r="784" spans="1:26" ht="16.5" customHeight="1">
      <c r="A784" s="66"/>
      <c r="B784" s="66"/>
      <c r="C784" s="89"/>
      <c r="D784" s="89"/>
      <c r="E784" s="89"/>
      <c r="F784" s="89"/>
      <c r="G784" s="89"/>
      <c r="H784" s="89"/>
      <c r="I784" s="89"/>
      <c r="J784" s="89"/>
      <c r="K784" s="89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</row>
    <row r="785" spans="1:26" ht="16.5" customHeight="1">
      <c r="A785" s="66"/>
      <c r="B785" s="66"/>
      <c r="C785" s="89"/>
      <c r="D785" s="89"/>
      <c r="E785" s="89"/>
      <c r="F785" s="89"/>
      <c r="G785" s="89"/>
      <c r="H785" s="89"/>
      <c r="I785" s="89"/>
      <c r="J785" s="89"/>
      <c r="K785" s="89"/>
      <c r="L785" s="60"/>
      <c r="M785" s="60"/>
      <c r="N785" s="60"/>
      <c r="O785" s="60"/>
      <c r="P785" s="60"/>
      <c r="Q785" s="60"/>
      <c r="R785" s="60"/>
      <c r="S785" s="60"/>
      <c r="T785" s="60"/>
      <c r="U785" s="60"/>
      <c r="V785" s="60"/>
      <c r="W785" s="60"/>
      <c r="X785" s="60"/>
      <c r="Y785" s="60"/>
      <c r="Z785" s="60"/>
    </row>
    <row r="786" spans="1:26" ht="16.5" customHeight="1">
      <c r="A786" s="66"/>
      <c r="B786" s="66"/>
      <c r="C786" s="89"/>
      <c r="D786" s="89"/>
      <c r="E786" s="89"/>
      <c r="F786" s="89"/>
      <c r="G786" s="89"/>
      <c r="H786" s="89"/>
      <c r="I786" s="89"/>
      <c r="J786" s="89"/>
      <c r="K786" s="89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</row>
    <row r="787" spans="1:26" ht="16.5" customHeight="1">
      <c r="A787" s="66"/>
      <c r="B787" s="66"/>
      <c r="C787" s="89"/>
      <c r="D787" s="89"/>
      <c r="E787" s="89"/>
      <c r="F787" s="89"/>
      <c r="G787" s="89"/>
      <c r="H787" s="89"/>
      <c r="I787" s="89"/>
      <c r="J787" s="89"/>
      <c r="K787" s="89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</row>
    <row r="788" spans="1:26" ht="16.5" customHeight="1">
      <c r="A788" s="66"/>
      <c r="B788" s="66"/>
      <c r="C788" s="89"/>
      <c r="D788" s="89"/>
      <c r="E788" s="89"/>
      <c r="F788" s="89"/>
      <c r="G788" s="89"/>
      <c r="H788" s="89"/>
      <c r="I788" s="89"/>
      <c r="J788" s="89"/>
      <c r="K788" s="89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</row>
    <row r="789" spans="1:26" ht="16.5" customHeight="1">
      <c r="A789" s="66"/>
      <c r="B789" s="66"/>
      <c r="C789" s="89"/>
      <c r="D789" s="89"/>
      <c r="E789" s="89"/>
      <c r="F789" s="89"/>
      <c r="G789" s="89"/>
      <c r="H789" s="89"/>
      <c r="I789" s="89"/>
      <c r="J789" s="89"/>
      <c r="K789" s="89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</row>
    <row r="790" spans="1:26" ht="16.5" customHeight="1">
      <c r="A790" s="66"/>
      <c r="B790" s="66"/>
      <c r="C790" s="89"/>
      <c r="D790" s="89"/>
      <c r="E790" s="89"/>
      <c r="F790" s="89"/>
      <c r="G790" s="89"/>
      <c r="H790" s="89"/>
      <c r="I790" s="89"/>
      <c r="J790" s="89"/>
      <c r="K790" s="89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</row>
    <row r="791" spans="1:26" ht="16.5" customHeight="1">
      <c r="A791" s="66"/>
      <c r="B791" s="66"/>
      <c r="C791" s="89"/>
      <c r="D791" s="89"/>
      <c r="E791" s="89"/>
      <c r="F791" s="89"/>
      <c r="G791" s="89"/>
      <c r="H791" s="89"/>
      <c r="I791" s="89"/>
      <c r="J791" s="89"/>
      <c r="K791" s="89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</row>
    <row r="792" spans="1:26" ht="16.5" customHeight="1">
      <c r="A792" s="66"/>
      <c r="B792" s="66"/>
      <c r="C792" s="89"/>
      <c r="D792" s="89"/>
      <c r="E792" s="89"/>
      <c r="F792" s="89"/>
      <c r="G792" s="89"/>
      <c r="H792" s="89"/>
      <c r="I792" s="89"/>
      <c r="J792" s="89"/>
      <c r="K792" s="89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</row>
    <row r="793" spans="1:26" ht="16.5" customHeight="1">
      <c r="A793" s="66"/>
      <c r="B793" s="66"/>
      <c r="C793" s="89"/>
      <c r="D793" s="89"/>
      <c r="E793" s="89"/>
      <c r="F793" s="89"/>
      <c r="G793" s="89"/>
      <c r="H793" s="89"/>
      <c r="I793" s="89"/>
      <c r="J793" s="89"/>
      <c r="K793" s="89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</row>
    <row r="794" spans="1:26" ht="16.5" customHeight="1">
      <c r="A794" s="66"/>
      <c r="B794" s="66"/>
      <c r="C794" s="89"/>
      <c r="D794" s="89"/>
      <c r="E794" s="89"/>
      <c r="F794" s="89"/>
      <c r="G794" s="89"/>
      <c r="H794" s="89"/>
      <c r="I794" s="89"/>
      <c r="J794" s="89"/>
      <c r="K794" s="89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</row>
    <row r="795" spans="1:26" ht="16.5" customHeight="1">
      <c r="A795" s="66"/>
      <c r="B795" s="66"/>
      <c r="C795" s="89"/>
      <c r="D795" s="89"/>
      <c r="E795" s="89"/>
      <c r="F795" s="89"/>
      <c r="G795" s="89"/>
      <c r="H795" s="89"/>
      <c r="I795" s="89"/>
      <c r="J795" s="89"/>
      <c r="K795" s="89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</row>
    <row r="796" spans="1:26" ht="16.5" customHeight="1">
      <c r="A796" s="66"/>
      <c r="B796" s="66"/>
      <c r="C796" s="89"/>
      <c r="D796" s="89"/>
      <c r="E796" s="89"/>
      <c r="F796" s="89"/>
      <c r="G796" s="89"/>
      <c r="H796" s="89"/>
      <c r="I796" s="89"/>
      <c r="J796" s="89"/>
      <c r="K796" s="89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</row>
    <row r="797" spans="1:26" ht="16.5" customHeight="1">
      <c r="A797" s="66"/>
      <c r="B797" s="66"/>
      <c r="C797" s="89"/>
      <c r="D797" s="89"/>
      <c r="E797" s="89"/>
      <c r="F797" s="89"/>
      <c r="G797" s="89"/>
      <c r="H797" s="89"/>
      <c r="I797" s="89"/>
      <c r="J797" s="89"/>
      <c r="K797" s="89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</row>
    <row r="798" spans="1:26" ht="16.5" customHeight="1">
      <c r="A798" s="66"/>
      <c r="B798" s="66"/>
      <c r="C798" s="89"/>
      <c r="D798" s="89"/>
      <c r="E798" s="89"/>
      <c r="F798" s="89"/>
      <c r="G798" s="89"/>
      <c r="H798" s="89"/>
      <c r="I798" s="89"/>
      <c r="J798" s="89"/>
      <c r="K798" s="89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</row>
    <row r="799" spans="1:26" ht="16.5" customHeight="1">
      <c r="A799" s="66"/>
      <c r="B799" s="66"/>
      <c r="C799" s="89"/>
      <c r="D799" s="89"/>
      <c r="E799" s="89"/>
      <c r="F799" s="89"/>
      <c r="G799" s="89"/>
      <c r="H799" s="89"/>
      <c r="I799" s="89"/>
      <c r="J799" s="89"/>
      <c r="K799" s="89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</row>
    <row r="800" spans="1:26" ht="16.5" customHeight="1">
      <c r="A800" s="66"/>
      <c r="B800" s="66"/>
      <c r="C800" s="89"/>
      <c r="D800" s="89"/>
      <c r="E800" s="89"/>
      <c r="F800" s="89"/>
      <c r="G800" s="89"/>
      <c r="H800" s="89"/>
      <c r="I800" s="89"/>
      <c r="J800" s="89"/>
      <c r="K800" s="89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</row>
    <row r="801" spans="1:26" ht="16.5" customHeight="1">
      <c r="A801" s="66"/>
      <c r="B801" s="66"/>
      <c r="C801" s="89"/>
      <c r="D801" s="89"/>
      <c r="E801" s="89"/>
      <c r="F801" s="89"/>
      <c r="G801" s="89"/>
      <c r="H801" s="89"/>
      <c r="I801" s="89"/>
      <c r="J801" s="89"/>
      <c r="K801" s="89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</row>
    <row r="802" spans="1:26" ht="16.5" customHeight="1">
      <c r="A802" s="66"/>
      <c r="B802" s="66"/>
      <c r="C802" s="89"/>
      <c r="D802" s="89"/>
      <c r="E802" s="89"/>
      <c r="F802" s="89"/>
      <c r="G802" s="89"/>
      <c r="H802" s="89"/>
      <c r="I802" s="89"/>
      <c r="J802" s="89"/>
      <c r="K802" s="89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</row>
    <row r="803" spans="1:26" ht="16.5" customHeight="1">
      <c r="A803" s="66"/>
      <c r="B803" s="66"/>
      <c r="C803" s="89"/>
      <c r="D803" s="89"/>
      <c r="E803" s="89"/>
      <c r="F803" s="89"/>
      <c r="G803" s="89"/>
      <c r="H803" s="89"/>
      <c r="I803" s="89"/>
      <c r="J803" s="89"/>
      <c r="K803" s="89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</row>
    <row r="804" spans="1:26" ht="16.5" customHeight="1">
      <c r="A804" s="66"/>
      <c r="B804" s="66"/>
      <c r="C804" s="89"/>
      <c r="D804" s="89"/>
      <c r="E804" s="89"/>
      <c r="F804" s="89"/>
      <c r="G804" s="89"/>
      <c r="H804" s="89"/>
      <c r="I804" s="89"/>
      <c r="J804" s="89"/>
      <c r="K804" s="89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</row>
    <row r="805" spans="1:26" ht="16.5" customHeight="1">
      <c r="A805" s="66"/>
      <c r="B805" s="66"/>
      <c r="C805" s="89"/>
      <c r="D805" s="89"/>
      <c r="E805" s="89"/>
      <c r="F805" s="89"/>
      <c r="G805" s="89"/>
      <c r="H805" s="89"/>
      <c r="I805" s="89"/>
      <c r="J805" s="89"/>
      <c r="K805" s="89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</row>
    <row r="806" spans="1:26" ht="16.5" customHeight="1">
      <c r="A806" s="66"/>
      <c r="B806" s="66"/>
      <c r="C806" s="89"/>
      <c r="D806" s="89"/>
      <c r="E806" s="89"/>
      <c r="F806" s="89"/>
      <c r="G806" s="89"/>
      <c r="H806" s="89"/>
      <c r="I806" s="89"/>
      <c r="J806" s="89"/>
      <c r="K806" s="89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</row>
    <row r="807" spans="1:26" ht="16.5" customHeight="1">
      <c r="A807" s="66"/>
      <c r="B807" s="66"/>
      <c r="C807" s="89"/>
      <c r="D807" s="89"/>
      <c r="E807" s="89"/>
      <c r="F807" s="89"/>
      <c r="G807" s="89"/>
      <c r="H807" s="89"/>
      <c r="I807" s="89"/>
      <c r="J807" s="89"/>
      <c r="K807" s="89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</row>
    <row r="808" spans="1:26" ht="16.5" customHeight="1">
      <c r="A808" s="66"/>
      <c r="B808" s="66"/>
      <c r="C808" s="89"/>
      <c r="D808" s="89"/>
      <c r="E808" s="89"/>
      <c r="F808" s="89"/>
      <c r="G808" s="89"/>
      <c r="H808" s="89"/>
      <c r="I808" s="89"/>
      <c r="J808" s="89"/>
      <c r="K808" s="89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</row>
    <row r="809" spans="1:26" ht="16.5" customHeight="1">
      <c r="A809" s="66"/>
      <c r="B809" s="66"/>
      <c r="C809" s="89"/>
      <c r="D809" s="89"/>
      <c r="E809" s="89"/>
      <c r="F809" s="89"/>
      <c r="G809" s="89"/>
      <c r="H809" s="89"/>
      <c r="I809" s="89"/>
      <c r="J809" s="89"/>
      <c r="K809" s="89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</row>
    <row r="810" spans="1:26" ht="16.5" customHeight="1">
      <c r="A810" s="66"/>
      <c r="B810" s="66"/>
      <c r="C810" s="89"/>
      <c r="D810" s="89"/>
      <c r="E810" s="89"/>
      <c r="F810" s="89"/>
      <c r="G810" s="89"/>
      <c r="H810" s="89"/>
      <c r="I810" s="89"/>
      <c r="J810" s="89"/>
      <c r="K810" s="89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</row>
    <row r="811" spans="1:26" ht="16.5" customHeight="1">
      <c r="A811" s="66"/>
      <c r="B811" s="66"/>
      <c r="C811" s="89"/>
      <c r="D811" s="89"/>
      <c r="E811" s="89"/>
      <c r="F811" s="89"/>
      <c r="G811" s="89"/>
      <c r="H811" s="89"/>
      <c r="I811" s="89"/>
      <c r="J811" s="89"/>
      <c r="K811" s="89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</row>
    <row r="812" spans="1:26" ht="16.5" customHeight="1">
      <c r="A812" s="66"/>
      <c r="B812" s="66"/>
      <c r="C812" s="89"/>
      <c r="D812" s="89"/>
      <c r="E812" s="89"/>
      <c r="F812" s="89"/>
      <c r="G812" s="89"/>
      <c r="H812" s="89"/>
      <c r="I812" s="89"/>
      <c r="J812" s="89"/>
      <c r="K812" s="89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</row>
    <row r="813" spans="1:26" ht="16.5" customHeight="1">
      <c r="A813" s="66"/>
      <c r="B813" s="66"/>
      <c r="C813" s="89"/>
      <c r="D813" s="89"/>
      <c r="E813" s="89"/>
      <c r="F813" s="89"/>
      <c r="G813" s="89"/>
      <c r="H813" s="89"/>
      <c r="I813" s="89"/>
      <c r="J813" s="89"/>
      <c r="K813" s="89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</row>
    <row r="814" spans="1:26" ht="16.5" customHeight="1">
      <c r="A814" s="66"/>
      <c r="B814" s="66"/>
      <c r="C814" s="89"/>
      <c r="D814" s="89"/>
      <c r="E814" s="89"/>
      <c r="F814" s="89"/>
      <c r="G814" s="89"/>
      <c r="H814" s="89"/>
      <c r="I814" s="89"/>
      <c r="J814" s="89"/>
      <c r="K814" s="89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</row>
    <row r="815" spans="1:26" ht="16.5" customHeight="1">
      <c r="A815" s="66"/>
      <c r="B815" s="66"/>
      <c r="C815" s="89"/>
      <c r="D815" s="89"/>
      <c r="E815" s="89"/>
      <c r="F815" s="89"/>
      <c r="G815" s="89"/>
      <c r="H815" s="89"/>
      <c r="I815" s="89"/>
      <c r="J815" s="89"/>
      <c r="K815" s="89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</row>
    <row r="816" spans="1:26" ht="16.5" customHeight="1">
      <c r="A816" s="66"/>
      <c r="B816" s="66"/>
      <c r="C816" s="89"/>
      <c r="D816" s="89"/>
      <c r="E816" s="89"/>
      <c r="F816" s="89"/>
      <c r="G816" s="89"/>
      <c r="H816" s="89"/>
      <c r="I816" s="89"/>
      <c r="J816" s="89"/>
      <c r="K816" s="89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</row>
    <row r="817" spans="1:26" ht="16.5" customHeight="1">
      <c r="A817" s="66"/>
      <c r="B817" s="66"/>
      <c r="C817" s="89"/>
      <c r="D817" s="89"/>
      <c r="E817" s="89"/>
      <c r="F817" s="89"/>
      <c r="G817" s="89"/>
      <c r="H817" s="89"/>
      <c r="I817" s="89"/>
      <c r="J817" s="89"/>
      <c r="K817" s="89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</row>
    <row r="818" spans="1:26" ht="16.5" customHeight="1">
      <c r="A818" s="66"/>
      <c r="B818" s="66"/>
      <c r="C818" s="89"/>
      <c r="D818" s="89"/>
      <c r="E818" s="89"/>
      <c r="F818" s="89"/>
      <c r="G818" s="89"/>
      <c r="H818" s="89"/>
      <c r="I818" s="89"/>
      <c r="J818" s="89"/>
      <c r="K818" s="89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</row>
    <row r="819" spans="1:26" ht="16.5" customHeight="1">
      <c r="A819" s="66"/>
      <c r="B819" s="66"/>
      <c r="C819" s="89"/>
      <c r="D819" s="89"/>
      <c r="E819" s="89"/>
      <c r="F819" s="89"/>
      <c r="G819" s="89"/>
      <c r="H819" s="89"/>
      <c r="I819" s="89"/>
      <c r="J819" s="89"/>
      <c r="K819" s="89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</row>
    <row r="820" spans="1:26" ht="16.5" customHeight="1">
      <c r="A820" s="66"/>
      <c r="B820" s="66"/>
      <c r="C820" s="89"/>
      <c r="D820" s="89"/>
      <c r="E820" s="89"/>
      <c r="F820" s="89"/>
      <c r="G820" s="89"/>
      <c r="H820" s="89"/>
      <c r="I820" s="89"/>
      <c r="J820" s="89"/>
      <c r="K820" s="89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</row>
    <row r="821" spans="1:26" ht="16.5" customHeight="1">
      <c r="A821" s="66"/>
      <c r="B821" s="66"/>
      <c r="C821" s="89"/>
      <c r="D821" s="89"/>
      <c r="E821" s="89"/>
      <c r="F821" s="89"/>
      <c r="G821" s="89"/>
      <c r="H821" s="89"/>
      <c r="I821" s="89"/>
      <c r="J821" s="89"/>
      <c r="K821" s="89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</row>
    <row r="822" spans="1:26" ht="16.5" customHeight="1">
      <c r="A822" s="66"/>
      <c r="B822" s="66"/>
      <c r="C822" s="89"/>
      <c r="D822" s="89"/>
      <c r="E822" s="89"/>
      <c r="F822" s="89"/>
      <c r="G822" s="89"/>
      <c r="H822" s="89"/>
      <c r="I822" s="89"/>
      <c r="J822" s="89"/>
      <c r="K822" s="89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</row>
    <row r="823" spans="1:26" ht="16.5" customHeight="1">
      <c r="A823" s="66"/>
      <c r="B823" s="66"/>
      <c r="C823" s="89"/>
      <c r="D823" s="89"/>
      <c r="E823" s="89"/>
      <c r="F823" s="89"/>
      <c r="G823" s="89"/>
      <c r="H823" s="89"/>
      <c r="I823" s="89"/>
      <c r="J823" s="89"/>
      <c r="K823" s="89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</row>
    <row r="824" spans="1:26" ht="16.5" customHeight="1">
      <c r="A824" s="66"/>
      <c r="B824" s="66"/>
      <c r="C824" s="89"/>
      <c r="D824" s="89"/>
      <c r="E824" s="89"/>
      <c r="F824" s="89"/>
      <c r="G824" s="89"/>
      <c r="H824" s="89"/>
      <c r="I824" s="89"/>
      <c r="J824" s="89"/>
      <c r="K824" s="89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</row>
    <row r="825" spans="1:26" ht="16.5" customHeight="1">
      <c r="A825" s="66"/>
      <c r="B825" s="66"/>
      <c r="C825" s="89"/>
      <c r="D825" s="89"/>
      <c r="E825" s="89"/>
      <c r="F825" s="89"/>
      <c r="G825" s="89"/>
      <c r="H825" s="89"/>
      <c r="I825" s="89"/>
      <c r="J825" s="89"/>
      <c r="K825" s="89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</row>
    <row r="826" spans="1:26" ht="16.5" customHeight="1">
      <c r="A826" s="66"/>
      <c r="B826" s="66"/>
      <c r="C826" s="89"/>
      <c r="D826" s="89"/>
      <c r="E826" s="89"/>
      <c r="F826" s="89"/>
      <c r="G826" s="89"/>
      <c r="H826" s="89"/>
      <c r="I826" s="89"/>
      <c r="J826" s="89"/>
      <c r="K826" s="89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</row>
    <row r="827" spans="1:26" ht="16.5" customHeight="1">
      <c r="A827" s="66"/>
      <c r="B827" s="66"/>
      <c r="C827" s="89"/>
      <c r="D827" s="89"/>
      <c r="E827" s="89"/>
      <c r="F827" s="89"/>
      <c r="G827" s="89"/>
      <c r="H827" s="89"/>
      <c r="I827" s="89"/>
      <c r="J827" s="89"/>
      <c r="K827" s="89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</row>
    <row r="828" spans="1:26" ht="16.5" customHeight="1">
      <c r="A828" s="66"/>
      <c r="B828" s="66"/>
      <c r="C828" s="89"/>
      <c r="D828" s="89"/>
      <c r="E828" s="89"/>
      <c r="F828" s="89"/>
      <c r="G828" s="89"/>
      <c r="H828" s="89"/>
      <c r="I828" s="89"/>
      <c r="J828" s="89"/>
      <c r="K828" s="89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</row>
    <row r="829" spans="1:26" ht="16.5" customHeight="1">
      <c r="A829" s="66"/>
      <c r="B829" s="66"/>
      <c r="C829" s="89"/>
      <c r="D829" s="89"/>
      <c r="E829" s="89"/>
      <c r="F829" s="89"/>
      <c r="G829" s="89"/>
      <c r="H829" s="89"/>
      <c r="I829" s="89"/>
      <c r="J829" s="89"/>
      <c r="K829" s="89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</row>
    <row r="830" spans="1:26" ht="16.5" customHeight="1">
      <c r="A830" s="66"/>
      <c r="B830" s="66"/>
      <c r="C830" s="89"/>
      <c r="D830" s="89"/>
      <c r="E830" s="89"/>
      <c r="F830" s="89"/>
      <c r="G830" s="89"/>
      <c r="H830" s="89"/>
      <c r="I830" s="89"/>
      <c r="J830" s="89"/>
      <c r="K830" s="89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</row>
    <row r="831" spans="1:26" ht="16.5" customHeight="1">
      <c r="A831" s="66"/>
      <c r="B831" s="66"/>
      <c r="C831" s="89"/>
      <c r="D831" s="89"/>
      <c r="E831" s="89"/>
      <c r="F831" s="89"/>
      <c r="G831" s="89"/>
      <c r="H831" s="89"/>
      <c r="I831" s="89"/>
      <c r="J831" s="89"/>
      <c r="K831" s="89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</row>
    <row r="832" spans="1:26" ht="16.5" customHeight="1">
      <c r="A832" s="66"/>
      <c r="B832" s="66"/>
      <c r="C832" s="89"/>
      <c r="D832" s="89"/>
      <c r="E832" s="89"/>
      <c r="F832" s="89"/>
      <c r="G832" s="89"/>
      <c r="H832" s="89"/>
      <c r="I832" s="89"/>
      <c r="J832" s="89"/>
      <c r="K832" s="89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</row>
    <row r="833" spans="1:26" ht="16.5" customHeight="1">
      <c r="A833" s="66"/>
      <c r="B833" s="66"/>
      <c r="C833" s="89"/>
      <c r="D833" s="89"/>
      <c r="E833" s="89"/>
      <c r="F833" s="89"/>
      <c r="G833" s="89"/>
      <c r="H833" s="89"/>
      <c r="I833" s="89"/>
      <c r="J833" s="89"/>
      <c r="K833" s="89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</row>
    <row r="834" spans="1:26" ht="16.5" customHeight="1">
      <c r="A834" s="66"/>
      <c r="B834" s="66"/>
      <c r="C834" s="89"/>
      <c r="D834" s="89"/>
      <c r="E834" s="89"/>
      <c r="F834" s="89"/>
      <c r="G834" s="89"/>
      <c r="H834" s="89"/>
      <c r="I834" s="89"/>
      <c r="J834" s="89"/>
      <c r="K834" s="89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</row>
    <row r="835" spans="1:26" ht="16.5" customHeight="1">
      <c r="A835" s="66"/>
      <c r="B835" s="66"/>
      <c r="C835" s="89"/>
      <c r="D835" s="89"/>
      <c r="E835" s="89"/>
      <c r="F835" s="89"/>
      <c r="G835" s="89"/>
      <c r="H835" s="89"/>
      <c r="I835" s="89"/>
      <c r="J835" s="89"/>
      <c r="K835" s="89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</row>
    <row r="836" spans="1:26" ht="16.5" customHeight="1">
      <c r="A836" s="66"/>
      <c r="B836" s="66"/>
      <c r="C836" s="89"/>
      <c r="D836" s="89"/>
      <c r="E836" s="89"/>
      <c r="F836" s="89"/>
      <c r="G836" s="89"/>
      <c r="H836" s="89"/>
      <c r="I836" s="89"/>
      <c r="J836" s="89"/>
      <c r="K836" s="89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</row>
    <row r="837" spans="1:26" ht="16.5" customHeight="1">
      <c r="A837" s="66"/>
      <c r="B837" s="66"/>
      <c r="C837" s="89"/>
      <c r="D837" s="89"/>
      <c r="E837" s="89"/>
      <c r="F837" s="89"/>
      <c r="G837" s="89"/>
      <c r="H837" s="89"/>
      <c r="I837" s="89"/>
      <c r="J837" s="89"/>
      <c r="K837" s="89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</row>
    <row r="838" spans="1:26" ht="16.5" customHeight="1">
      <c r="A838" s="66"/>
      <c r="B838" s="66"/>
      <c r="C838" s="89"/>
      <c r="D838" s="89"/>
      <c r="E838" s="89"/>
      <c r="F838" s="89"/>
      <c r="G838" s="89"/>
      <c r="H838" s="89"/>
      <c r="I838" s="89"/>
      <c r="J838" s="89"/>
      <c r="K838" s="89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</row>
    <row r="839" spans="1:26" ht="16.5" customHeight="1">
      <c r="A839" s="66"/>
      <c r="B839" s="66"/>
      <c r="C839" s="89"/>
      <c r="D839" s="89"/>
      <c r="E839" s="89"/>
      <c r="F839" s="89"/>
      <c r="G839" s="89"/>
      <c r="H839" s="89"/>
      <c r="I839" s="89"/>
      <c r="J839" s="89"/>
      <c r="K839" s="89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</row>
    <row r="840" spans="1:26" ht="16.5" customHeight="1">
      <c r="A840" s="66"/>
      <c r="B840" s="66"/>
      <c r="C840" s="89"/>
      <c r="D840" s="89"/>
      <c r="E840" s="89"/>
      <c r="F840" s="89"/>
      <c r="G840" s="89"/>
      <c r="H840" s="89"/>
      <c r="I840" s="89"/>
      <c r="J840" s="89"/>
      <c r="K840" s="89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</row>
    <row r="841" spans="1:26" ht="16.5" customHeight="1">
      <c r="A841" s="66"/>
      <c r="B841" s="66"/>
      <c r="C841" s="89"/>
      <c r="D841" s="89"/>
      <c r="E841" s="89"/>
      <c r="F841" s="89"/>
      <c r="G841" s="89"/>
      <c r="H841" s="89"/>
      <c r="I841" s="89"/>
      <c r="J841" s="89"/>
      <c r="K841" s="89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</row>
    <row r="842" spans="1:26" ht="16.5" customHeight="1">
      <c r="A842" s="66"/>
      <c r="B842" s="66"/>
      <c r="C842" s="89"/>
      <c r="D842" s="89"/>
      <c r="E842" s="89"/>
      <c r="F842" s="89"/>
      <c r="G842" s="89"/>
      <c r="H842" s="89"/>
      <c r="I842" s="89"/>
      <c r="J842" s="89"/>
      <c r="K842" s="89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</row>
    <row r="843" spans="1:26" ht="16.5" customHeight="1">
      <c r="A843" s="66"/>
      <c r="B843" s="66"/>
      <c r="C843" s="89"/>
      <c r="D843" s="89"/>
      <c r="E843" s="89"/>
      <c r="F843" s="89"/>
      <c r="G843" s="89"/>
      <c r="H843" s="89"/>
      <c r="I843" s="89"/>
      <c r="J843" s="89"/>
      <c r="K843" s="89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</row>
    <row r="844" spans="1:26" ht="16.5" customHeight="1">
      <c r="A844" s="66"/>
      <c r="B844" s="66"/>
      <c r="C844" s="89"/>
      <c r="D844" s="89"/>
      <c r="E844" s="89"/>
      <c r="F844" s="89"/>
      <c r="G844" s="89"/>
      <c r="H844" s="89"/>
      <c r="I844" s="89"/>
      <c r="J844" s="89"/>
      <c r="K844" s="89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</row>
    <row r="845" spans="1:26" ht="16.5" customHeight="1">
      <c r="A845" s="66"/>
      <c r="B845" s="66"/>
      <c r="C845" s="89"/>
      <c r="D845" s="89"/>
      <c r="E845" s="89"/>
      <c r="F845" s="89"/>
      <c r="G845" s="89"/>
      <c r="H845" s="89"/>
      <c r="I845" s="89"/>
      <c r="J845" s="89"/>
      <c r="K845" s="89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</row>
    <row r="846" spans="1:26" ht="16.5" customHeight="1">
      <c r="A846" s="66"/>
      <c r="B846" s="66"/>
      <c r="C846" s="89"/>
      <c r="D846" s="89"/>
      <c r="E846" s="89"/>
      <c r="F846" s="89"/>
      <c r="G846" s="89"/>
      <c r="H846" s="89"/>
      <c r="I846" s="89"/>
      <c r="J846" s="89"/>
      <c r="K846" s="89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</row>
    <row r="847" spans="1:26" ht="16.5" customHeight="1">
      <c r="A847" s="66"/>
      <c r="B847" s="66"/>
      <c r="C847" s="89"/>
      <c r="D847" s="89"/>
      <c r="E847" s="89"/>
      <c r="F847" s="89"/>
      <c r="G847" s="89"/>
      <c r="H847" s="89"/>
      <c r="I847" s="89"/>
      <c r="J847" s="89"/>
      <c r="K847" s="89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</row>
    <row r="848" spans="1:26" ht="16.5" customHeight="1">
      <c r="A848" s="66"/>
      <c r="B848" s="66"/>
      <c r="C848" s="89"/>
      <c r="D848" s="89"/>
      <c r="E848" s="89"/>
      <c r="F848" s="89"/>
      <c r="G848" s="89"/>
      <c r="H848" s="89"/>
      <c r="I848" s="89"/>
      <c r="J848" s="89"/>
      <c r="K848" s="89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</row>
    <row r="849" spans="1:26" ht="16.5" customHeight="1">
      <c r="A849" s="66"/>
      <c r="B849" s="66"/>
      <c r="C849" s="89"/>
      <c r="D849" s="89"/>
      <c r="E849" s="89"/>
      <c r="F849" s="89"/>
      <c r="G849" s="89"/>
      <c r="H849" s="89"/>
      <c r="I849" s="89"/>
      <c r="J849" s="89"/>
      <c r="K849" s="89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</row>
    <row r="850" spans="1:26" ht="16.5" customHeight="1">
      <c r="A850" s="66"/>
      <c r="B850" s="66"/>
      <c r="C850" s="89"/>
      <c r="D850" s="89"/>
      <c r="E850" s="89"/>
      <c r="F850" s="89"/>
      <c r="G850" s="89"/>
      <c r="H850" s="89"/>
      <c r="I850" s="89"/>
      <c r="J850" s="89"/>
      <c r="K850" s="89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</row>
    <row r="851" spans="1:26" ht="16.5" customHeight="1">
      <c r="A851" s="66"/>
      <c r="B851" s="66"/>
      <c r="C851" s="89"/>
      <c r="D851" s="89"/>
      <c r="E851" s="89"/>
      <c r="F851" s="89"/>
      <c r="G851" s="89"/>
      <c r="H851" s="89"/>
      <c r="I851" s="89"/>
      <c r="J851" s="89"/>
      <c r="K851" s="89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</row>
    <row r="852" spans="1:26" ht="16.5" customHeight="1">
      <c r="A852" s="66"/>
      <c r="B852" s="66"/>
      <c r="C852" s="89"/>
      <c r="D852" s="89"/>
      <c r="E852" s="89"/>
      <c r="F852" s="89"/>
      <c r="G852" s="89"/>
      <c r="H852" s="89"/>
      <c r="I852" s="89"/>
      <c r="J852" s="89"/>
      <c r="K852" s="89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</row>
    <row r="853" spans="1:26" ht="16.5" customHeight="1">
      <c r="A853" s="66"/>
      <c r="B853" s="66"/>
      <c r="C853" s="89"/>
      <c r="D853" s="89"/>
      <c r="E853" s="89"/>
      <c r="F853" s="89"/>
      <c r="G853" s="89"/>
      <c r="H853" s="89"/>
      <c r="I853" s="89"/>
      <c r="J853" s="89"/>
      <c r="K853" s="89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</row>
    <row r="854" spans="1:26" ht="16.5" customHeight="1">
      <c r="A854" s="66"/>
      <c r="B854" s="66"/>
      <c r="C854" s="89"/>
      <c r="D854" s="89"/>
      <c r="E854" s="89"/>
      <c r="F854" s="89"/>
      <c r="G854" s="89"/>
      <c r="H854" s="89"/>
      <c r="I854" s="89"/>
      <c r="J854" s="89"/>
      <c r="K854" s="89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</row>
    <row r="855" spans="1:26" ht="16.5" customHeight="1">
      <c r="A855" s="66"/>
      <c r="B855" s="66"/>
      <c r="C855" s="89"/>
      <c r="D855" s="89"/>
      <c r="E855" s="89"/>
      <c r="F855" s="89"/>
      <c r="G855" s="89"/>
      <c r="H855" s="89"/>
      <c r="I855" s="89"/>
      <c r="J855" s="89"/>
      <c r="K855" s="89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</row>
    <row r="856" spans="1:26" ht="16.5" customHeight="1">
      <c r="A856" s="66"/>
      <c r="B856" s="66"/>
      <c r="C856" s="89"/>
      <c r="D856" s="89"/>
      <c r="E856" s="89"/>
      <c r="F856" s="89"/>
      <c r="G856" s="89"/>
      <c r="H856" s="89"/>
      <c r="I856" s="89"/>
      <c r="J856" s="89"/>
      <c r="K856" s="89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</row>
    <row r="857" spans="1:26" ht="16.5" customHeight="1">
      <c r="A857" s="66"/>
      <c r="B857" s="66"/>
      <c r="C857" s="89"/>
      <c r="D857" s="89"/>
      <c r="E857" s="89"/>
      <c r="F857" s="89"/>
      <c r="G857" s="89"/>
      <c r="H857" s="89"/>
      <c r="I857" s="89"/>
      <c r="J857" s="89"/>
      <c r="K857" s="89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</row>
    <row r="858" spans="1:26" ht="16.5" customHeight="1">
      <c r="A858" s="66"/>
      <c r="B858" s="66"/>
      <c r="C858" s="89"/>
      <c r="D858" s="89"/>
      <c r="E858" s="89"/>
      <c r="F858" s="89"/>
      <c r="G858" s="89"/>
      <c r="H858" s="89"/>
      <c r="I858" s="89"/>
      <c r="J858" s="89"/>
      <c r="K858" s="89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</row>
    <row r="859" spans="1:26" ht="16.5" customHeight="1">
      <c r="A859" s="66"/>
      <c r="B859" s="66"/>
      <c r="C859" s="89"/>
      <c r="D859" s="89"/>
      <c r="E859" s="89"/>
      <c r="F859" s="89"/>
      <c r="G859" s="89"/>
      <c r="H859" s="89"/>
      <c r="I859" s="89"/>
      <c r="J859" s="89"/>
      <c r="K859" s="89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</row>
    <row r="860" spans="1:26" ht="16.5" customHeight="1">
      <c r="A860" s="66"/>
      <c r="B860" s="66"/>
      <c r="C860" s="89"/>
      <c r="D860" s="89"/>
      <c r="E860" s="89"/>
      <c r="F860" s="89"/>
      <c r="G860" s="89"/>
      <c r="H860" s="89"/>
      <c r="I860" s="89"/>
      <c r="J860" s="89"/>
      <c r="K860" s="89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</row>
    <row r="861" spans="1:26" ht="16.5" customHeight="1">
      <c r="A861" s="66"/>
      <c r="B861" s="66"/>
      <c r="C861" s="89"/>
      <c r="D861" s="89"/>
      <c r="E861" s="89"/>
      <c r="F861" s="89"/>
      <c r="G861" s="89"/>
      <c r="H861" s="89"/>
      <c r="I861" s="89"/>
      <c r="J861" s="89"/>
      <c r="K861" s="89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</row>
    <row r="862" spans="1:26" ht="16.5" customHeight="1">
      <c r="A862" s="66"/>
      <c r="B862" s="66"/>
      <c r="C862" s="89"/>
      <c r="D862" s="89"/>
      <c r="E862" s="89"/>
      <c r="F862" s="89"/>
      <c r="G862" s="89"/>
      <c r="H862" s="89"/>
      <c r="I862" s="89"/>
      <c r="J862" s="89"/>
      <c r="K862" s="89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</row>
    <row r="863" spans="1:26" ht="16.5" customHeight="1">
      <c r="A863" s="66"/>
      <c r="B863" s="66"/>
      <c r="C863" s="89"/>
      <c r="D863" s="89"/>
      <c r="E863" s="89"/>
      <c r="F863" s="89"/>
      <c r="G863" s="89"/>
      <c r="H863" s="89"/>
      <c r="I863" s="89"/>
      <c r="J863" s="89"/>
      <c r="K863" s="89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</row>
    <row r="864" spans="1:26" ht="16.5" customHeight="1">
      <c r="A864" s="66"/>
      <c r="B864" s="66"/>
      <c r="C864" s="89"/>
      <c r="D864" s="89"/>
      <c r="E864" s="89"/>
      <c r="F864" s="89"/>
      <c r="G864" s="89"/>
      <c r="H864" s="89"/>
      <c r="I864" s="89"/>
      <c r="J864" s="89"/>
      <c r="K864" s="89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</row>
    <row r="865" spans="1:26" ht="16.5" customHeight="1">
      <c r="A865" s="66"/>
      <c r="B865" s="66"/>
      <c r="C865" s="89"/>
      <c r="D865" s="89"/>
      <c r="E865" s="89"/>
      <c r="F865" s="89"/>
      <c r="G865" s="89"/>
      <c r="H865" s="89"/>
      <c r="I865" s="89"/>
      <c r="J865" s="89"/>
      <c r="K865" s="89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</row>
    <row r="866" spans="1:26" ht="16.5" customHeight="1">
      <c r="A866" s="66"/>
      <c r="B866" s="66"/>
      <c r="C866" s="89"/>
      <c r="D866" s="89"/>
      <c r="E866" s="89"/>
      <c r="F866" s="89"/>
      <c r="G866" s="89"/>
      <c r="H866" s="89"/>
      <c r="I866" s="89"/>
      <c r="J866" s="89"/>
      <c r="K866" s="89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</row>
    <row r="867" spans="1:26" ht="16.5" customHeight="1">
      <c r="A867" s="66"/>
      <c r="B867" s="66"/>
      <c r="C867" s="89"/>
      <c r="D867" s="89"/>
      <c r="E867" s="89"/>
      <c r="F867" s="89"/>
      <c r="G867" s="89"/>
      <c r="H867" s="89"/>
      <c r="I867" s="89"/>
      <c r="J867" s="89"/>
      <c r="K867" s="89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</row>
    <row r="868" spans="1:26" ht="16.5" customHeight="1">
      <c r="A868" s="66"/>
      <c r="B868" s="66"/>
      <c r="C868" s="89"/>
      <c r="D868" s="89"/>
      <c r="E868" s="89"/>
      <c r="F868" s="89"/>
      <c r="G868" s="89"/>
      <c r="H868" s="89"/>
      <c r="I868" s="89"/>
      <c r="J868" s="89"/>
      <c r="K868" s="89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</row>
    <row r="869" spans="1:26" ht="16.5" customHeight="1">
      <c r="A869" s="66"/>
      <c r="B869" s="66"/>
      <c r="C869" s="89"/>
      <c r="D869" s="89"/>
      <c r="E869" s="89"/>
      <c r="F869" s="89"/>
      <c r="G869" s="89"/>
      <c r="H869" s="89"/>
      <c r="I869" s="89"/>
      <c r="J869" s="89"/>
      <c r="K869" s="89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</row>
    <row r="870" spans="1:26" ht="16.5" customHeight="1">
      <c r="A870" s="66"/>
      <c r="B870" s="66"/>
      <c r="C870" s="89"/>
      <c r="D870" s="89"/>
      <c r="E870" s="89"/>
      <c r="F870" s="89"/>
      <c r="G870" s="89"/>
      <c r="H870" s="89"/>
      <c r="I870" s="89"/>
      <c r="J870" s="89"/>
      <c r="K870" s="89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</row>
    <row r="871" spans="1:26" ht="16.5" customHeight="1">
      <c r="A871" s="66"/>
      <c r="B871" s="66"/>
      <c r="C871" s="89"/>
      <c r="D871" s="89"/>
      <c r="E871" s="89"/>
      <c r="F871" s="89"/>
      <c r="G871" s="89"/>
      <c r="H871" s="89"/>
      <c r="I871" s="89"/>
      <c r="J871" s="89"/>
      <c r="K871" s="89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</row>
    <row r="872" spans="1:26" ht="16.5" customHeight="1">
      <c r="A872" s="66"/>
      <c r="B872" s="66"/>
      <c r="C872" s="89"/>
      <c r="D872" s="89"/>
      <c r="E872" s="89"/>
      <c r="F872" s="89"/>
      <c r="G872" s="89"/>
      <c r="H872" s="89"/>
      <c r="I872" s="89"/>
      <c r="J872" s="89"/>
      <c r="K872" s="89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</row>
    <row r="873" spans="1:26" ht="16.5" customHeight="1">
      <c r="A873" s="66"/>
      <c r="B873" s="66"/>
      <c r="C873" s="89"/>
      <c r="D873" s="89"/>
      <c r="E873" s="89"/>
      <c r="F873" s="89"/>
      <c r="G873" s="89"/>
      <c r="H873" s="89"/>
      <c r="I873" s="89"/>
      <c r="J873" s="89"/>
      <c r="K873" s="89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</row>
    <row r="874" spans="1:26" ht="16.5" customHeight="1">
      <c r="A874" s="66"/>
      <c r="B874" s="66"/>
      <c r="C874" s="89"/>
      <c r="D874" s="89"/>
      <c r="E874" s="89"/>
      <c r="F874" s="89"/>
      <c r="G874" s="89"/>
      <c r="H874" s="89"/>
      <c r="I874" s="89"/>
      <c r="J874" s="89"/>
      <c r="K874" s="89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</row>
    <row r="875" spans="1:26" ht="16.5" customHeight="1">
      <c r="A875" s="66"/>
      <c r="B875" s="66"/>
      <c r="C875" s="89"/>
      <c r="D875" s="89"/>
      <c r="E875" s="89"/>
      <c r="F875" s="89"/>
      <c r="G875" s="89"/>
      <c r="H875" s="89"/>
      <c r="I875" s="89"/>
      <c r="J875" s="89"/>
      <c r="K875" s="89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</row>
    <row r="876" spans="1:26" ht="16.5" customHeight="1">
      <c r="A876" s="66"/>
      <c r="B876" s="66"/>
      <c r="C876" s="89"/>
      <c r="D876" s="89"/>
      <c r="E876" s="89"/>
      <c r="F876" s="89"/>
      <c r="G876" s="89"/>
      <c r="H876" s="89"/>
      <c r="I876" s="89"/>
      <c r="J876" s="89"/>
      <c r="K876" s="89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</row>
    <row r="877" spans="1:26" ht="16.5" customHeight="1">
      <c r="A877" s="66"/>
      <c r="B877" s="66"/>
      <c r="C877" s="89"/>
      <c r="D877" s="89"/>
      <c r="E877" s="89"/>
      <c r="F877" s="89"/>
      <c r="G877" s="89"/>
      <c r="H877" s="89"/>
      <c r="I877" s="89"/>
      <c r="J877" s="89"/>
      <c r="K877" s="89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</row>
    <row r="878" spans="1:26" ht="16.5" customHeight="1">
      <c r="A878" s="66"/>
      <c r="B878" s="66"/>
      <c r="C878" s="89"/>
      <c r="D878" s="89"/>
      <c r="E878" s="89"/>
      <c r="F878" s="89"/>
      <c r="G878" s="89"/>
      <c r="H878" s="89"/>
      <c r="I878" s="89"/>
      <c r="J878" s="89"/>
      <c r="K878" s="89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</row>
    <row r="879" spans="1:26" ht="16.5" customHeight="1">
      <c r="A879" s="66"/>
      <c r="B879" s="66"/>
      <c r="C879" s="89"/>
      <c r="D879" s="89"/>
      <c r="E879" s="89"/>
      <c r="F879" s="89"/>
      <c r="G879" s="89"/>
      <c r="H879" s="89"/>
      <c r="I879" s="89"/>
      <c r="J879" s="89"/>
      <c r="K879" s="89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</row>
    <row r="880" spans="1:26" ht="16.5" customHeight="1">
      <c r="A880" s="66"/>
      <c r="B880" s="66"/>
      <c r="C880" s="89"/>
      <c r="D880" s="89"/>
      <c r="E880" s="89"/>
      <c r="F880" s="89"/>
      <c r="G880" s="89"/>
      <c r="H880" s="89"/>
      <c r="I880" s="89"/>
      <c r="J880" s="89"/>
      <c r="K880" s="89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</row>
    <row r="881" spans="1:26" ht="16.5" customHeight="1">
      <c r="A881" s="66"/>
      <c r="B881" s="66"/>
      <c r="C881" s="89"/>
      <c r="D881" s="89"/>
      <c r="E881" s="89"/>
      <c r="F881" s="89"/>
      <c r="G881" s="89"/>
      <c r="H881" s="89"/>
      <c r="I881" s="89"/>
      <c r="J881" s="89"/>
      <c r="K881" s="89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</row>
    <row r="882" spans="1:26" ht="16.5" customHeight="1">
      <c r="A882" s="66"/>
      <c r="B882" s="66"/>
      <c r="C882" s="89"/>
      <c r="D882" s="89"/>
      <c r="E882" s="89"/>
      <c r="F882" s="89"/>
      <c r="G882" s="89"/>
      <c r="H882" s="89"/>
      <c r="I882" s="89"/>
      <c r="J882" s="89"/>
      <c r="K882" s="89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</row>
    <row r="883" spans="1:26" ht="16.5" customHeight="1">
      <c r="A883" s="66"/>
      <c r="B883" s="66"/>
      <c r="C883" s="89"/>
      <c r="D883" s="89"/>
      <c r="E883" s="89"/>
      <c r="F883" s="89"/>
      <c r="G883" s="89"/>
      <c r="H883" s="89"/>
      <c r="I883" s="89"/>
      <c r="J883" s="89"/>
      <c r="K883" s="89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</row>
    <row r="884" spans="1:26" ht="16.5" customHeight="1">
      <c r="A884" s="66"/>
      <c r="B884" s="66"/>
      <c r="C884" s="89"/>
      <c r="D884" s="89"/>
      <c r="E884" s="89"/>
      <c r="F884" s="89"/>
      <c r="G884" s="89"/>
      <c r="H884" s="89"/>
      <c r="I884" s="89"/>
      <c r="J884" s="89"/>
      <c r="K884" s="89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</row>
    <row r="885" spans="1:26" ht="16.5" customHeight="1">
      <c r="A885" s="66"/>
      <c r="B885" s="66"/>
      <c r="C885" s="89"/>
      <c r="D885" s="89"/>
      <c r="E885" s="89"/>
      <c r="F885" s="89"/>
      <c r="G885" s="89"/>
      <c r="H885" s="89"/>
      <c r="I885" s="89"/>
      <c r="J885" s="89"/>
      <c r="K885" s="89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</row>
    <row r="886" spans="1:26" ht="16.5" customHeight="1">
      <c r="A886" s="66"/>
      <c r="B886" s="66"/>
      <c r="C886" s="89"/>
      <c r="D886" s="89"/>
      <c r="E886" s="89"/>
      <c r="F886" s="89"/>
      <c r="G886" s="89"/>
      <c r="H886" s="89"/>
      <c r="I886" s="89"/>
      <c r="J886" s="89"/>
      <c r="K886" s="89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</row>
    <row r="887" spans="1:26" ht="16.5" customHeight="1">
      <c r="A887" s="66"/>
      <c r="B887" s="66"/>
      <c r="C887" s="89"/>
      <c r="D887" s="89"/>
      <c r="E887" s="89"/>
      <c r="F887" s="89"/>
      <c r="G887" s="89"/>
      <c r="H887" s="89"/>
      <c r="I887" s="89"/>
      <c r="J887" s="89"/>
      <c r="K887" s="89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</row>
    <row r="888" spans="1:26" ht="16.5" customHeight="1">
      <c r="A888" s="66"/>
      <c r="B888" s="66"/>
      <c r="C888" s="89"/>
      <c r="D888" s="89"/>
      <c r="E888" s="89"/>
      <c r="F888" s="89"/>
      <c r="G888" s="89"/>
      <c r="H888" s="89"/>
      <c r="I888" s="89"/>
      <c r="J888" s="89"/>
      <c r="K888" s="89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</row>
    <row r="889" spans="1:26" ht="16.5" customHeight="1">
      <c r="A889" s="66"/>
      <c r="B889" s="66"/>
      <c r="C889" s="89"/>
      <c r="D889" s="89"/>
      <c r="E889" s="89"/>
      <c r="F889" s="89"/>
      <c r="G889" s="89"/>
      <c r="H889" s="89"/>
      <c r="I889" s="89"/>
      <c r="J889" s="89"/>
      <c r="K889" s="89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</row>
    <row r="890" spans="1:26" ht="16.5" customHeight="1">
      <c r="A890" s="66"/>
      <c r="B890" s="66"/>
      <c r="C890" s="89"/>
      <c r="D890" s="89"/>
      <c r="E890" s="89"/>
      <c r="F890" s="89"/>
      <c r="G890" s="89"/>
      <c r="H890" s="89"/>
      <c r="I890" s="89"/>
      <c r="J890" s="89"/>
      <c r="K890" s="89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</row>
    <row r="891" spans="1:26" ht="16.5" customHeight="1">
      <c r="A891" s="66"/>
      <c r="B891" s="66"/>
      <c r="C891" s="89"/>
      <c r="D891" s="89"/>
      <c r="E891" s="89"/>
      <c r="F891" s="89"/>
      <c r="G891" s="89"/>
      <c r="H891" s="89"/>
      <c r="I891" s="89"/>
      <c r="J891" s="89"/>
      <c r="K891" s="89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</row>
    <row r="892" spans="1:26" ht="16.5" customHeight="1">
      <c r="A892" s="66"/>
      <c r="B892" s="66"/>
      <c r="C892" s="89"/>
      <c r="D892" s="89"/>
      <c r="E892" s="89"/>
      <c r="F892" s="89"/>
      <c r="G892" s="89"/>
      <c r="H892" s="89"/>
      <c r="I892" s="89"/>
      <c r="J892" s="89"/>
      <c r="K892" s="89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</row>
    <row r="893" spans="1:26" ht="16.5" customHeight="1">
      <c r="A893" s="66"/>
      <c r="B893" s="66"/>
      <c r="C893" s="89"/>
      <c r="D893" s="89"/>
      <c r="E893" s="89"/>
      <c r="F893" s="89"/>
      <c r="G893" s="89"/>
      <c r="H893" s="89"/>
      <c r="I893" s="89"/>
      <c r="J893" s="89"/>
      <c r="K893" s="89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</row>
    <row r="894" spans="1:26" ht="16.5" customHeight="1">
      <c r="A894" s="66"/>
      <c r="B894" s="66"/>
      <c r="C894" s="89"/>
      <c r="D894" s="89"/>
      <c r="E894" s="89"/>
      <c r="F894" s="89"/>
      <c r="G894" s="89"/>
      <c r="H894" s="89"/>
      <c r="I894" s="89"/>
      <c r="J894" s="89"/>
      <c r="K894" s="89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</row>
    <row r="895" spans="1:26" ht="16.5" customHeight="1">
      <c r="A895" s="66"/>
      <c r="B895" s="66"/>
      <c r="C895" s="89"/>
      <c r="D895" s="89"/>
      <c r="E895" s="89"/>
      <c r="F895" s="89"/>
      <c r="G895" s="89"/>
      <c r="H895" s="89"/>
      <c r="I895" s="89"/>
      <c r="J895" s="89"/>
      <c r="K895" s="89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</row>
    <row r="896" spans="1:26" ht="16.5" customHeight="1">
      <c r="A896" s="66"/>
      <c r="B896" s="66"/>
      <c r="C896" s="89"/>
      <c r="D896" s="89"/>
      <c r="E896" s="89"/>
      <c r="F896" s="89"/>
      <c r="G896" s="89"/>
      <c r="H896" s="89"/>
      <c r="I896" s="89"/>
      <c r="J896" s="89"/>
      <c r="K896" s="89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</row>
    <row r="897" spans="1:26" ht="16.5" customHeight="1">
      <c r="A897" s="66"/>
      <c r="B897" s="66"/>
      <c r="C897" s="89"/>
      <c r="D897" s="89"/>
      <c r="E897" s="89"/>
      <c r="F897" s="89"/>
      <c r="G897" s="89"/>
      <c r="H897" s="89"/>
      <c r="I897" s="89"/>
      <c r="J897" s="89"/>
      <c r="K897" s="89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</row>
    <row r="898" spans="1:26" ht="16.5" customHeight="1">
      <c r="A898" s="66"/>
      <c r="B898" s="66"/>
      <c r="C898" s="89"/>
      <c r="D898" s="89"/>
      <c r="E898" s="89"/>
      <c r="F898" s="89"/>
      <c r="G898" s="89"/>
      <c r="H898" s="89"/>
      <c r="I898" s="89"/>
      <c r="J898" s="89"/>
      <c r="K898" s="89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</row>
    <row r="899" spans="1:26" ht="16.5" customHeight="1">
      <c r="A899" s="66"/>
      <c r="B899" s="66"/>
      <c r="C899" s="89"/>
      <c r="D899" s="89"/>
      <c r="E899" s="89"/>
      <c r="F899" s="89"/>
      <c r="G899" s="89"/>
      <c r="H899" s="89"/>
      <c r="I899" s="89"/>
      <c r="J899" s="89"/>
      <c r="K899" s="89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</row>
    <row r="900" spans="1:26" ht="16.5" customHeight="1">
      <c r="A900" s="66"/>
      <c r="B900" s="66"/>
      <c r="C900" s="89"/>
      <c r="D900" s="89"/>
      <c r="E900" s="89"/>
      <c r="F900" s="89"/>
      <c r="G900" s="89"/>
      <c r="H900" s="89"/>
      <c r="I900" s="89"/>
      <c r="J900" s="89"/>
      <c r="K900" s="89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</row>
    <row r="901" spans="1:26" ht="16.5" customHeight="1">
      <c r="A901" s="66"/>
      <c r="B901" s="66"/>
      <c r="C901" s="89"/>
      <c r="D901" s="89"/>
      <c r="E901" s="89"/>
      <c r="F901" s="89"/>
      <c r="G901" s="89"/>
      <c r="H901" s="89"/>
      <c r="I901" s="89"/>
      <c r="J901" s="89"/>
      <c r="K901" s="89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</row>
    <row r="902" spans="1:26" ht="16.5" customHeight="1">
      <c r="A902" s="66"/>
      <c r="B902" s="66"/>
      <c r="C902" s="89"/>
      <c r="D902" s="89"/>
      <c r="E902" s="89"/>
      <c r="F902" s="89"/>
      <c r="G902" s="89"/>
      <c r="H902" s="89"/>
      <c r="I902" s="89"/>
      <c r="J902" s="89"/>
      <c r="K902" s="89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</row>
    <row r="903" spans="1:26" ht="16.5" customHeight="1">
      <c r="A903" s="66"/>
      <c r="B903" s="66"/>
      <c r="C903" s="89"/>
      <c r="D903" s="89"/>
      <c r="E903" s="89"/>
      <c r="F903" s="89"/>
      <c r="G903" s="89"/>
      <c r="H903" s="89"/>
      <c r="I903" s="89"/>
      <c r="J903" s="89"/>
      <c r="K903" s="89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</row>
    <row r="904" spans="1:26" ht="16.5" customHeight="1">
      <c r="A904" s="66"/>
      <c r="B904" s="66"/>
      <c r="C904" s="89"/>
      <c r="D904" s="89"/>
      <c r="E904" s="89"/>
      <c r="F904" s="89"/>
      <c r="G904" s="89"/>
      <c r="H904" s="89"/>
      <c r="I904" s="89"/>
      <c r="J904" s="89"/>
      <c r="K904" s="89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</row>
    <row r="905" spans="1:26" ht="16.5" customHeight="1">
      <c r="A905" s="66"/>
      <c r="B905" s="66"/>
      <c r="C905" s="89"/>
      <c r="D905" s="89"/>
      <c r="E905" s="89"/>
      <c r="F905" s="89"/>
      <c r="G905" s="89"/>
      <c r="H905" s="89"/>
      <c r="I905" s="89"/>
      <c r="J905" s="89"/>
      <c r="K905" s="89"/>
      <c r="L905" s="60"/>
      <c r="M905" s="60"/>
      <c r="N905" s="60"/>
      <c r="O905" s="60"/>
      <c r="P905" s="60"/>
      <c r="Q905" s="60"/>
      <c r="R905" s="60"/>
      <c r="S905" s="60"/>
      <c r="T905" s="60"/>
      <c r="U905" s="60"/>
      <c r="V905" s="60"/>
      <c r="W905" s="60"/>
      <c r="X905" s="60"/>
      <c r="Y905" s="60"/>
      <c r="Z905" s="60"/>
    </row>
    <row r="906" spans="1:26" ht="16.5" customHeight="1">
      <c r="A906" s="66"/>
      <c r="B906" s="66"/>
      <c r="C906" s="89"/>
      <c r="D906" s="89"/>
      <c r="E906" s="89"/>
      <c r="F906" s="89"/>
      <c r="G906" s="89"/>
      <c r="H906" s="89"/>
      <c r="I906" s="89"/>
      <c r="J906" s="89"/>
      <c r="K906" s="89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</row>
    <row r="907" spans="1:26" ht="16.5" customHeight="1">
      <c r="A907" s="66"/>
      <c r="B907" s="66"/>
      <c r="C907" s="89"/>
      <c r="D907" s="89"/>
      <c r="E907" s="89"/>
      <c r="F907" s="89"/>
      <c r="G907" s="89"/>
      <c r="H907" s="89"/>
      <c r="I907" s="89"/>
      <c r="J907" s="89"/>
      <c r="K907" s="89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</row>
    <row r="908" spans="1:26" ht="16.5" customHeight="1">
      <c r="A908" s="66"/>
      <c r="B908" s="66"/>
      <c r="C908" s="89"/>
      <c r="D908" s="89"/>
      <c r="E908" s="89"/>
      <c r="F908" s="89"/>
      <c r="G908" s="89"/>
      <c r="H908" s="89"/>
      <c r="I908" s="89"/>
      <c r="J908" s="89"/>
      <c r="K908" s="89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</row>
    <row r="909" spans="1:26" ht="16.5" customHeight="1">
      <c r="A909" s="66"/>
      <c r="B909" s="66"/>
      <c r="C909" s="89"/>
      <c r="D909" s="89"/>
      <c r="E909" s="89"/>
      <c r="F909" s="89"/>
      <c r="G909" s="89"/>
      <c r="H909" s="89"/>
      <c r="I909" s="89"/>
      <c r="J909" s="89"/>
      <c r="K909" s="89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</row>
    <row r="910" spans="1:26" ht="16.5" customHeight="1">
      <c r="A910" s="66"/>
      <c r="B910" s="66"/>
      <c r="C910" s="89"/>
      <c r="D910" s="89"/>
      <c r="E910" s="89"/>
      <c r="F910" s="89"/>
      <c r="G910" s="89"/>
      <c r="H910" s="89"/>
      <c r="I910" s="89"/>
      <c r="J910" s="89"/>
      <c r="K910" s="89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</row>
    <row r="911" spans="1:26" ht="16.5" customHeight="1">
      <c r="A911" s="66"/>
      <c r="B911" s="66"/>
      <c r="C911" s="89"/>
      <c r="D911" s="89"/>
      <c r="E911" s="89"/>
      <c r="F911" s="89"/>
      <c r="G911" s="89"/>
      <c r="H911" s="89"/>
      <c r="I911" s="89"/>
      <c r="J911" s="89"/>
      <c r="K911" s="89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</row>
    <row r="912" spans="1:26" ht="16.5" customHeight="1">
      <c r="A912" s="66"/>
      <c r="B912" s="66"/>
      <c r="C912" s="89"/>
      <c r="D912" s="89"/>
      <c r="E912" s="89"/>
      <c r="F912" s="89"/>
      <c r="G912" s="89"/>
      <c r="H912" s="89"/>
      <c r="I912" s="89"/>
      <c r="J912" s="89"/>
      <c r="K912" s="89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</row>
    <row r="913" spans="1:26" ht="16.5" customHeight="1">
      <c r="A913" s="66"/>
      <c r="B913" s="66"/>
      <c r="C913" s="89"/>
      <c r="D913" s="89"/>
      <c r="E913" s="89"/>
      <c r="F913" s="89"/>
      <c r="G913" s="89"/>
      <c r="H913" s="89"/>
      <c r="I913" s="89"/>
      <c r="J913" s="89"/>
      <c r="K913" s="89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</row>
    <row r="914" spans="1:26" ht="16.5" customHeight="1">
      <c r="A914" s="66"/>
      <c r="B914" s="66"/>
      <c r="C914" s="89"/>
      <c r="D914" s="89"/>
      <c r="E914" s="89"/>
      <c r="F914" s="89"/>
      <c r="G914" s="89"/>
      <c r="H914" s="89"/>
      <c r="I914" s="89"/>
      <c r="J914" s="89"/>
      <c r="K914" s="89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</row>
    <row r="915" spans="1:26" ht="16.5" customHeight="1">
      <c r="A915" s="66"/>
      <c r="B915" s="66"/>
      <c r="C915" s="89"/>
      <c r="D915" s="89"/>
      <c r="E915" s="89"/>
      <c r="F915" s="89"/>
      <c r="G915" s="89"/>
      <c r="H915" s="89"/>
      <c r="I915" s="89"/>
      <c r="J915" s="89"/>
      <c r="K915" s="89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</row>
    <row r="916" spans="1:26" ht="16.5" customHeight="1">
      <c r="A916" s="66"/>
      <c r="B916" s="66"/>
      <c r="C916" s="89"/>
      <c r="D916" s="89"/>
      <c r="E916" s="89"/>
      <c r="F916" s="89"/>
      <c r="G916" s="89"/>
      <c r="H916" s="89"/>
      <c r="I916" s="89"/>
      <c r="J916" s="89"/>
      <c r="K916" s="89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</row>
    <row r="917" spans="1:26" ht="16.5" customHeight="1">
      <c r="A917" s="66"/>
      <c r="B917" s="66"/>
      <c r="C917" s="89"/>
      <c r="D917" s="89"/>
      <c r="E917" s="89"/>
      <c r="F917" s="89"/>
      <c r="G917" s="89"/>
      <c r="H917" s="89"/>
      <c r="I917" s="89"/>
      <c r="J917" s="89"/>
      <c r="K917" s="89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</row>
    <row r="918" spans="1:26" ht="16.5" customHeight="1">
      <c r="A918" s="66"/>
      <c r="B918" s="66"/>
      <c r="C918" s="89"/>
      <c r="D918" s="89"/>
      <c r="E918" s="89"/>
      <c r="F918" s="89"/>
      <c r="G918" s="89"/>
      <c r="H918" s="89"/>
      <c r="I918" s="89"/>
      <c r="J918" s="89"/>
      <c r="K918" s="89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</row>
    <row r="919" spans="1:26" ht="16.5" customHeight="1">
      <c r="A919" s="66"/>
      <c r="B919" s="66"/>
      <c r="C919" s="89"/>
      <c r="D919" s="89"/>
      <c r="E919" s="89"/>
      <c r="F919" s="89"/>
      <c r="G919" s="89"/>
      <c r="H919" s="89"/>
      <c r="I919" s="89"/>
      <c r="J919" s="89"/>
      <c r="K919" s="89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</row>
    <row r="920" spans="1:26" ht="16.5" customHeight="1">
      <c r="A920" s="66"/>
      <c r="B920" s="66"/>
      <c r="C920" s="89"/>
      <c r="D920" s="89"/>
      <c r="E920" s="89"/>
      <c r="F920" s="89"/>
      <c r="G920" s="89"/>
      <c r="H920" s="89"/>
      <c r="I920" s="89"/>
      <c r="J920" s="89"/>
      <c r="K920" s="89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</row>
    <row r="921" spans="1:26" ht="16.5" customHeight="1">
      <c r="A921" s="66"/>
      <c r="B921" s="66"/>
      <c r="C921" s="89"/>
      <c r="D921" s="89"/>
      <c r="E921" s="89"/>
      <c r="F921" s="89"/>
      <c r="G921" s="89"/>
      <c r="H921" s="89"/>
      <c r="I921" s="89"/>
      <c r="J921" s="89"/>
      <c r="K921" s="89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</row>
    <row r="922" spans="1:26" ht="16.5" customHeight="1">
      <c r="A922" s="66"/>
      <c r="B922" s="66"/>
      <c r="C922" s="89"/>
      <c r="D922" s="89"/>
      <c r="E922" s="89"/>
      <c r="F922" s="89"/>
      <c r="G922" s="89"/>
      <c r="H922" s="89"/>
      <c r="I922" s="89"/>
      <c r="J922" s="89"/>
      <c r="K922" s="89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</row>
    <row r="923" spans="1:26" ht="16.5" customHeight="1">
      <c r="A923" s="66"/>
      <c r="B923" s="66"/>
      <c r="C923" s="89"/>
      <c r="D923" s="89"/>
      <c r="E923" s="89"/>
      <c r="F923" s="89"/>
      <c r="G923" s="89"/>
      <c r="H923" s="89"/>
      <c r="I923" s="89"/>
      <c r="J923" s="89"/>
      <c r="K923" s="89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</row>
    <row r="924" spans="1:26" ht="16.5" customHeight="1">
      <c r="A924" s="66"/>
      <c r="B924" s="66"/>
      <c r="C924" s="89"/>
      <c r="D924" s="89"/>
      <c r="E924" s="89"/>
      <c r="F924" s="89"/>
      <c r="G924" s="89"/>
      <c r="H924" s="89"/>
      <c r="I924" s="89"/>
      <c r="J924" s="89"/>
      <c r="K924" s="89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</row>
    <row r="925" spans="1:26" ht="16.5" customHeight="1">
      <c r="A925" s="66"/>
      <c r="B925" s="66"/>
      <c r="C925" s="89"/>
      <c r="D925" s="89"/>
      <c r="E925" s="89"/>
      <c r="F925" s="89"/>
      <c r="G925" s="89"/>
      <c r="H925" s="89"/>
      <c r="I925" s="89"/>
      <c r="J925" s="89"/>
      <c r="K925" s="89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</row>
    <row r="926" spans="1:26" ht="16.5" customHeight="1">
      <c r="A926" s="66"/>
      <c r="B926" s="66"/>
      <c r="C926" s="89"/>
      <c r="D926" s="89"/>
      <c r="E926" s="89"/>
      <c r="F926" s="89"/>
      <c r="G926" s="89"/>
      <c r="H926" s="89"/>
      <c r="I926" s="89"/>
      <c r="J926" s="89"/>
      <c r="K926" s="89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</row>
    <row r="927" spans="1:26" ht="16.5" customHeight="1">
      <c r="A927" s="66"/>
      <c r="B927" s="66"/>
      <c r="C927" s="89"/>
      <c r="D927" s="89"/>
      <c r="E927" s="89"/>
      <c r="F927" s="89"/>
      <c r="G927" s="89"/>
      <c r="H927" s="89"/>
      <c r="I927" s="89"/>
      <c r="J927" s="89"/>
      <c r="K927" s="89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</row>
    <row r="928" spans="1:26" ht="16.5" customHeight="1">
      <c r="A928" s="66"/>
      <c r="B928" s="66"/>
      <c r="C928" s="89"/>
      <c r="D928" s="89"/>
      <c r="E928" s="89"/>
      <c r="F928" s="89"/>
      <c r="G928" s="89"/>
      <c r="H928" s="89"/>
      <c r="I928" s="89"/>
      <c r="J928" s="89"/>
      <c r="K928" s="89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</row>
    <row r="929" spans="1:26" ht="16.5" customHeight="1">
      <c r="A929" s="66"/>
      <c r="B929" s="66"/>
      <c r="C929" s="89"/>
      <c r="D929" s="89"/>
      <c r="E929" s="89"/>
      <c r="F929" s="89"/>
      <c r="G929" s="89"/>
      <c r="H929" s="89"/>
      <c r="I929" s="89"/>
      <c r="J929" s="89"/>
      <c r="K929" s="89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</row>
    <row r="930" spans="1:26" ht="16.5" customHeight="1">
      <c r="A930" s="66"/>
      <c r="B930" s="66"/>
      <c r="C930" s="89"/>
      <c r="D930" s="89"/>
      <c r="E930" s="89"/>
      <c r="F930" s="89"/>
      <c r="G930" s="89"/>
      <c r="H930" s="89"/>
      <c r="I930" s="89"/>
      <c r="J930" s="89"/>
      <c r="K930" s="89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</row>
    <row r="931" spans="1:26" ht="16.5" customHeight="1">
      <c r="A931" s="66"/>
      <c r="B931" s="66"/>
      <c r="C931" s="89"/>
      <c r="D931" s="89"/>
      <c r="E931" s="89"/>
      <c r="F931" s="89"/>
      <c r="G931" s="89"/>
      <c r="H931" s="89"/>
      <c r="I931" s="89"/>
      <c r="J931" s="89"/>
      <c r="K931" s="89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</row>
    <row r="932" spans="1:26" ht="16.5" customHeight="1">
      <c r="A932" s="66"/>
      <c r="B932" s="66"/>
      <c r="C932" s="89"/>
      <c r="D932" s="89"/>
      <c r="E932" s="89"/>
      <c r="F932" s="89"/>
      <c r="G932" s="89"/>
      <c r="H932" s="89"/>
      <c r="I932" s="89"/>
      <c r="J932" s="89"/>
      <c r="K932" s="89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</row>
    <row r="933" spans="1:26" ht="16.5" customHeight="1">
      <c r="A933" s="66"/>
      <c r="B933" s="66"/>
      <c r="C933" s="89"/>
      <c r="D933" s="89"/>
      <c r="E933" s="89"/>
      <c r="F933" s="89"/>
      <c r="G933" s="89"/>
      <c r="H933" s="89"/>
      <c r="I933" s="89"/>
      <c r="J933" s="89"/>
      <c r="K933" s="89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</row>
    <row r="934" spans="1:26" ht="16.5" customHeight="1">
      <c r="A934" s="66"/>
      <c r="B934" s="66"/>
      <c r="C934" s="89"/>
      <c r="D934" s="89"/>
      <c r="E934" s="89"/>
      <c r="F934" s="89"/>
      <c r="G934" s="89"/>
      <c r="H934" s="89"/>
      <c r="I934" s="89"/>
      <c r="J934" s="89"/>
      <c r="K934" s="89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</row>
    <row r="935" spans="1:26" ht="16.5" customHeight="1">
      <c r="A935" s="66"/>
      <c r="B935" s="66"/>
      <c r="C935" s="89"/>
      <c r="D935" s="89"/>
      <c r="E935" s="89"/>
      <c r="F935" s="89"/>
      <c r="G935" s="89"/>
      <c r="H935" s="89"/>
      <c r="I935" s="89"/>
      <c r="J935" s="89"/>
      <c r="K935" s="89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</row>
    <row r="936" spans="1:26" ht="16.5" customHeight="1">
      <c r="A936" s="66"/>
      <c r="B936" s="66"/>
      <c r="C936" s="89"/>
      <c r="D936" s="89"/>
      <c r="E936" s="89"/>
      <c r="F936" s="89"/>
      <c r="G936" s="89"/>
      <c r="H936" s="89"/>
      <c r="I936" s="89"/>
      <c r="J936" s="89"/>
      <c r="K936" s="89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</row>
    <row r="937" spans="1:26" ht="16.5" customHeight="1">
      <c r="A937" s="66"/>
      <c r="B937" s="66"/>
      <c r="C937" s="89"/>
      <c r="D937" s="89"/>
      <c r="E937" s="89"/>
      <c r="F937" s="89"/>
      <c r="G937" s="89"/>
      <c r="H937" s="89"/>
      <c r="I937" s="89"/>
      <c r="J937" s="89"/>
      <c r="K937" s="89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</row>
    <row r="938" spans="1:26" ht="16.5" customHeight="1">
      <c r="A938" s="66"/>
      <c r="B938" s="66"/>
      <c r="C938" s="89"/>
      <c r="D938" s="89"/>
      <c r="E938" s="89"/>
      <c r="F938" s="89"/>
      <c r="G938" s="89"/>
      <c r="H938" s="89"/>
      <c r="I938" s="89"/>
      <c r="J938" s="89"/>
      <c r="K938" s="89"/>
      <c r="L938" s="60"/>
      <c r="M938" s="60"/>
      <c r="N938" s="60"/>
      <c r="O938" s="60"/>
      <c r="P938" s="60"/>
      <c r="Q938" s="60"/>
      <c r="R938" s="60"/>
      <c r="S938" s="60"/>
      <c r="T938" s="60"/>
      <c r="U938" s="60"/>
      <c r="V938" s="60"/>
      <c r="W938" s="60"/>
      <c r="X938" s="60"/>
      <c r="Y938" s="60"/>
      <c r="Z938" s="60"/>
    </row>
    <row r="939" spans="1:26" ht="16.5" customHeight="1">
      <c r="A939" s="66"/>
      <c r="B939" s="66"/>
      <c r="C939" s="89"/>
      <c r="D939" s="89"/>
      <c r="E939" s="89"/>
      <c r="F939" s="89"/>
      <c r="G939" s="89"/>
      <c r="H939" s="89"/>
      <c r="I939" s="89"/>
      <c r="J939" s="89"/>
      <c r="K939" s="89"/>
      <c r="L939" s="60"/>
      <c r="M939" s="60"/>
      <c r="N939" s="60"/>
      <c r="O939" s="60"/>
      <c r="P939" s="60"/>
      <c r="Q939" s="60"/>
      <c r="R939" s="60"/>
      <c r="S939" s="60"/>
      <c r="T939" s="60"/>
      <c r="U939" s="60"/>
      <c r="V939" s="60"/>
      <c r="W939" s="60"/>
      <c r="X939" s="60"/>
      <c r="Y939" s="60"/>
      <c r="Z939" s="60"/>
    </row>
    <row r="940" spans="1:26" ht="16.5" customHeight="1">
      <c r="A940" s="66"/>
      <c r="B940" s="66"/>
      <c r="C940" s="89"/>
      <c r="D940" s="89"/>
      <c r="E940" s="89"/>
      <c r="F940" s="89"/>
      <c r="G940" s="89"/>
      <c r="H940" s="89"/>
      <c r="I940" s="89"/>
      <c r="J940" s="89"/>
      <c r="K940" s="89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</row>
    <row r="941" spans="1:26" ht="16.5" customHeight="1">
      <c r="A941" s="66"/>
      <c r="B941" s="66"/>
      <c r="C941" s="89"/>
      <c r="D941" s="89"/>
      <c r="E941" s="89"/>
      <c r="F941" s="89"/>
      <c r="G941" s="89"/>
      <c r="H941" s="89"/>
      <c r="I941" s="89"/>
      <c r="J941" s="89"/>
      <c r="K941" s="89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</row>
    <row r="942" spans="1:26" ht="16.5" customHeight="1">
      <c r="A942" s="66"/>
      <c r="B942" s="66"/>
      <c r="C942" s="89"/>
      <c r="D942" s="89"/>
      <c r="E942" s="89"/>
      <c r="F942" s="89"/>
      <c r="G942" s="89"/>
      <c r="H942" s="89"/>
      <c r="I942" s="89"/>
      <c r="J942" s="89"/>
      <c r="K942" s="89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</row>
    <row r="943" spans="1:26" ht="16.5" customHeight="1">
      <c r="A943" s="66"/>
      <c r="B943" s="66"/>
      <c r="C943" s="89"/>
      <c r="D943" s="89"/>
      <c r="E943" s="89"/>
      <c r="F943" s="89"/>
      <c r="G943" s="89"/>
      <c r="H943" s="89"/>
      <c r="I943" s="89"/>
      <c r="J943" s="89"/>
      <c r="K943" s="89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</row>
    <row r="944" spans="1:26" ht="16.5" customHeight="1">
      <c r="A944" s="66"/>
      <c r="B944" s="66"/>
      <c r="C944" s="89"/>
      <c r="D944" s="89"/>
      <c r="E944" s="89"/>
      <c r="F944" s="89"/>
      <c r="G944" s="89"/>
      <c r="H944" s="89"/>
      <c r="I944" s="89"/>
      <c r="J944" s="89"/>
      <c r="K944" s="89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</row>
    <row r="945" spans="1:26" ht="16.5" customHeight="1">
      <c r="A945" s="66"/>
      <c r="B945" s="66"/>
      <c r="C945" s="89"/>
      <c r="D945" s="89"/>
      <c r="E945" s="89"/>
      <c r="F945" s="89"/>
      <c r="G945" s="89"/>
      <c r="H945" s="89"/>
      <c r="I945" s="89"/>
      <c r="J945" s="89"/>
      <c r="K945" s="89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</row>
    <row r="946" spans="1:26" ht="16.5" customHeight="1">
      <c r="A946" s="66"/>
      <c r="B946" s="66"/>
      <c r="C946" s="89"/>
      <c r="D946" s="89"/>
      <c r="E946" s="89"/>
      <c r="F946" s="89"/>
      <c r="G946" s="89"/>
      <c r="H946" s="89"/>
      <c r="I946" s="89"/>
      <c r="J946" s="89"/>
      <c r="K946" s="89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</row>
    <row r="947" spans="1:26" ht="16.5" customHeight="1">
      <c r="A947" s="66"/>
      <c r="B947" s="66"/>
      <c r="C947" s="89"/>
      <c r="D947" s="89"/>
      <c r="E947" s="89"/>
      <c r="F947" s="89"/>
      <c r="G947" s="89"/>
      <c r="H947" s="89"/>
      <c r="I947" s="89"/>
      <c r="J947" s="89"/>
      <c r="K947" s="89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</row>
    <row r="948" spans="1:26" ht="16.5" customHeight="1">
      <c r="A948" s="66"/>
      <c r="B948" s="66"/>
      <c r="C948" s="89"/>
      <c r="D948" s="89"/>
      <c r="E948" s="89"/>
      <c r="F948" s="89"/>
      <c r="G948" s="89"/>
      <c r="H948" s="89"/>
      <c r="I948" s="89"/>
      <c r="J948" s="89"/>
      <c r="K948" s="89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</row>
    <row r="949" spans="1:26" ht="16.5" customHeight="1">
      <c r="A949" s="66"/>
      <c r="B949" s="66"/>
      <c r="C949" s="89"/>
      <c r="D949" s="89"/>
      <c r="E949" s="89"/>
      <c r="F949" s="89"/>
      <c r="G949" s="89"/>
      <c r="H949" s="89"/>
      <c r="I949" s="89"/>
      <c r="J949" s="89"/>
      <c r="K949" s="89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</row>
    <row r="950" spans="1:26" ht="16.5" customHeight="1">
      <c r="A950" s="66"/>
      <c r="B950" s="66"/>
      <c r="C950" s="89"/>
      <c r="D950" s="89"/>
      <c r="E950" s="89"/>
      <c r="F950" s="89"/>
      <c r="G950" s="89"/>
      <c r="H950" s="89"/>
      <c r="I950" s="89"/>
      <c r="J950" s="89"/>
      <c r="K950" s="89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</row>
    <row r="951" spans="1:26" ht="16.5" customHeight="1">
      <c r="A951" s="66"/>
      <c r="B951" s="66"/>
      <c r="C951" s="89"/>
      <c r="D951" s="89"/>
      <c r="E951" s="89"/>
      <c r="F951" s="89"/>
      <c r="G951" s="89"/>
      <c r="H951" s="89"/>
      <c r="I951" s="89"/>
      <c r="J951" s="89"/>
      <c r="K951" s="89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</row>
    <row r="952" spans="1:26" ht="16.5" customHeight="1">
      <c r="A952" s="66"/>
      <c r="B952" s="66"/>
      <c r="C952" s="89"/>
      <c r="D952" s="89"/>
      <c r="E952" s="89"/>
      <c r="F952" s="89"/>
      <c r="G952" s="89"/>
      <c r="H952" s="89"/>
      <c r="I952" s="89"/>
      <c r="J952" s="89"/>
      <c r="K952" s="89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</row>
    <row r="953" spans="1:26" ht="16.5" customHeight="1">
      <c r="A953" s="66"/>
      <c r="B953" s="66"/>
      <c r="C953" s="89"/>
      <c r="D953" s="89"/>
      <c r="E953" s="89"/>
      <c r="F953" s="89"/>
      <c r="G953" s="89"/>
      <c r="H953" s="89"/>
      <c r="I953" s="89"/>
      <c r="J953" s="89"/>
      <c r="K953" s="89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</row>
    <row r="954" spans="1:26" ht="16.5" customHeight="1">
      <c r="A954" s="66"/>
      <c r="B954" s="66"/>
      <c r="C954" s="89"/>
      <c r="D954" s="89"/>
      <c r="E954" s="89"/>
      <c r="F954" s="89"/>
      <c r="G954" s="89"/>
      <c r="H954" s="89"/>
      <c r="I954" s="89"/>
      <c r="J954" s="89"/>
      <c r="K954" s="89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</row>
    <row r="955" spans="1:26" ht="16.5" customHeight="1">
      <c r="A955" s="66"/>
      <c r="B955" s="66"/>
      <c r="C955" s="89"/>
      <c r="D955" s="89"/>
      <c r="E955" s="89"/>
      <c r="F955" s="89"/>
      <c r="G955" s="89"/>
      <c r="H955" s="89"/>
      <c r="I955" s="89"/>
      <c r="J955" s="89"/>
      <c r="K955" s="89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</row>
    <row r="956" spans="1:26" ht="16.5" customHeight="1">
      <c r="A956" s="66"/>
      <c r="B956" s="66"/>
      <c r="C956" s="89"/>
      <c r="D956" s="89"/>
      <c r="E956" s="89"/>
      <c r="F956" s="89"/>
      <c r="G956" s="89"/>
      <c r="H956" s="89"/>
      <c r="I956" s="89"/>
      <c r="J956" s="89"/>
      <c r="K956" s="89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</row>
    <row r="957" spans="1:26" ht="16.5" customHeight="1">
      <c r="A957" s="66"/>
      <c r="B957" s="66"/>
      <c r="C957" s="89"/>
      <c r="D957" s="89"/>
      <c r="E957" s="89"/>
      <c r="F957" s="89"/>
      <c r="G957" s="89"/>
      <c r="H957" s="89"/>
      <c r="I957" s="89"/>
      <c r="J957" s="89"/>
      <c r="K957" s="89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</row>
    <row r="958" spans="1:26" ht="16.5" customHeight="1">
      <c r="A958" s="66"/>
      <c r="B958" s="66"/>
      <c r="C958" s="89"/>
      <c r="D958" s="89"/>
      <c r="E958" s="89"/>
      <c r="F958" s="89"/>
      <c r="G958" s="89"/>
      <c r="H958" s="89"/>
      <c r="I958" s="89"/>
      <c r="J958" s="89"/>
      <c r="K958" s="89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</row>
    <row r="959" spans="1:26" ht="16.5" customHeight="1">
      <c r="A959" s="66"/>
      <c r="B959" s="66"/>
      <c r="C959" s="89"/>
      <c r="D959" s="89"/>
      <c r="E959" s="89"/>
      <c r="F959" s="89"/>
      <c r="G959" s="89"/>
      <c r="H959" s="89"/>
      <c r="I959" s="89"/>
      <c r="J959" s="89"/>
      <c r="K959" s="89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</row>
    <row r="960" spans="1:26" ht="16.5" customHeight="1">
      <c r="A960" s="66"/>
      <c r="B960" s="66"/>
      <c r="C960" s="89"/>
      <c r="D960" s="89"/>
      <c r="E960" s="89"/>
      <c r="F960" s="89"/>
      <c r="G960" s="89"/>
      <c r="H960" s="89"/>
      <c r="I960" s="89"/>
      <c r="J960" s="89"/>
      <c r="K960" s="89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</row>
    <row r="961" spans="1:26" ht="16.5" customHeight="1">
      <c r="A961" s="66"/>
      <c r="B961" s="66"/>
      <c r="C961" s="89"/>
      <c r="D961" s="89"/>
      <c r="E961" s="89"/>
      <c r="F961" s="89"/>
      <c r="G961" s="89"/>
      <c r="H961" s="89"/>
      <c r="I961" s="89"/>
      <c r="J961" s="89"/>
      <c r="K961" s="89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</row>
    <row r="962" spans="1:26" ht="16.5" customHeight="1">
      <c r="A962" s="66"/>
      <c r="B962" s="66"/>
      <c r="C962" s="89"/>
      <c r="D962" s="89"/>
      <c r="E962" s="89"/>
      <c r="F962" s="89"/>
      <c r="G962" s="89"/>
      <c r="H962" s="89"/>
      <c r="I962" s="89"/>
      <c r="J962" s="89"/>
      <c r="K962" s="89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</row>
    <row r="963" spans="1:26" ht="16.5" customHeight="1">
      <c r="A963" s="66"/>
      <c r="B963" s="66"/>
      <c r="C963" s="89"/>
      <c r="D963" s="89"/>
      <c r="E963" s="89"/>
      <c r="F963" s="89"/>
      <c r="G963" s="89"/>
      <c r="H963" s="89"/>
      <c r="I963" s="89"/>
      <c r="J963" s="89"/>
      <c r="K963" s="89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</row>
    <row r="964" spans="1:26" ht="16.5" customHeight="1">
      <c r="A964" s="66"/>
      <c r="B964" s="66"/>
      <c r="C964" s="89"/>
      <c r="D964" s="89"/>
      <c r="E964" s="89"/>
      <c r="F964" s="89"/>
      <c r="G964" s="89"/>
      <c r="H964" s="89"/>
      <c r="I964" s="89"/>
      <c r="J964" s="89"/>
      <c r="K964" s="89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</row>
    <row r="965" spans="1:26" ht="16.5" customHeight="1">
      <c r="A965" s="66"/>
      <c r="B965" s="66"/>
      <c r="C965" s="89"/>
      <c r="D965" s="89"/>
      <c r="E965" s="89"/>
      <c r="F965" s="89"/>
      <c r="G965" s="89"/>
      <c r="H965" s="89"/>
      <c r="I965" s="89"/>
      <c r="J965" s="89"/>
      <c r="K965" s="89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</row>
    <row r="966" spans="1:26" ht="16.5" customHeight="1">
      <c r="A966" s="66"/>
      <c r="B966" s="66"/>
      <c r="C966" s="89"/>
      <c r="D966" s="89"/>
      <c r="E966" s="89"/>
      <c r="F966" s="89"/>
      <c r="G966" s="89"/>
      <c r="H966" s="89"/>
      <c r="I966" s="89"/>
      <c r="J966" s="89"/>
      <c r="K966" s="89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</row>
    <row r="967" spans="1:26" ht="16.5" customHeight="1">
      <c r="A967" s="66"/>
      <c r="B967" s="66"/>
      <c r="C967" s="89"/>
      <c r="D967" s="89"/>
      <c r="E967" s="89"/>
      <c r="F967" s="89"/>
      <c r="G967" s="89"/>
      <c r="H967" s="89"/>
      <c r="I967" s="89"/>
      <c r="J967" s="89"/>
      <c r="K967" s="89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</row>
    <row r="968" spans="1:26" ht="16.5" customHeight="1">
      <c r="A968" s="66"/>
      <c r="B968" s="66"/>
      <c r="C968" s="89"/>
      <c r="D968" s="89"/>
      <c r="E968" s="89"/>
      <c r="F968" s="89"/>
      <c r="G968" s="89"/>
      <c r="H968" s="89"/>
      <c r="I968" s="89"/>
      <c r="J968" s="89"/>
      <c r="K968" s="89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</row>
    <row r="969" spans="1:26" ht="16.5" customHeight="1">
      <c r="A969" s="66"/>
      <c r="B969" s="66"/>
      <c r="C969" s="89"/>
      <c r="D969" s="89"/>
      <c r="E969" s="89"/>
      <c r="F969" s="89"/>
      <c r="G969" s="89"/>
      <c r="H969" s="89"/>
      <c r="I969" s="89"/>
      <c r="J969" s="89"/>
      <c r="K969" s="89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</row>
    <row r="970" spans="1:26" ht="16.5" customHeight="1">
      <c r="A970" s="66"/>
      <c r="B970" s="66"/>
      <c r="C970" s="89"/>
      <c r="D970" s="89"/>
      <c r="E970" s="89"/>
      <c r="F970" s="89"/>
      <c r="G970" s="89"/>
      <c r="H970" s="89"/>
      <c r="I970" s="89"/>
      <c r="J970" s="89"/>
      <c r="K970" s="89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</row>
    <row r="971" spans="1:26" ht="16.5" customHeight="1">
      <c r="A971" s="66"/>
      <c r="B971" s="66"/>
      <c r="C971" s="89"/>
      <c r="D971" s="89"/>
      <c r="E971" s="89"/>
      <c r="F971" s="89"/>
      <c r="G971" s="89"/>
      <c r="H971" s="89"/>
      <c r="I971" s="89"/>
      <c r="J971" s="89"/>
      <c r="K971" s="89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</row>
    <row r="972" spans="1:26" ht="16.5" customHeight="1">
      <c r="A972" s="66"/>
      <c r="B972" s="66"/>
      <c r="C972" s="89"/>
      <c r="D972" s="89"/>
      <c r="E972" s="89"/>
      <c r="F972" s="89"/>
      <c r="G972" s="89"/>
      <c r="H972" s="89"/>
      <c r="I972" s="89"/>
      <c r="J972" s="89"/>
      <c r="K972" s="89"/>
      <c r="L972" s="60"/>
      <c r="M972" s="60"/>
      <c r="N972" s="60"/>
      <c r="O972" s="60"/>
      <c r="P972" s="60"/>
      <c r="Q972" s="60"/>
      <c r="R972" s="60"/>
      <c r="S972" s="60"/>
      <c r="T972" s="60"/>
      <c r="U972" s="60"/>
      <c r="V972" s="60"/>
      <c r="W972" s="60"/>
      <c r="X972" s="60"/>
      <c r="Y972" s="60"/>
      <c r="Z972" s="60"/>
    </row>
    <row r="973" spans="1:26" ht="16.5" customHeight="1">
      <c r="A973" s="66"/>
      <c r="B973" s="66"/>
      <c r="C973" s="89"/>
      <c r="D973" s="89"/>
      <c r="E973" s="89"/>
      <c r="F973" s="89"/>
      <c r="G973" s="89"/>
      <c r="H973" s="89"/>
      <c r="I973" s="89"/>
      <c r="J973" s="89"/>
      <c r="K973" s="89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</row>
    <row r="974" spans="1:26" ht="16.5" customHeight="1">
      <c r="A974" s="66"/>
      <c r="B974" s="66"/>
      <c r="C974" s="89"/>
      <c r="D974" s="89"/>
      <c r="E974" s="89"/>
      <c r="F974" s="89"/>
      <c r="G974" s="89"/>
      <c r="H974" s="89"/>
      <c r="I974" s="89"/>
      <c r="J974" s="89"/>
      <c r="K974" s="89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</row>
    <row r="975" spans="1:26" ht="16.5" customHeight="1">
      <c r="A975" s="66"/>
      <c r="B975" s="66"/>
      <c r="C975" s="89"/>
      <c r="D975" s="89"/>
      <c r="E975" s="89"/>
      <c r="F975" s="89"/>
      <c r="G975" s="89"/>
      <c r="H975" s="89"/>
      <c r="I975" s="89"/>
      <c r="J975" s="89"/>
      <c r="K975" s="89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</row>
    <row r="976" spans="1:26" ht="16.5" customHeight="1">
      <c r="A976" s="66"/>
      <c r="B976" s="66"/>
      <c r="C976" s="89"/>
      <c r="D976" s="89"/>
      <c r="E976" s="89"/>
      <c r="F976" s="89"/>
      <c r="G976" s="89"/>
      <c r="H976" s="89"/>
      <c r="I976" s="89"/>
      <c r="J976" s="89"/>
      <c r="K976" s="89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</row>
    <row r="977" spans="1:26" ht="16.5" customHeight="1">
      <c r="A977" s="66"/>
      <c r="B977" s="66"/>
      <c r="C977" s="89"/>
      <c r="D977" s="89"/>
      <c r="E977" s="89"/>
      <c r="F977" s="89"/>
      <c r="G977" s="89"/>
      <c r="H977" s="89"/>
      <c r="I977" s="89"/>
      <c r="J977" s="89"/>
      <c r="K977" s="89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</row>
    <row r="978" spans="1:26" ht="16.5" customHeight="1">
      <c r="A978" s="66"/>
      <c r="B978" s="66"/>
      <c r="C978" s="89"/>
      <c r="D978" s="89"/>
      <c r="E978" s="89"/>
      <c r="F978" s="89"/>
      <c r="G978" s="89"/>
      <c r="H978" s="89"/>
      <c r="I978" s="89"/>
      <c r="J978" s="89"/>
      <c r="K978" s="89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</row>
    <row r="979" spans="1:26" ht="16.5" customHeight="1">
      <c r="A979" s="66"/>
      <c r="B979" s="66"/>
      <c r="C979" s="89"/>
      <c r="D979" s="89"/>
      <c r="E979" s="89"/>
      <c r="F979" s="89"/>
      <c r="G979" s="89"/>
      <c r="H979" s="89"/>
      <c r="I979" s="89"/>
      <c r="J979" s="89"/>
      <c r="K979" s="89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</row>
    <row r="980" spans="1:26" ht="16.5" customHeight="1">
      <c r="A980" s="66"/>
      <c r="B980" s="66"/>
      <c r="C980" s="89"/>
      <c r="D980" s="89"/>
      <c r="E980" s="89"/>
      <c r="F980" s="89"/>
      <c r="G980" s="89"/>
      <c r="H980" s="89"/>
      <c r="I980" s="89"/>
      <c r="J980" s="89"/>
      <c r="K980" s="89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</row>
    <row r="981" spans="1:26" ht="16.5" customHeight="1">
      <c r="A981" s="66"/>
      <c r="B981" s="66"/>
      <c r="C981" s="89"/>
      <c r="D981" s="89"/>
      <c r="E981" s="89"/>
      <c r="F981" s="89"/>
      <c r="G981" s="89"/>
      <c r="H981" s="89"/>
      <c r="I981" s="89"/>
      <c r="J981" s="89"/>
      <c r="K981" s="89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</row>
    <row r="982" spans="1:26" ht="16.5" customHeight="1">
      <c r="A982" s="66"/>
      <c r="B982" s="66"/>
      <c r="C982" s="89"/>
      <c r="D982" s="89"/>
      <c r="E982" s="89"/>
      <c r="F982" s="89"/>
      <c r="G982" s="89"/>
      <c r="H982" s="89"/>
      <c r="I982" s="89"/>
      <c r="J982" s="89"/>
      <c r="K982" s="89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</row>
    <row r="983" spans="1:26" ht="16.5" customHeight="1">
      <c r="A983" s="66"/>
      <c r="B983" s="66"/>
      <c r="C983" s="89"/>
      <c r="D983" s="89"/>
      <c r="E983" s="89"/>
      <c r="F983" s="89"/>
      <c r="G983" s="89"/>
      <c r="H983" s="89"/>
      <c r="I983" s="89"/>
      <c r="J983" s="89"/>
      <c r="K983" s="89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</row>
    <row r="984" spans="1:26" ht="16.5" customHeight="1">
      <c r="A984" s="66"/>
      <c r="B984" s="66"/>
      <c r="C984" s="89"/>
      <c r="D984" s="89"/>
      <c r="E984" s="89"/>
      <c r="F984" s="89"/>
      <c r="G984" s="89"/>
      <c r="H984" s="89"/>
      <c r="I984" s="89"/>
      <c r="J984" s="89"/>
      <c r="K984" s="89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</row>
    <row r="985" spans="1:26" ht="16.5" customHeight="1">
      <c r="A985" s="66"/>
      <c r="B985" s="66"/>
      <c r="C985" s="89"/>
      <c r="D985" s="89"/>
      <c r="E985" s="89"/>
      <c r="F985" s="89"/>
      <c r="G985" s="89"/>
      <c r="H985" s="89"/>
      <c r="I985" s="89"/>
      <c r="J985" s="89"/>
      <c r="K985" s="89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</row>
    <row r="986" spans="1:26" ht="16.5" customHeight="1">
      <c r="A986" s="66"/>
      <c r="B986" s="66"/>
      <c r="C986" s="89"/>
      <c r="D986" s="89"/>
      <c r="E986" s="89"/>
      <c r="F986" s="89"/>
      <c r="G986" s="89"/>
      <c r="H986" s="89"/>
      <c r="I986" s="89"/>
      <c r="J986" s="89"/>
      <c r="K986" s="89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</row>
    <row r="987" spans="1:26" ht="16.5" customHeight="1">
      <c r="A987" s="66"/>
      <c r="B987" s="66"/>
      <c r="C987" s="89"/>
      <c r="D987" s="89"/>
      <c r="E987" s="89"/>
      <c r="F987" s="89"/>
      <c r="G987" s="89"/>
      <c r="H987" s="89"/>
      <c r="I987" s="89"/>
      <c r="J987" s="89"/>
      <c r="K987" s="89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</row>
    <row r="988" spans="1:26" ht="16.5" customHeight="1">
      <c r="A988" s="66"/>
      <c r="B988" s="66"/>
      <c r="C988" s="89"/>
      <c r="D988" s="89"/>
      <c r="E988" s="89"/>
      <c r="F988" s="89"/>
      <c r="G988" s="89"/>
      <c r="H988" s="89"/>
      <c r="I988" s="89"/>
      <c r="J988" s="89"/>
      <c r="K988" s="89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</row>
    <row r="989" spans="1:26" ht="16.5" customHeight="1">
      <c r="A989" s="66"/>
      <c r="B989" s="66"/>
      <c r="C989" s="89"/>
      <c r="D989" s="89"/>
      <c r="E989" s="89"/>
      <c r="F989" s="89"/>
      <c r="G989" s="89"/>
      <c r="H989" s="89"/>
      <c r="I989" s="89"/>
      <c r="J989" s="89"/>
      <c r="K989" s="89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</row>
    <row r="990" spans="1:26" ht="16.5" customHeight="1">
      <c r="A990" s="66"/>
      <c r="B990" s="66"/>
      <c r="C990" s="89"/>
      <c r="D990" s="89"/>
      <c r="E990" s="89"/>
      <c r="F990" s="89"/>
      <c r="G990" s="89"/>
      <c r="H990" s="89"/>
      <c r="I990" s="89"/>
      <c r="J990" s="89"/>
      <c r="K990" s="89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</row>
    <row r="991" spans="1:26" ht="16.5" customHeight="1">
      <c r="A991" s="66"/>
      <c r="B991" s="66"/>
      <c r="C991" s="89"/>
      <c r="D991" s="89"/>
      <c r="E991" s="89"/>
      <c r="F991" s="89"/>
      <c r="G991" s="89"/>
      <c r="H991" s="89"/>
      <c r="I991" s="89"/>
      <c r="J991" s="89"/>
      <c r="K991" s="89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</row>
    <row r="992" spans="1:26" ht="16.5" customHeight="1">
      <c r="A992" s="66"/>
      <c r="B992" s="66"/>
      <c r="C992" s="89"/>
      <c r="D992" s="89"/>
      <c r="E992" s="89"/>
      <c r="F992" s="89"/>
      <c r="G992" s="89"/>
      <c r="H992" s="89"/>
      <c r="I992" s="89"/>
      <c r="J992" s="89"/>
      <c r="K992" s="89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</row>
    <row r="993" spans="1:26" ht="16.5" customHeight="1">
      <c r="A993" s="66"/>
      <c r="B993" s="66"/>
      <c r="C993" s="89"/>
      <c r="D993" s="89"/>
      <c r="E993" s="89"/>
      <c r="F993" s="89"/>
      <c r="G993" s="89"/>
      <c r="H993" s="89"/>
      <c r="I993" s="89"/>
      <c r="J993" s="89"/>
      <c r="K993" s="89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</row>
    <row r="994" spans="1:26" ht="16.5" customHeight="1">
      <c r="A994" s="66"/>
      <c r="B994" s="66"/>
      <c r="C994" s="89"/>
      <c r="D994" s="89"/>
      <c r="E994" s="89"/>
      <c r="F994" s="89"/>
      <c r="G994" s="89"/>
      <c r="H994" s="89"/>
      <c r="I994" s="89"/>
      <c r="J994" s="89"/>
      <c r="K994" s="89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</row>
    <row r="995" spans="1:26" ht="16.5" customHeight="1">
      <c r="A995" s="66"/>
      <c r="B995" s="66"/>
      <c r="C995" s="89"/>
      <c r="D995" s="89"/>
      <c r="E995" s="89"/>
      <c r="F995" s="89"/>
      <c r="G995" s="89"/>
      <c r="H995" s="89"/>
      <c r="I995" s="89"/>
      <c r="J995" s="89"/>
      <c r="K995" s="89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</row>
    <row r="996" spans="1:26" ht="16.5" customHeight="1">
      <c r="A996" s="66"/>
      <c r="B996" s="66"/>
      <c r="C996" s="89"/>
      <c r="D996" s="89"/>
      <c r="E996" s="89"/>
      <c r="F996" s="89"/>
      <c r="G996" s="89"/>
      <c r="H996" s="89"/>
      <c r="I996" s="89"/>
      <c r="J996" s="89"/>
      <c r="K996" s="89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</row>
    <row r="997" spans="1:26" ht="16.5" customHeight="1">
      <c r="A997" s="66"/>
      <c r="B997" s="66"/>
      <c r="C997" s="89"/>
      <c r="D997" s="89"/>
      <c r="E997" s="89"/>
      <c r="F997" s="89"/>
      <c r="G997" s="89"/>
      <c r="H997" s="89"/>
      <c r="I997" s="89"/>
      <c r="J997" s="89"/>
      <c r="K997" s="89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</row>
    <row r="998" spans="1:26" ht="16.5" customHeight="1">
      <c r="A998" s="66"/>
      <c r="B998" s="66"/>
      <c r="C998" s="89"/>
      <c r="D998" s="89"/>
      <c r="E998" s="89"/>
      <c r="F998" s="89"/>
      <c r="G998" s="89"/>
      <c r="H998" s="89"/>
      <c r="I998" s="89"/>
      <c r="J998" s="89"/>
      <c r="K998" s="89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</row>
    <row r="999" spans="1:26" ht="16.5" customHeight="1">
      <c r="A999" s="66"/>
      <c r="B999" s="66"/>
      <c r="C999" s="89"/>
      <c r="D999" s="89"/>
      <c r="E999" s="89"/>
      <c r="F999" s="89"/>
      <c r="G999" s="89"/>
      <c r="H999" s="89"/>
      <c r="I999" s="89"/>
      <c r="J999" s="89"/>
      <c r="K999" s="89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</row>
    <row r="1000" spans="1:26" ht="16.5" customHeight="1">
      <c r="A1000" s="66"/>
      <c r="B1000" s="66"/>
      <c r="C1000" s="89"/>
      <c r="D1000" s="89"/>
      <c r="E1000" s="89"/>
      <c r="F1000" s="89"/>
      <c r="G1000" s="89"/>
      <c r="H1000" s="89"/>
      <c r="I1000" s="89"/>
      <c r="J1000" s="89"/>
      <c r="K1000" s="89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</row>
  </sheetData>
  <mergeCells count="4">
    <mergeCell ref="A1:A2"/>
    <mergeCell ref="B1:B2"/>
    <mergeCell ref="C1:C2"/>
    <mergeCell ref="D1:K1"/>
  </mergeCells>
  <phoneticPr fontId="12" type="noConversion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Z1000"/>
  <sheetViews>
    <sheetView workbookViewId="0"/>
  </sheetViews>
  <sheetFormatPr defaultColWidth="11.25" defaultRowHeight="15" customHeight="1"/>
  <cols>
    <col min="1" max="1" width="3.5" customWidth="1"/>
    <col min="2" max="2" width="6" customWidth="1"/>
    <col min="3" max="3" width="3" customWidth="1"/>
    <col min="4" max="4" width="10.125" customWidth="1"/>
    <col min="5" max="5" width="9" customWidth="1"/>
    <col min="6" max="6" width="3" customWidth="1"/>
    <col min="7" max="7" width="10.125" customWidth="1"/>
    <col min="8" max="8" width="9" customWidth="1"/>
    <col min="9" max="26" width="8" customWidth="1"/>
  </cols>
  <sheetData>
    <row r="1" spans="1:26" ht="16.5" customHeight="1">
      <c r="A1" s="1" t="s">
        <v>0</v>
      </c>
      <c r="B1" s="1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6.5" customHeight="1">
      <c r="A3" s="2"/>
      <c r="B3" s="1" t="s">
        <v>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6.5" customHeight="1">
      <c r="A4" s="2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6.5" customHeight="1">
      <c r="A5" s="2"/>
      <c r="B5" s="1" t="s">
        <v>410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6.5" customHeight="1">
      <c r="A6" s="2"/>
      <c r="B6" s="1" t="s">
        <v>68</v>
      </c>
      <c r="C6" s="1" t="s">
        <v>4</v>
      </c>
      <c r="D6" s="90">
        <v>29099</v>
      </c>
      <c r="E6" s="1" t="s">
        <v>411</v>
      </c>
      <c r="F6" s="1" t="s">
        <v>4</v>
      </c>
      <c r="G6" s="91">
        <f>D6*2.20462</f>
        <v>64152.237379999991</v>
      </c>
      <c r="H6" s="1" t="s">
        <v>70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6.5" customHeight="1">
      <c r="A7" s="2"/>
      <c r="B7" s="1" t="s">
        <v>80</v>
      </c>
      <c r="C7" s="1" t="s">
        <v>4</v>
      </c>
      <c r="D7" s="92">
        <v>1.06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6.5" customHeight="1">
      <c r="A8" s="2"/>
      <c r="B8" s="1" t="s">
        <v>412</v>
      </c>
      <c r="C8" s="1" t="s">
        <v>4</v>
      </c>
      <c r="D8" s="91">
        <f>520*(D7*(2/(D7+1))^((D7+1)/(D7-1)))^0.5</f>
        <v>322.31752446551116</v>
      </c>
      <c r="E8" s="1"/>
      <c r="F8" s="1"/>
      <c r="G8" s="91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6.5" customHeight="1">
      <c r="A9" s="2"/>
      <c r="B9" s="1" t="s">
        <v>3</v>
      </c>
      <c r="C9" s="1" t="s">
        <v>4</v>
      </c>
      <c r="D9" s="93">
        <v>0.97499999999999998</v>
      </c>
      <c r="E9" s="5" t="s">
        <v>5</v>
      </c>
      <c r="F9" s="1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8.75" customHeight="1">
      <c r="A10" s="2"/>
      <c r="B10" s="1" t="s">
        <v>413</v>
      </c>
      <c r="C10" s="1" t="s">
        <v>4</v>
      </c>
      <c r="D10" s="92">
        <v>5.8730000000000002</v>
      </c>
      <c r="E10" s="1" t="s">
        <v>414</v>
      </c>
      <c r="F10" s="1" t="s">
        <v>4</v>
      </c>
      <c r="G10" s="94">
        <f>D10*14.22</f>
        <v>83.514060000000001</v>
      </c>
      <c r="H10" s="1" t="s">
        <v>415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6.5" customHeight="1">
      <c r="A11" s="2"/>
      <c r="B11" s="1" t="s">
        <v>100</v>
      </c>
      <c r="C11" s="1" t="s">
        <v>4</v>
      </c>
      <c r="D11" s="93">
        <v>1</v>
      </c>
      <c r="E11" s="5" t="s">
        <v>416</v>
      </c>
      <c r="F11" s="1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6.5" customHeight="1">
      <c r="A12" s="2"/>
      <c r="B12" s="1" t="s">
        <v>102</v>
      </c>
      <c r="C12" s="1" t="s">
        <v>4</v>
      </c>
      <c r="D12" s="92">
        <v>0.9</v>
      </c>
      <c r="E12" s="5" t="s">
        <v>417</v>
      </c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8.75" customHeight="1">
      <c r="A13" s="2"/>
      <c r="B13" s="1" t="s">
        <v>88</v>
      </c>
      <c r="C13" s="1" t="s">
        <v>4</v>
      </c>
      <c r="D13" s="92">
        <v>177</v>
      </c>
      <c r="E13" s="95" t="s">
        <v>418</v>
      </c>
      <c r="F13" s="1" t="s">
        <v>4</v>
      </c>
      <c r="G13" s="91">
        <f>(D13+273.15)*1.8</f>
        <v>810.27</v>
      </c>
      <c r="H13" s="1" t="s">
        <v>228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2"/>
      <c r="B14" s="1" t="s">
        <v>78</v>
      </c>
      <c r="C14" s="1" t="s">
        <v>4</v>
      </c>
      <c r="D14" s="92">
        <v>1</v>
      </c>
      <c r="E14" s="2"/>
      <c r="F14" s="1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6.5" customHeight="1">
      <c r="A15" s="2"/>
      <c r="B15" s="1" t="s">
        <v>76</v>
      </c>
      <c r="C15" s="1" t="s">
        <v>4</v>
      </c>
      <c r="D15" s="92">
        <v>102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75" customHeight="1">
      <c r="A16" s="2"/>
      <c r="B16" s="1" t="s">
        <v>419</v>
      </c>
      <c r="C16" s="1" t="s">
        <v>4</v>
      </c>
      <c r="D16" s="96">
        <f>G6/(D8*D9*G10*D11*D12)*(G13*D14/D15)^0.5</f>
        <v>7.6548372255547683</v>
      </c>
      <c r="E16" s="1" t="s">
        <v>420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6.5" customHeight="1">
      <c r="A17" s="2"/>
      <c r="B17" s="1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6.5" customHeight="1">
      <c r="A18" s="1" t="s">
        <v>6</v>
      </c>
      <c r="B18" s="1" t="s">
        <v>7</v>
      </c>
      <c r="C18" s="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6.5" customHeight="1">
      <c r="A19" s="2"/>
      <c r="B19" s="1"/>
      <c r="C19" s="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6.5" customHeight="1">
      <c r="A20" s="2"/>
      <c r="B20" s="1" t="s">
        <v>8</v>
      </c>
      <c r="C20" s="1"/>
      <c r="D20" s="1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6.5" customHeight="1">
      <c r="A21" s="2"/>
      <c r="B21" s="1"/>
      <c r="C21" s="1"/>
      <c r="D21" s="1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6.5" customHeight="1">
      <c r="A22" s="2"/>
      <c r="B22" s="1" t="s">
        <v>410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6.5" customHeight="1">
      <c r="A23" s="2"/>
      <c r="B23" s="1" t="s">
        <v>68</v>
      </c>
      <c r="C23" s="1" t="s">
        <v>4</v>
      </c>
      <c r="D23" s="90">
        <v>4067</v>
      </c>
      <c r="E23" s="1" t="s">
        <v>411</v>
      </c>
      <c r="F23" s="1" t="s">
        <v>4</v>
      </c>
      <c r="G23" s="91">
        <f>D23*2.20462</f>
        <v>8966.1895399999994</v>
      </c>
      <c r="H23" s="1" t="s">
        <v>70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8.75" customHeight="1">
      <c r="A24" s="2"/>
      <c r="B24" s="1" t="s">
        <v>413</v>
      </c>
      <c r="C24" s="1" t="s">
        <v>4</v>
      </c>
      <c r="D24" s="92">
        <v>4.7355999999999998</v>
      </c>
      <c r="E24" s="1" t="s">
        <v>421</v>
      </c>
      <c r="F24" s="1" t="s">
        <v>4</v>
      </c>
      <c r="G24" s="94">
        <f>D24*14.22</f>
        <v>67.340232</v>
      </c>
      <c r="H24" s="1" t="s">
        <v>415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6.5" customHeight="1">
      <c r="A25" s="2"/>
      <c r="B25" s="1" t="s">
        <v>3</v>
      </c>
      <c r="C25" s="1" t="s">
        <v>4</v>
      </c>
      <c r="D25" s="93">
        <v>0.97499999999999998</v>
      </c>
      <c r="E25" s="5" t="s">
        <v>5</v>
      </c>
      <c r="F25" s="1"/>
      <c r="G25" s="94"/>
      <c r="H25" s="1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6.5" customHeight="1">
      <c r="A26" s="2"/>
      <c r="B26" s="1" t="s">
        <v>100</v>
      </c>
      <c r="C26" s="1" t="s">
        <v>4</v>
      </c>
      <c r="D26" s="92">
        <v>1</v>
      </c>
      <c r="E26" s="5" t="s">
        <v>416</v>
      </c>
      <c r="F26" s="1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6.5" customHeight="1">
      <c r="A27" s="2"/>
      <c r="B27" s="1" t="s">
        <v>102</v>
      </c>
      <c r="C27" s="1" t="s">
        <v>4</v>
      </c>
      <c r="D27" s="92">
        <v>1</v>
      </c>
      <c r="E27" s="5" t="s">
        <v>417</v>
      </c>
      <c r="F27" s="1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6.5" customHeight="1">
      <c r="A28" s="2"/>
      <c r="B28" s="1" t="s">
        <v>104</v>
      </c>
      <c r="C28" s="1" t="s">
        <v>4</v>
      </c>
      <c r="D28" s="91">
        <f>IF(G24&lt;=1500,1,(0.1906*G24-1000)/(0.2292*G24-1061))</f>
        <v>1</v>
      </c>
      <c r="E28" s="2"/>
      <c r="F28" s="1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6.5" customHeight="1">
      <c r="A29" s="2"/>
      <c r="B29" s="1" t="s">
        <v>106</v>
      </c>
      <c r="C29" s="1" t="s">
        <v>4</v>
      </c>
      <c r="D29" s="92">
        <v>0.99785299999999999</v>
      </c>
      <c r="E29" s="5" t="s">
        <v>422</v>
      </c>
      <c r="F29" s="1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8.75" customHeight="1">
      <c r="A30" s="2"/>
      <c r="B30" s="1" t="s">
        <v>419</v>
      </c>
      <c r="C30" s="1" t="s">
        <v>4</v>
      </c>
      <c r="D30" s="96">
        <f>G23/(51.5*G24*D25*D26*D27*D28*D29)</f>
        <v>2.6573875439224253</v>
      </c>
      <c r="E30" s="1" t="s">
        <v>423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6.5" customHeight="1">
      <c r="A31" s="2"/>
      <c r="B31" s="1"/>
      <c r="C31" s="1"/>
      <c r="D31" s="91"/>
      <c r="E31" s="1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6.5" customHeight="1">
      <c r="A32" s="1" t="s">
        <v>9</v>
      </c>
      <c r="B32" s="1" t="s">
        <v>10</v>
      </c>
      <c r="C32" s="1"/>
      <c r="D32" s="1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6.5" customHeight="1">
      <c r="A33" s="2"/>
      <c r="B33" s="2"/>
      <c r="C33" s="1"/>
      <c r="D33" s="1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6.5" customHeight="1">
      <c r="A34" s="2"/>
      <c r="B34" s="1" t="s">
        <v>11</v>
      </c>
      <c r="C34" s="1"/>
      <c r="D34" s="1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6.5" customHeight="1">
      <c r="A35" s="2"/>
      <c r="B35" s="1"/>
      <c r="C35" s="1"/>
      <c r="D35" s="1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6.5" customHeight="1">
      <c r="A36" s="2"/>
      <c r="B36" s="1" t="s">
        <v>410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8.75" customHeight="1">
      <c r="A37" s="2"/>
      <c r="B37" s="1" t="s">
        <v>226</v>
      </c>
      <c r="C37" s="1" t="s">
        <v>4</v>
      </c>
      <c r="D37" s="90">
        <v>444.91800000000001</v>
      </c>
      <c r="E37" s="1" t="s">
        <v>424</v>
      </c>
      <c r="F37" s="1" t="s">
        <v>4</v>
      </c>
      <c r="G37" s="91">
        <f>D37*4.4033</f>
        <v>1959.1074294</v>
      </c>
      <c r="H37" s="1" t="s">
        <v>425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6.5" customHeight="1">
      <c r="A38" s="2"/>
      <c r="B38" s="1" t="s">
        <v>3</v>
      </c>
      <c r="C38" s="1" t="s">
        <v>4</v>
      </c>
      <c r="D38" s="93">
        <v>0.65</v>
      </c>
      <c r="E38" s="5" t="s">
        <v>12</v>
      </c>
      <c r="F38" s="1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6.5" customHeight="1">
      <c r="A39" s="2"/>
      <c r="B39" s="1" t="s">
        <v>108</v>
      </c>
      <c r="C39" s="1" t="s">
        <v>4</v>
      </c>
      <c r="D39" s="93">
        <v>0.77500000000000002</v>
      </c>
      <c r="E39" s="2"/>
      <c r="F39" s="1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6.5" customHeight="1">
      <c r="A40" s="2"/>
      <c r="B40" s="1" t="s">
        <v>102</v>
      </c>
      <c r="C40" s="1" t="s">
        <v>4</v>
      </c>
      <c r="D40" s="93">
        <v>0.9</v>
      </c>
      <c r="E40" s="5" t="s">
        <v>417</v>
      </c>
      <c r="F40" s="1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6.5" customHeight="1">
      <c r="A41" s="2"/>
      <c r="B41" s="1" t="s">
        <v>110</v>
      </c>
      <c r="C41" s="1" t="s">
        <v>4</v>
      </c>
      <c r="D41" s="93">
        <v>1.0049999999999999</v>
      </c>
      <c r="E41" s="2"/>
      <c r="F41" s="1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6.5" customHeight="1">
      <c r="A42" s="2"/>
      <c r="B42" s="1" t="s">
        <v>214</v>
      </c>
      <c r="C42" s="1" t="s">
        <v>4</v>
      </c>
      <c r="D42" s="93">
        <v>0.69699999999999995</v>
      </c>
      <c r="E42" s="2"/>
      <c r="F42" s="1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8.75" customHeight="1">
      <c r="A43" s="2"/>
      <c r="B43" s="1" t="s">
        <v>413</v>
      </c>
      <c r="C43" s="1" t="s">
        <v>4</v>
      </c>
      <c r="D43" s="92">
        <v>4.4000000000000004</v>
      </c>
      <c r="E43" s="1" t="s">
        <v>426</v>
      </c>
      <c r="F43" s="1" t="s">
        <v>4</v>
      </c>
      <c r="G43" s="94">
        <f t="shared" ref="G43:G44" si="0">D43*14.22</f>
        <v>62.568000000000005</v>
      </c>
      <c r="H43" s="1" t="s">
        <v>85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8.75" customHeight="1">
      <c r="A44" s="2"/>
      <c r="B44" s="1" t="s">
        <v>427</v>
      </c>
      <c r="C44" s="1" t="s">
        <v>4</v>
      </c>
      <c r="D44" s="92">
        <v>1.2</v>
      </c>
      <c r="E44" s="1" t="s">
        <v>428</v>
      </c>
      <c r="F44" s="1" t="s">
        <v>4</v>
      </c>
      <c r="G44" s="94">
        <f t="shared" si="0"/>
        <v>17.064</v>
      </c>
      <c r="H44" s="1" t="s">
        <v>85</v>
      </c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8.75" customHeight="1">
      <c r="A45" s="2"/>
      <c r="B45" s="1" t="s">
        <v>419</v>
      </c>
      <c r="C45" s="1" t="s">
        <v>4</v>
      </c>
      <c r="D45" s="96">
        <f>G37/(38*D38*D39*D40*D41)*(D42/(G43-G44))^0.5</f>
        <v>14.003694452667309</v>
      </c>
      <c r="E45" s="1" t="s">
        <v>429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6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6.5" customHeight="1">
      <c r="A47" s="1" t="s">
        <v>13</v>
      </c>
      <c r="B47" s="1" t="s">
        <v>430</v>
      </c>
      <c r="C47" s="1"/>
      <c r="D47" s="1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6.5" customHeight="1">
      <c r="A48" s="2"/>
      <c r="B48" s="2"/>
      <c r="C48" s="1"/>
      <c r="D48" s="1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6.5" customHeight="1">
      <c r="A49" s="2"/>
      <c r="B49" s="1" t="s">
        <v>431</v>
      </c>
      <c r="C49" s="1"/>
      <c r="D49" s="1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6.5" customHeight="1">
      <c r="A50" s="2"/>
      <c r="B50" s="1"/>
      <c r="C50" s="1"/>
      <c r="D50" s="1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6.5" customHeight="1">
      <c r="A51" s="2"/>
      <c r="B51" s="1" t="s">
        <v>410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8.75" customHeight="1">
      <c r="A52" s="2"/>
      <c r="B52" s="1" t="s">
        <v>226</v>
      </c>
      <c r="C52" s="1" t="s">
        <v>4</v>
      </c>
      <c r="D52" s="90">
        <f>28300/910</f>
        <v>31.098901098901099</v>
      </c>
      <c r="E52" s="1" t="s">
        <v>432</v>
      </c>
      <c r="F52" s="1" t="s">
        <v>4</v>
      </c>
      <c r="G52" s="91">
        <f>D52*4.4033</f>
        <v>136.9377912087912</v>
      </c>
      <c r="H52" s="1" t="s">
        <v>425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6.5" customHeight="1">
      <c r="A53" s="2"/>
      <c r="B53" s="1" t="s">
        <v>3</v>
      </c>
      <c r="C53" s="1" t="s">
        <v>4</v>
      </c>
      <c r="D53" s="93">
        <v>0.62</v>
      </c>
      <c r="E53" s="5" t="s">
        <v>433</v>
      </c>
      <c r="F53" s="1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6.5" customHeight="1">
      <c r="A54" s="2"/>
      <c r="B54" s="1" t="s">
        <v>108</v>
      </c>
      <c r="C54" s="1" t="s">
        <v>4</v>
      </c>
      <c r="D54" s="93">
        <v>0.95399999999999996</v>
      </c>
      <c r="E54" s="2"/>
      <c r="F54" s="1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6.5" customHeight="1">
      <c r="A55" s="2"/>
      <c r="B55" s="1" t="s">
        <v>102</v>
      </c>
      <c r="C55" s="1" t="s">
        <v>4</v>
      </c>
      <c r="D55" s="93">
        <v>1</v>
      </c>
      <c r="E55" s="5" t="s">
        <v>417</v>
      </c>
      <c r="F55" s="1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6.5" customHeight="1">
      <c r="A56" s="2"/>
      <c r="B56" s="1" t="s">
        <v>110</v>
      </c>
      <c r="C56" s="1" t="s">
        <v>4</v>
      </c>
      <c r="D56" s="93">
        <v>1</v>
      </c>
      <c r="E56" s="2"/>
      <c r="F56" s="1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6.5" customHeight="1">
      <c r="A57" s="2"/>
      <c r="B57" s="1" t="s">
        <v>112</v>
      </c>
      <c r="C57" s="1" t="s">
        <v>4</v>
      </c>
      <c r="D57" s="93">
        <v>1</v>
      </c>
      <c r="E57" s="2"/>
      <c r="F57" s="1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6.5" customHeight="1">
      <c r="A58" s="2"/>
      <c r="B58" s="1" t="s">
        <v>214</v>
      </c>
      <c r="C58" s="1" t="s">
        <v>4</v>
      </c>
      <c r="D58" s="93">
        <v>0.91</v>
      </c>
      <c r="E58" s="2"/>
      <c r="F58" s="1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8.75" customHeight="1">
      <c r="A59" s="2"/>
      <c r="B59" s="1" t="s">
        <v>225</v>
      </c>
      <c r="C59" s="1" t="s">
        <v>4</v>
      </c>
      <c r="D59" s="92">
        <v>3.5</v>
      </c>
      <c r="E59" s="1" t="s">
        <v>434</v>
      </c>
      <c r="F59" s="1" t="s">
        <v>4</v>
      </c>
      <c r="G59" s="94">
        <f t="shared" ref="G59:G60" si="1">D59*14.22</f>
        <v>49.77</v>
      </c>
      <c r="H59" s="1" t="s">
        <v>85</v>
      </c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8.75" customHeight="1">
      <c r="A60" s="2"/>
      <c r="B60" s="1" t="s">
        <v>435</v>
      </c>
      <c r="C60" s="1" t="s">
        <v>4</v>
      </c>
      <c r="D60" s="92">
        <v>1</v>
      </c>
      <c r="E60" s="1" t="s">
        <v>436</v>
      </c>
      <c r="F60" s="1" t="s">
        <v>4</v>
      </c>
      <c r="G60" s="94">
        <f t="shared" si="1"/>
        <v>14.22</v>
      </c>
      <c r="H60" s="1" t="s">
        <v>85</v>
      </c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8.75" customHeight="1">
      <c r="A61" s="2"/>
      <c r="B61" s="1" t="s">
        <v>419</v>
      </c>
      <c r="C61" s="1" t="s">
        <v>4</v>
      </c>
      <c r="D61" s="96">
        <f>G52/(38*D53*D54*D55*D56*D57)*(D58/(1.25*G59-G60))^0.5</f>
        <v>0.83894534186610981</v>
      </c>
      <c r="E61" s="1" t="s">
        <v>437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6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6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6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6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6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6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6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6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6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6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6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6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6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6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6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6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6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6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6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6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6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6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6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6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6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6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6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6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6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6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6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6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6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6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6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6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6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6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6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6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6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6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6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6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6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6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6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6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6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6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6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6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6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6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6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6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6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6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6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6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6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6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6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6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6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6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6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6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6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6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6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6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6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6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6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6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6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6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6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6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6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6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6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6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6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6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6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6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6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6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6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6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6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6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6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6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6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6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6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6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6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6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6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6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6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6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6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6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6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6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6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6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6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6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6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6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6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6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6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6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6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6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6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6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6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6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6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6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6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6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6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6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6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6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6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6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6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6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6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6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6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6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6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6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6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6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6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6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6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6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6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6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6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6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6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6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6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6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6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6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6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6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6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6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6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6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6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6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6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6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6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6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6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6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6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6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6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6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6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6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6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6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6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6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6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6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6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6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6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6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6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6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6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6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6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6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6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6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6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6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6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6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6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6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6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6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6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6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6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6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6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6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6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6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6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6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6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6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6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6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6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6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6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6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6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6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6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6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6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6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6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6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6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6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6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6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6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6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6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6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6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6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6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6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6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6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6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6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6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6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6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6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6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6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6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6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6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6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6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6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6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6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6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6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6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6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6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6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6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6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6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6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6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6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6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6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6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6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6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6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6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6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6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6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6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6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6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6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6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6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6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6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6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6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6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6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6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6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6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6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6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6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6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6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6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6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6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6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6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6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6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6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6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6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6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6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6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6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6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6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6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6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6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6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6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6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6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6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6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6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6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6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6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6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6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6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6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6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6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6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6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6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6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6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6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6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6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6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6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6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6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6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6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6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6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6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6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6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6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6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6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6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6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6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6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6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6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6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6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6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6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6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6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6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6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6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6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6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6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6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6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6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6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6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6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6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6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6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6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6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6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6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6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6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6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6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6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6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6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6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6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6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6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6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6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6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6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6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6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6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6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6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6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6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6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6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6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6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6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6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6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6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6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6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6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6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6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6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6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6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6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6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6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6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6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6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6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6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6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6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6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6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6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6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6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6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6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6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6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6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6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6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6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6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6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6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6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6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6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6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6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6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6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6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6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6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6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6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6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6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6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6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6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6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6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6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6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6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6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6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6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6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6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6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6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6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6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6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6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6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6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6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6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6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6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6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6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6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6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6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6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6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6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6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6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6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6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6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6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6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6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6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6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6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6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6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6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6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6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6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6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6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6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6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6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6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6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6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6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6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6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6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6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6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6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6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6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6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6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6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6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6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6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6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6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6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6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6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6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6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6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6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6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6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6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6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6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6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6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6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6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6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6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6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6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6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6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6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6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6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6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6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6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6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6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6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6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6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6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6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6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6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6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6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6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6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6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6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6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6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6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6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6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6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6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6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6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6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6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6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6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6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6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6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6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6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6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6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6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6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6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6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6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6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6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6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6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6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6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6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6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6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6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6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6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6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6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6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6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6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6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6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6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6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6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6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6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6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6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6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6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6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6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6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6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6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6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6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6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6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6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6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6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6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6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6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6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6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6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6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6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6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6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6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6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6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6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6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6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6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6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6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6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6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6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6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6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6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6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6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6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6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6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6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6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6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6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6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6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6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6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6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6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6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6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6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6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6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6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6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6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6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6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6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6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6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6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6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6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6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6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6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6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6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6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6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6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6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6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6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6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6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6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6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6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6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6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6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6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6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6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6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6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6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6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6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6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6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6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6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6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6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6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6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6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6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6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6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6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6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6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6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6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6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6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6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6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6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6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6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6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6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6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6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6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6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6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6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6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6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6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6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6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6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6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6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6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6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6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6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6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6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6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6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6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6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6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6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6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6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6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6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6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6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6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6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6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6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6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6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6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6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6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6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6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6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6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6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6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6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6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6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6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6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6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6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6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6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6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6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6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6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6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6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6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6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6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6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6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6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6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6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6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6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6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6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6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6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6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6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6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6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6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6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6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6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6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6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6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6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6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6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6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6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6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6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6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6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6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6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6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6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6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6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6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6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6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6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6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6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6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6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6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6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6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6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6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6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6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6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6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6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6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6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6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6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6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6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6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6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6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6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6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6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6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6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6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6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6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6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6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6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6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6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6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6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6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6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6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6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6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6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6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6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6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6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6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6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6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6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6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6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6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6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6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6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6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6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6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6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6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6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6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6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6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6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6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6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honeticPr fontId="12" type="noConversion"/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Z100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25" defaultRowHeight="15" customHeight="1"/>
  <cols>
    <col min="1" max="1" width="12.75" customWidth="1"/>
    <col min="2" max="11" width="9" customWidth="1"/>
    <col min="12" max="26" width="8" customWidth="1"/>
  </cols>
  <sheetData>
    <row r="1" spans="1:26" ht="16.5" customHeight="1">
      <c r="A1" s="122" t="s">
        <v>438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</row>
    <row r="2" spans="1:26" ht="16.5" customHeight="1">
      <c r="A2" s="97" t="s">
        <v>84</v>
      </c>
      <c r="B2" s="123" t="s">
        <v>439</v>
      </c>
      <c r="C2" s="119"/>
      <c r="D2" s="119"/>
      <c r="E2" s="119"/>
      <c r="F2" s="119"/>
      <c r="G2" s="119"/>
      <c r="H2" s="119"/>
      <c r="I2" s="119"/>
      <c r="J2" s="119"/>
      <c r="K2" s="119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</row>
    <row r="3" spans="1:26" ht="16.5" customHeight="1">
      <c r="A3" s="97" t="s">
        <v>440</v>
      </c>
      <c r="B3" s="99">
        <v>300</v>
      </c>
      <c r="C3" s="99">
        <v>400</v>
      </c>
      <c r="D3" s="99">
        <v>500</v>
      </c>
      <c r="E3" s="99">
        <v>600</v>
      </c>
      <c r="F3" s="99">
        <v>700</v>
      </c>
      <c r="G3" s="99">
        <v>800</v>
      </c>
      <c r="H3" s="99">
        <v>900</v>
      </c>
      <c r="I3" s="99">
        <v>1000</v>
      </c>
      <c r="J3" s="99">
        <v>1100</v>
      </c>
      <c r="K3" s="99">
        <v>1200</v>
      </c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</row>
    <row r="4" spans="1:26" ht="16.5" customHeight="1">
      <c r="A4" s="99">
        <v>15</v>
      </c>
      <c r="B4" s="100">
        <v>1</v>
      </c>
      <c r="C4" s="100">
        <v>0.98</v>
      </c>
      <c r="D4" s="100">
        <v>0.93</v>
      </c>
      <c r="E4" s="100">
        <v>0.88</v>
      </c>
      <c r="F4" s="100">
        <v>0.84</v>
      </c>
      <c r="G4" s="100">
        <v>0.8</v>
      </c>
      <c r="H4" s="100">
        <v>0.77</v>
      </c>
      <c r="I4" s="100">
        <v>0.74</v>
      </c>
      <c r="J4" s="100">
        <v>0.72</v>
      </c>
      <c r="K4" s="100">
        <v>0.7</v>
      </c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 spans="1:26" ht="16.5" customHeight="1">
      <c r="A5" s="99">
        <v>20</v>
      </c>
      <c r="B5" s="100">
        <v>1</v>
      </c>
      <c r="C5" s="100">
        <v>0.98</v>
      </c>
      <c r="D5" s="100">
        <v>0.93</v>
      </c>
      <c r="E5" s="100">
        <v>0.88</v>
      </c>
      <c r="F5" s="100">
        <v>0.84</v>
      </c>
      <c r="G5" s="100">
        <v>0.8</v>
      </c>
      <c r="H5" s="100">
        <v>0.77</v>
      </c>
      <c r="I5" s="100">
        <v>0.74</v>
      </c>
      <c r="J5" s="100">
        <v>0.72</v>
      </c>
      <c r="K5" s="100">
        <v>0.7</v>
      </c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</row>
    <row r="6" spans="1:26" ht="16.5" customHeight="1">
      <c r="A6" s="99">
        <v>40</v>
      </c>
      <c r="B6" s="100">
        <v>1</v>
      </c>
      <c r="C6" s="100">
        <v>0.99</v>
      </c>
      <c r="D6" s="100">
        <v>0.93</v>
      </c>
      <c r="E6" s="100">
        <v>0.88</v>
      </c>
      <c r="F6" s="100">
        <v>0.84</v>
      </c>
      <c r="G6" s="100">
        <v>0.81</v>
      </c>
      <c r="H6" s="100">
        <v>0.77</v>
      </c>
      <c r="I6" s="100">
        <v>0.74</v>
      </c>
      <c r="J6" s="100">
        <v>0.72</v>
      </c>
      <c r="K6" s="100">
        <v>0.7</v>
      </c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</row>
    <row r="7" spans="1:26" ht="16.5" customHeight="1">
      <c r="A7" s="99">
        <v>60</v>
      </c>
      <c r="B7" s="100">
        <v>1</v>
      </c>
      <c r="C7" s="100">
        <v>0.99</v>
      </c>
      <c r="D7" s="100">
        <v>0.93</v>
      </c>
      <c r="E7" s="100">
        <v>0.88</v>
      </c>
      <c r="F7" s="100">
        <v>0.84</v>
      </c>
      <c r="G7" s="100">
        <v>0.81</v>
      </c>
      <c r="H7" s="100">
        <v>0.77</v>
      </c>
      <c r="I7" s="100">
        <v>0.75</v>
      </c>
      <c r="J7" s="100">
        <v>0.72</v>
      </c>
      <c r="K7" s="100">
        <v>0.7</v>
      </c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</row>
    <row r="8" spans="1:26" ht="16.5" customHeight="1">
      <c r="A8" s="99">
        <v>80</v>
      </c>
      <c r="B8" s="100">
        <v>1</v>
      </c>
      <c r="C8" s="100">
        <v>0.99</v>
      </c>
      <c r="D8" s="100">
        <v>0.93</v>
      </c>
      <c r="E8" s="100">
        <v>0.88</v>
      </c>
      <c r="F8" s="100">
        <v>0.84</v>
      </c>
      <c r="G8" s="100">
        <v>0.81</v>
      </c>
      <c r="H8" s="100">
        <v>0.77</v>
      </c>
      <c r="I8" s="100">
        <v>0.75</v>
      </c>
      <c r="J8" s="100">
        <v>0.72</v>
      </c>
      <c r="K8" s="100">
        <v>0.7</v>
      </c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</row>
    <row r="9" spans="1:26" ht="16.5" customHeight="1">
      <c r="A9" s="99">
        <v>100</v>
      </c>
      <c r="B9" s="100">
        <v>1</v>
      </c>
      <c r="C9" s="100">
        <v>0.99</v>
      </c>
      <c r="D9" s="100">
        <v>0.94</v>
      </c>
      <c r="E9" s="100">
        <v>0.89</v>
      </c>
      <c r="F9" s="100">
        <v>0.84</v>
      </c>
      <c r="G9" s="100">
        <v>0.81</v>
      </c>
      <c r="H9" s="100">
        <v>0.77</v>
      </c>
      <c r="I9" s="100">
        <v>0.75</v>
      </c>
      <c r="J9" s="100">
        <v>0.72</v>
      </c>
      <c r="K9" s="100">
        <v>0.7</v>
      </c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</row>
    <row r="10" spans="1:26" ht="16.5" customHeight="1">
      <c r="A10" s="99">
        <v>120</v>
      </c>
      <c r="B10" s="100">
        <v>1</v>
      </c>
      <c r="C10" s="100">
        <v>0.99</v>
      </c>
      <c r="D10" s="100">
        <v>0.94</v>
      </c>
      <c r="E10" s="100">
        <v>0.89</v>
      </c>
      <c r="F10" s="100">
        <v>0.84</v>
      </c>
      <c r="G10" s="100">
        <v>0.81</v>
      </c>
      <c r="H10" s="100">
        <v>0.78</v>
      </c>
      <c r="I10" s="100">
        <v>0.75</v>
      </c>
      <c r="J10" s="100">
        <v>0.72</v>
      </c>
      <c r="K10" s="100">
        <v>0.7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</row>
    <row r="11" spans="1:26" ht="16.5" customHeight="1">
      <c r="A11" s="99">
        <v>140</v>
      </c>
      <c r="B11" s="100">
        <v>1</v>
      </c>
      <c r="C11" s="100">
        <v>0.99</v>
      </c>
      <c r="D11" s="100">
        <v>0.94</v>
      </c>
      <c r="E11" s="100">
        <v>0.89</v>
      </c>
      <c r="F11" s="100">
        <v>0.85</v>
      </c>
      <c r="G11" s="100">
        <v>0.81</v>
      </c>
      <c r="H11" s="100">
        <v>0.78</v>
      </c>
      <c r="I11" s="100">
        <v>0.75</v>
      </c>
      <c r="J11" s="100">
        <v>0.72</v>
      </c>
      <c r="K11" s="100">
        <v>0.7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</row>
    <row r="12" spans="1:26" ht="16.5" customHeight="1">
      <c r="A12" s="99">
        <v>160</v>
      </c>
      <c r="B12" s="100">
        <v>1</v>
      </c>
      <c r="C12" s="100">
        <v>0.99</v>
      </c>
      <c r="D12" s="100">
        <v>0.94</v>
      </c>
      <c r="E12" s="100">
        <v>0.89</v>
      </c>
      <c r="F12" s="100">
        <v>0.85</v>
      </c>
      <c r="G12" s="100">
        <v>0.81</v>
      </c>
      <c r="H12" s="100">
        <v>0.78</v>
      </c>
      <c r="I12" s="100">
        <v>0.75</v>
      </c>
      <c r="J12" s="100">
        <v>0.72</v>
      </c>
      <c r="K12" s="100">
        <v>0.7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</row>
    <row r="13" spans="1:26" ht="16.5" customHeight="1">
      <c r="A13" s="99">
        <v>180</v>
      </c>
      <c r="B13" s="100">
        <v>1</v>
      </c>
      <c r="C13" s="100">
        <v>0.99</v>
      </c>
      <c r="D13" s="100">
        <v>0.94</v>
      </c>
      <c r="E13" s="100">
        <v>0.89</v>
      </c>
      <c r="F13" s="100">
        <v>0.85</v>
      </c>
      <c r="G13" s="100">
        <v>0.81</v>
      </c>
      <c r="H13" s="100">
        <v>0.78</v>
      </c>
      <c r="I13" s="100">
        <v>0.75</v>
      </c>
      <c r="J13" s="100">
        <v>0.72</v>
      </c>
      <c r="K13" s="100">
        <v>0.7</v>
      </c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</row>
    <row r="14" spans="1:26" ht="16.5" customHeight="1">
      <c r="A14" s="99">
        <v>200</v>
      </c>
      <c r="B14" s="100">
        <v>1</v>
      </c>
      <c r="C14" s="100">
        <v>0.99</v>
      </c>
      <c r="D14" s="100">
        <v>0.95</v>
      </c>
      <c r="E14" s="100">
        <v>0.89</v>
      </c>
      <c r="F14" s="100">
        <v>0.85</v>
      </c>
      <c r="G14" s="100">
        <v>0.81</v>
      </c>
      <c r="H14" s="100">
        <v>0.78</v>
      </c>
      <c r="I14" s="100">
        <v>0.75</v>
      </c>
      <c r="J14" s="100">
        <v>0.72</v>
      </c>
      <c r="K14" s="100">
        <v>0.7</v>
      </c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</row>
    <row r="15" spans="1:26" ht="16.5" customHeight="1">
      <c r="A15" s="99">
        <v>220</v>
      </c>
      <c r="B15" s="100">
        <v>1</v>
      </c>
      <c r="C15" s="100">
        <v>0.99</v>
      </c>
      <c r="D15" s="100">
        <v>0.95</v>
      </c>
      <c r="E15" s="100">
        <v>0.89</v>
      </c>
      <c r="F15" s="100">
        <v>0.85</v>
      </c>
      <c r="G15" s="100">
        <v>0.81</v>
      </c>
      <c r="H15" s="100">
        <v>0.78</v>
      </c>
      <c r="I15" s="100">
        <v>0.75</v>
      </c>
      <c r="J15" s="100">
        <v>0.72</v>
      </c>
      <c r="K15" s="100">
        <v>0.7</v>
      </c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</row>
    <row r="16" spans="1:26" ht="16.5" customHeight="1">
      <c r="A16" s="99">
        <v>240</v>
      </c>
      <c r="B16" s="100"/>
      <c r="C16" s="100">
        <v>1</v>
      </c>
      <c r="D16" s="100">
        <v>0.95</v>
      </c>
      <c r="E16" s="100">
        <v>0.9</v>
      </c>
      <c r="F16" s="100">
        <v>0.85</v>
      </c>
      <c r="G16" s="100">
        <v>0.81</v>
      </c>
      <c r="H16" s="100">
        <v>0.78</v>
      </c>
      <c r="I16" s="100">
        <v>0.75</v>
      </c>
      <c r="J16" s="100">
        <v>0.72</v>
      </c>
      <c r="K16" s="100">
        <v>0.7</v>
      </c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</row>
    <row r="17" spans="1:26" ht="16.5" customHeight="1">
      <c r="A17" s="99">
        <v>260</v>
      </c>
      <c r="B17" s="100"/>
      <c r="C17" s="100">
        <v>1</v>
      </c>
      <c r="D17" s="100">
        <v>0.95</v>
      </c>
      <c r="E17" s="100">
        <v>0.9</v>
      </c>
      <c r="F17" s="100">
        <v>0.85</v>
      </c>
      <c r="G17" s="100">
        <v>0.81</v>
      </c>
      <c r="H17" s="100">
        <v>0.78</v>
      </c>
      <c r="I17" s="100">
        <v>0.75</v>
      </c>
      <c r="J17" s="100">
        <v>0.72</v>
      </c>
      <c r="K17" s="100">
        <v>0.7</v>
      </c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</row>
    <row r="18" spans="1:26" ht="16.5" customHeight="1">
      <c r="A18" s="99">
        <v>280</v>
      </c>
      <c r="B18" s="100"/>
      <c r="C18" s="100">
        <v>1</v>
      </c>
      <c r="D18" s="100">
        <v>0.96</v>
      </c>
      <c r="E18" s="100">
        <v>0.9</v>
      </c>
      <c r="F18" s="100">
        <v>0.85</v>
      </c>
      <c r="G18" s="100">
        <v>0.81</v>
      </c>
      <c r="H18" s="100">
        <v>0.78</v>
      </c>
      <c r="I18" s="100">
        <v>0.75</v>
      </c>
      <c r="J18" s="100">
        <v>0.72</v>
      </c>
      <c r="K18" s="100">
        <v>0.7</v>
      </c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</row>
    <row r="19" spans="1:26" ht="16.5" customHeight="1">
      <c r="A19" s="99">
        <v>300</v>
      </c>
      <c r="B19" s="100"/>
      <c r="C19" s="100">
        <v>1</v>
      </c>
      <c r="D19" s="100">
        <v>0.96</v>
      </c>
      <c r="E19" s="100">
        <v>0.9</v>
      </c>
      <c r="F19" s="100">
        <v>0.85</v>
      </c>
      <c r="G19" s="100">
        <v>0.81</v>
      </c>
      <c r="H19" s="100">
        <v>0.78</v>
      </c>
      <c r="I19" s="100">
        <v>0.75</v>
      </c>
      <c r="J19" s="100">
        <v>0.72</v>
      </c>
      <c r="K19" s="100">
        <v>0.7</v>
      </c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</row>
    <row r="20" spans="1:26" ht="16.5" customHeight="1">
      <c r="A20" s="99">
        <v>350</v>
      </c>
      <c r="B20" s="100"/>
      <c r="C20" s="100">
        <v>1</v>
      </c>
      <c r="D20" s="100">
        <v>0.96</v>
      </c>
      <c r="E20" s="100">
        <v>0.9</v>
      </c>
      <c r="F20" s="100">
        <v>0.86</v>
      </c>
      <c r="G20" s="100">
        <v>0.82</v>
      </c>
      <c r="H20" s="100">
        <v>0.78</v>
      </c>
      <c r="I20" s="100">
        <v>0.75</v>
      </c>
      <c r="J20" s="100">
        <v>0.72</v>
      </c>
      <c r="K20" s="100">
        <v>0.7</v>
      </c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</row>
    <row r="21" spans="1:26" ht="16.5" customHeight="1">
      <c r="A21" s="99">
        <v>400</v>
      </c>
      <c r="B21" s="100"/>
      <c r="C21" s="100">
        <v>1</v>
      </c>
      <c r="D21" s="100">
        <v>0.96</v>
      </c>
      <c r="E21" s="100">
        <v>0.91</v>
      </c>
      <c r="F21" s="100">
        <v>0.86</v>
      </c>
      <c r="G21" s="100">
        <v>0.82</v>
      </c>
      <c r="H21" s="100">
        <v>0.78</v>
      </c>
      <c r="I21" s="100">
        <v>0.75</v>
      </c>
      <c r="J21" s="100">
        <v>0.72</v>
      </c>
      <c r="K21" s="100">
        <v>0.7</v>
      </c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</row>
    <row r="22" spans="1:26" ht="16.5" customHeight="1">
      <c r="A22" s="99">
        <v>500</v>
      </c>
      <c r="B22" s="100"/>
      <c r="C22" s="100">
        <v>1</v>
      </c>
      <c r="D22" s="100">
        <v>0.96</v>
      </c>
      <c r="E22" s="100">
        <v>0.92</v>
      </c>
      <c r="F22" s="100">
        <v>0.86</v>
      </c>
      <c r="G22" s="100">
        <v>0.82</v>
      </c>
      <c r="H22" s="100">
        <v>0.78</v>
      </c>
      <c r="I22" s="100">
        <v>0.75</v>
      </c>
      <c r="J22" s="100">
        <v>0.73</v>
      </c>
      <c r="K22" s="100">
        <v>0.7</v>
      </c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</row>
    <row r="23" spans="1:26" ht="16.5" customHeight="1">
      <c r="A23" s="99">
        <v>600</v>
      </c>
      <c r="B23" s="100"/>
      <c r="C23" s="100">
        <v>1</v>
      </c>
      <c r="D23" s="100">
        <v>0.97</v>
      </c>
      <c r="E23" s="100">
        <v>0.92</v>
      </c>
      <c r="F23" s="100">
        <v>0.87</v>
      </c>
      <c r="G23" s="100">
        <v>0.82</v>
      </c>
      <c r="H23" s="100">
        <v>0.79</v>
      </c>
      <c r="I23" s="100">
        <v>0.75</v>
      </c>
      <c r="J23" s="100">
        <v>0.73</v>
      </c>
      <c r="K23" s="100">
        <v>0.7</v>
      </c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</row>
    <row r="24" spans="1:26" ht="16.5" customHeight="1">
      <c r="A24" s="99">
        <v>800</v>
      </c>
      <c r="B24" s="100"/>
      <c r="C24" s="100"/>
      <c r="D24" s="100">
        <v>1</v>
      </c>
      <c r="E24" s="100">
        <v>0.95</v>
      </c>
      <c r="F24" s="100">
        <v>0.88</v>
      </c>
      <c r="G24" s="100">
        <v>0.83</v>
      </c>
      <c r="H24" s="100">
        <v>0.79</v>
      </c>
      <c r="I24" s="100">
        <v>0.76</v>
      </c>
      <c r="J24" s="100">
        <v>0.73</v>
      </c>
      <c r="K24" s="100">
        <v>0.7</v>
      </c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</row>
    <row r="25" spans="1:26" ht="16.5" customHeight="1">
      <c r="A25" s="99">
        <v>1000</v>
      </c>
      <c r="B25" s="100"/>
      <c r="C25" s="100"/>
      <c r="D25" s="100">
        <v>1</v>
      </c>
      <c r="E25" s="100">
        <v>0.96</v>
      </c>
      <c r="F25" s="100">
        <v>0.89</v>
      </c>
      <c r="G25" s="100">
        <v>0.84</v>
      </c>
      <c r="H25" s="100">
        <v>0.78</v>
      </c>
      <c r="I25" s="100">
        <v>0.76</v>
      </c>
      <c r="J25" s="100">
        <v>0.73</v>
      </c>
      <c r="K25" s="100">
        <v>0.71</v>
      </c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</row>
    <row r="26" spans="1:26" ht="16.5" customHeight="1">
      <c r="A26" s="99">
        <v>1250</v>
      </c>
      <c r="B26" s="100"/>
      <c r="C26" s="100"/>
      <c r="D26" s="100">
        <v>1</v>
      </c>
      <c r="E26" s="100">
        <v>0.97</v>
      </c>
      <c r="F26" s="100">
        <v>0.91</v>
      </c>
      <c r="G26" s="100">
        <v>0.85</v>
      </c>
      <c r="H26" s="100">
        <v>0.8</v>
      </c>
      <c r="I26" s="100">
        <v>0.77</v>
      </c>
      <c r="J26" s="100">
        <v>0.74</v>
      </c>
      <c r="K26" s="100">
        <v>0.71</v>
      </c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</row>
    <row r="27" spans="1:26" ht="16.5" customHeight="1">
      <c r="A27" s="99">
        <v>1500</v>
      </c>
      <c r="B27" s="100"/>
      <c r="C27" s="100"/>
      <c r="D27" s="100"/>
      <c r="E27" s="100">
        <v>1</v>
      </c>
      <c r="F27" s="100">
        <v>0.93</v>
      </c>
      <c r="G27" s="100">
        <v>0.86</v>
      </c>
      <c r="H27" s="100">
        <v>0.81</v>
      </c>
      <c r="I27" s="100">
        <v>0.77</v>
      </c>
      <c r="J27" s="100">
        <v>0.74</v>
      </c>
      <c r="K27" s="100">
        <v>0.71</v>
      </c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</row>
    <row r="28" spans="1:26" ht="16.5" customHeight="1">
      <c r="A28" s="99">
        <v>1750</v>
      </c>
      <c r="B28" s="100"/>
      <c r="C28" s="100"/>
      <c r="D28" s="100"/>
      <c r="E28" s="100">
        <v>1</v>
      </c>
      <c r="F28" s="100">
        <v>0.94</v>
      </c>
      <c r="G28" s="100">
        <v>0.86</v>
      </c>
      <c r="H28" s="100">
        <v>0.81</v>
      </c>
      <c r="I28" s="100">
        <v>0.77</v>
      </c>
      <c r="J28" s="100">
        <v>0.73</v>
      </c>
      <c r="K28" s="100">
        <v>0.7</v>
      </c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</row>
    <row r="29" spans="1:26" ht="16.5" customHeight="1">
      <c r="A29" s="99">
        <v>2000</v>
      </c>
      <c r="B29" s="100"/>
      <c r="C29" s="100"/>
      <c r="D29" s="100"/>
      <c r="E29" s="100">
        <v>1</v>
      </c>
      <c r="F29" s="100">
        <v>0.95</v>
      </c>
      <c r="G29" s="100">
        <v>0.86</v>
      </c>
      <c r="H29" s="100">
        <v>0.8</v>
      </c>
      <c r="I29" s="100">
        <v>0.76</v>
      </c>
      <c r="J29" s="100">
        <v>0.72</v>
      </c>
      <c r="K29" s="100">
        <v>0.69</v>
      </c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</row>
    <row r="30" spans="1:26" ht="16.5" customHeight="1">
      <c r="A30" s="99">
        <v>2500</v>
      </c>
      <c r="B30" s="100"/>
      <c r="C30" s="100"/>
      <c r="D30" s="100"/>
      <c r="E30" s="100">
        <v>1</v>
      </c>
      <c r="F30" s="100">
        <v>0.95</v>
      </c>
      <c r="G30" s="100">
        <v>0.85</v>
      </c>
      <c r="H30" s="100">
        <v>0.78</v>
      </c>
      <c r="I30" s="100">
        <v>0.73</v>
      </c>
      <c r="J30" s="100">
        <v>0.69</v>
      </c>
      <c r="K30" s="100">
        <v>0.66</v>
      </c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</row>
    <row r="31" spans="1:26" ht="16.5" customHeight="1">
      <c r="A31" s="99">
        <v>3000</v>
      </c>
      <c r="B31" s="100"/>
      <c r="C31" s="100"/>
      <c r="D31" s="100"/>
      <c r="E31" s="100"/>
      <c r="F31" s="100">
        <v>1</v>
      </c>
      <c r="G31" s="100">
        <v>0.82</v>
      </c>
      <c r="H31" s="100">
        <v>0.74</v>
      </c>
      <c r="I31" s="100">
        <v>0.69</v>
      </c>
      <c r="J31" s="100">
        <v>0.65</v>
      </c>
      <c r="K31" s="100">
        <v>0.62</v>
      </c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</row>
    <row r="32" spans="1:26" ht="16.5" customHeight="1">
      <c r="A32" s="99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</row>
    <row r="33" spans="1:26" ht="16.5" customHeight="1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</row>
    <row r="34" spans="1:26" ht="16.5" customHeight="1">
      <c r="A34" s="99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</row>
    <row r="35" spans="1:26" ht="16.5" customHeight="1">
      <c r="A35" s="99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</row>
    <row r="36" spans="1:26" ht="16.5" customHeight="1">
      <c r="A36" s="99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</row>
    <row r="37" spans="1:26" ht="16.5" customHeight="1">
      <c r="A37" s="99"/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</row>
    <row r="38" spans="1:26" ht="16.5" customHeight="1">
      <c r="A38" s="99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</row>
    <row r="39" spans="1:26" ht="16.5" customHeight="1">
      <c r="A39" s="99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</row>
    <row r="40" spans="1:26" ht="16.5" customHeight="1">
      <c r="A40" s="99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</row>
    <row r="41" spans="1:26" ht="16.5" customHeight="1">
      <c r="A41" s="99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</row>
    <row r="42" spans="1:26" ht="16.5" customHeight="1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</row>
    <row r="43" spans="1:26" ht="16.5" customHeight="1">
      <c r="A43" s="99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</row>
    <row r="44" spans="1:26" ht="16.5" customHeight="1">
      <c r="A44" s="99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</row>
    <row r="45" spans="1:26" ht="16.5" customHeight="1">
      <c r="A45" s="99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</row>
    <row r="46" spans="1:26" ht="16.5" customHeight="1">
      <c r="A46" s="99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</row>
    <row r="47" spans="1:26" ht="16.5" customHeight="1">
      <c r="A47" s="99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</row>
    <row r="48" spans="1:26" ht="16.5" customHeight="1">
      <c r="A48" s="99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</row>
    <row r="49" spans="1:26" ht="16.5" customHeight="1">
      <c r="A49" s="99"/>
      <c r="B49" s="100"/>
      <c r="C49" s="100"/>
      <c r="D49" s="100"/>
      <c r="E49" s="100"/>
      <c r="F49" s="100"/>
      <c r="G49" s="100"/>
      <c r="H49" s="100"/>
      <c r="I49" s="100"/>
      <c r="J49" s="100"/>
      <c r="K49" s="100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</row>
    <row r="50" spans="1:26" ht="16.5" customHeight="1">
      <c r="A50" s="99"/>
      <c r="B50" s="100"/>
      <c r="C50" s="100"/>
      <c r="D50" s="100"/>
      <c r="E50" s="100"/>
      <c r="F50" s="100"/>
      <c r="G50" s="100"/>
      <c r="H50" s="100"/>
      <c r="I50" s="100"/>
      <c r="J50" s="100"/>
      <c r="K50" s="100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</row>
    <row r="51" spans="1:26" ht="16.5" customHeight="1">
      <c r="A51" s="99"/>
      <c r="B51" s="100"/>
      <c r="C51" s="100"/>
      <c r="D51" s="100"/>
      <c r="E51" s="100"/>
      <c r="F51" s="100"/>
      <c r="G51" s="100"/>
      <c r="H51" s="100"/>
      <c r="I51" s="100"/>
      <c r="J51" s="100"/>
      <c r="K51" s="100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</row>
    <row r="52" spans="1:26" ht="16.5" customHeight="1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</row>
    <row r="53" spans="1:26" ht="16.5" customHeight="1">
      <c r="A53" s="99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</row>
    <row r="54" spans="1:26" ht="16.5" customHeight="1">
      <c r="A54" s="99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</row>
    <row r="55" spans="1:26" ht="16.5" customHeight="1">
      <c r="A55" s="99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</row>
    <row r="56" spans="1:26" ht="16.5" customHeight="1">
      <c r="A56" s="99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</row>
    <row r="57" spans="1:26" ht="16.5" customHeight="1">
      <c r="A57" s="99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</row>
    <row r="58" spans="1:26" ht="16.5" customHeight="1">
      <c r="A58" s="99"/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</row>
    <row r="59" spans="1:26" ht="16.5" customHeight="1">
      <c r="A59" s="99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</row>
    <row r="60" spans="1:26" ht="16.5" customHeight="1">
      <c r="A60" s="99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</row>
    <row r="61" spans="1:26" ht="16.5" customHeight="1">
      <c r="A61" s="99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</row>
    <row r="62" spans="1:26" ht="16.5" customHeight="1">
      <c r="A62" s="99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</row>
    <row r="63" spans="1:26" ht="16.5" customHeight="1">
      <c r="A63" s="99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</row>
    <row r="64" spans="1:26" ht="16.5" customHeight="1">
      <c r="A64" s="99"/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</row>
    <row r="65" spans="1:26" ht="16.5" customHeight="1">
      <c r="A65" s="99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</row>
    <row r="66" spans="1:26" ht="16.5" customHeight="1">
      <c r="A66" s="99"/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</row>
    <row r="67" spans="1:26" ht="16.5" customHeight="1">
      <c r="A67" s="99"/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</row>
    <row r="68" spans="1:26" ht="16.5" customHeight="1">
      <c r="A68" s="99"/>
      <c r="B68" s="100"/>
      <c r="C68" s="100"/>
      <c r="D68" s="100"/>
      <c r="E68" s="100"/>
      <c r="F68" s="100"/>
      <c r="G68" s="100"/>
      <c r="H68" s="100"/>
      <c r="I68" s="100"/>
      <c r="J68" s="100"/>
      <c r="K68" s="100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</row>
    <row r="69" spans="1:26" ht="16.5" customHeight="1">
      <c r="A69" s="99"/>
      <c r="B69" s="100"/>
      <c r="C69" s="100"/>
      <c r="D69" s="100"/>
      <c r="E69" s="100"/>
      <c r="F69" s="100"/>
      <c r="G69" s="100"/>
      <c r="H69" s="100"/>
      <c r="I69" s="100"/>
      <c r="J69" s="100"/>
      <c r="K69" s="100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</row>
    <row r="70" spans="1:26" ht="16.5" customHeight="1">
      <c r="A70" s="99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</row>
    <row r="71" spans="1:26" ht="16.5" customHeight="1">
      <c r="A71" s="99"/>
      <c r="B71" s="100"/>
      <c r="C71" s="100"/>
      <c r="D71" s="100"/>
      <c r="E71" s="100"/>
      <c r="F71" s="100"/>
      <c r="G71" s="100"/>
      <c r="H71" s="100"/>
      <c r="I71" s="100"/>
      <c r="J71" s="100"/>
      <c r="K71" s="100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</row>
    <row r="72" spans="1:26" ht="16.5" customHeight="1">
      <c r="A72" s="99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</row>
    <row r="73" spans="1:26" ht="16.5" customHeight="1">
      <c r="A73" s="99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</row>
    <row r="74" spans="1:26" ht="16.5" customHeight="1">
      <c r="A74" s="99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</row>
    <row r="75" spans="1:26" ht="16.5" customHeight="1">
      <c r="A75" s="99"/>
      <c r="B75" s="100"/>
      <c r="C75" s="100"/>
      <c r="D75" s="100"/>
      <c r="E75" s="100"/>
      <c r="F75" s="100"/>
      <c r="G75" s="100"/>
      <c r="H75" s="100"/>
      <c r="I75" s="100"/>
      <c r="J75" s="100"/>
      <c r="K75" s="100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</row>
    <row r="76" spans="1:26" ht="16.5" customHeight="1">
      <c r="A76" s="99"/>
      <c r="B76" s="100"/>
      <c r="C76" s="100"/>
      <c r="D76" s="100"/>
      <c r="E76" s="100"/>
      <c r="F76" s="100"/>
      <c r="G76" s="100"/>
      <c r="H76" s="100"/>
      <c r="I76" s="100"/>
      <c r="J76" s="100"/>
      <c r="K76" s="100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</row>
    <row r="77" spans="1:26" ht="16.5" customHeight="1">
      <c r="A77" s="99"/>
      <c r="B77" s="100"/>
      <c r="C77" s="100"/>
      <c r="D77" s="100"/>
      <c r="E77" s="100"/>
      <c r="F77" s="100"/>
      <c r="G77" s="100"/>
      <c r="H77" s="100"/>
      <c r="I77" s="100"/>
      <c r="J77" s="100"/>
      <c r="K77" s="100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</row>
    <row r="78" spans="1:26" ht="16.5" customHeight="1">
      <c r="A78" s="99"/>
      <c r="B78" s="100"/>
      <c r="C78" s="100"/>
      <c r="D78" s="100"/>
      <c r="E78" s="100"/>
      <c r="F78" s="100"/>
      <c r="G78" s="100"/>
      <c r="H78" s="100"/>
      <c r="I78" s="100"/>
      <c r="J78" s="100"/>
      <c r="K78" s="100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</row>
    <row r="79" spans="1:26" ht="16.5" customHeight="1">
      <c r="A79" s="99"/>
      <c r="B79" s="100"/>
      <c r="C79" s="100"/>
      <c r="D79" s="100"/>
      <c r="E79" s="100"/>
      <c r="F79" s="100"/>
      <c r="G79" s="100"/>
      <c r="H79" s="100"/>
      <c r="I79" s="100"/>
      <c r="J79" s="100"/>
      <c r="K79" s="100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</row>
    <row r="80" spans="1:26" ht="16.5" customHeight="1">
      <c r="A80" s="99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</row>
    <row r="81" spans="1:26" ht="16.5" customHeight="1">
      <c r="A81" s="99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</row>
    <row r="82" spans="1:26" ht="16.5" customHeight="1">
      <c r="A82" s="99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</row>
    <row r="83" spans="1:26" ht="16.5" customHeight="1">
      <c r="A83" s="99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</row>
    <row r="84" spans="1:26" ht="16.5" customHeight="1">
      <c r="A84" s="99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</row>
    <row r="85" spans="1:26" ht="16.5" customHeight="1">
      <c r="A85" s="99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</row>
    <row r="86" spans="1:26" ht="16.5" customHeight="1">
      <c r="A86" s="99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</row>
    <row r="87" spans="1:26" ht="16.5" customHeight="1">
      <c r="A87" s="99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</row>
    <row r="88" spans="1:26" ht="16.5" customHeight="1">
      <c r="A88" s="99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</row>
    <row r="89" spans="1:26" ht="16.5" customHeight="1">
      <c r="A89" s="99"/>
      <c r="B89" s="100"/>
      <c r="C89" s="100"/>
      <c r="D89" s="100"/>
      <c r="E89" s="100"/>
      <c r="F89" s="100"/>
      <c r="G89" s="100"/>
      <c r="H89" s="100"/>
      <c r="I89" s="100"/>
      <c r="J89" s="100"/>
      <c r="K89" s="100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</row>
    <row r="90" spans="1:26" ht="16.5" customHeight="1">
      <c r="A90" s="99"/>
      <c r="B90" s="100"/>
      <c r="C90" s="100"/>
      <c r="D90" s="100"/>
      <c r="E90" s="100"/>
      <c r="F90" s="100"/>
      <c r="G90" s="100"/>
      <c r="H90" s="100"/>
      <c r="I90" s="100"/>
      <c r="J90" s="100"/>
      <c r="K90" s="100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</row>
    <row r="91" spans="1:26" ht="16.5" customHeight="1">
      <c r="A91" s="99"/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</row>
    <row r="92" spans="1:26" ht="16.5" customHeight="1">
      <c r="A92" s="99"/>
      <c r="B92" s="100"/>
      <c r="C92" s="100"/>
      <c r="D92" s="100"/>
      <c r="E92" s="100"/>
      <c r="F92" s="100"/>
      <c r="G92" s="100"/>
      <c r="H92" s="100"/>
      <c r="I92" s="100"/>
      <c r="J92" s="100"/>
      <c r="K92" s="100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</row>
    <row r="93" spans="1:26" ht="16.5" customHeight="1">
      <c r="A93" s="99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</row>
    <row r="94" spans="1:26" ht="16.5" customHeight="1">
      <c r="A94" s="99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</row>
    <row r="95" spans="1:26" ht="16.5" customHeight="1">
      <c r="A95" s="99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</row>
    <row r="96" spans="1:26" ht="16.5" customHeight="1">
      <c r="A96" s="99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</row>
    <row r="97" spans="1:26" ht="16.5" customHeight="1">
      <c r="A97" s="99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</row>
    <row r="98" spans="1:26" ht="16.5" customHeight="1">
      <c r="A98" s="99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</row>
    <row r="99" spans="1:26" ht="16.5" customHeight="1">
      <c r="A99" s="99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</row>
    <row r="100" spans="1:26" ht="16.5" customHeight="1">
      <c r="A100" s="99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</row>
    <row r="101" spans="1:26" ht="16.5" customHeight="1">
      <c r="A101" s="99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</row>
    <row r="102" spans="1:26" ht="16.5" customHeight="1">
      <c r="A102" s="99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</row>
    <row r="103" spans="1:26" ht="16.5" customHeight="1">
      <c r="A103" s="99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</row>
    <row r="104" spans="1:26" ht="16.5" customHeight="1">
      <c r="A104" s="99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</row>
    <row r="105" spans="1:26" ht="16.5" customHeight="1">
      <c r="A105" s="99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</row>
    <row r="106" spans="1:26" ht="16.5" customHeight="1">
      <c r="A106" s="99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</row>
    <row r="107" spans="1:26" ht="16.5" customHeight="1">
      <c r="A107" s="99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</row>
    <row r="108" spans="1:26" ht="16.5" customHeight="1">
      <c r="A108" s="99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</row>
    <row r="109" spans="1:26" ht="16.5" customHeight="1">
      <c r="A109" s="99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</row>
    <row r="110" spans="1:26" ht="16.5" customHeight="1">
      <c r="A110" s="99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</row>
    <row r="111" spans="1:26" ht="16.5" customHeight="1">
      <c r="A111" s="99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</row>
    <row r="112" spans="1:26" ht="16.5" customHeight="1">
      <c r="A112" s="99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</row>
    <row r="113" spans="1:26" ht="16.5" customHeight="1">
      <c r="A113" s="99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</row>
    <row r="114" spans="1:26" ht="16.5" customHeight="1">
      <c r="A114" s="99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</row>
    <row r="115" spans="1:26" ht="16.5" customHeight="1">
      <c r="A115" s="99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</row>
    <row r="116" spans="1:26" ht="16.5" customHeight="1">
      <c r="A116" s="99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</row>
    <row r="117" spans="1:26" ht="16.5" customHeight="1">
      <c r="A117" s="99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</row>
    <row r="118" spans="1:26" ht="16.5" customHeight="1">
      <c r="A118" s="99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</row>
    <row r="119" spans="1:26" ht="16.5" customHeight="1">
      <c r="A119" s="99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</row>
    <row r="120" spans="1:26" ht="16.5" customHeight="1">
      <c r="A120" s="99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</row>
    <row r="121" spans="1:26" ht="16.5" customHeight="1">
      <c r="A121" s="99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</row>
    <row r="122" spans="1:26" ht="16.5" customHeight="1">
      <c r="A122" s="99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</row>
    <row r="123" spans="1:26" ht="16.5" customHeight="1">
      <c r="A123" s="99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</row>
    <row r="124" spans="1:26" ht="16.5" customHeight="1">
      <c r="A124" s="99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</row>
    <row r="125" spans="1:26" ht="16.5" customHeight="1">
      <c r="A125" s="99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</row>
    <row r="126" spans="1:26" ht="16.5" customHeight="1">
      <c r="A126" s="99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</row>
    <row r="127" spans="1:26" ht="16.5" customHeight="1">
      <c r="A127" s="99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</row>
    <row r="128" spans="1:26" ht="16.5" customHeight="1">
      <c r="A128" s="99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</row>
    <row r="129" spans="1:26" ht="16.5" customHeight="1">
      <c r="A129" s="99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</row>
    <row r="130" spans="1:26" ht="16.5" customHeight="1">
      <c r="A130" s="99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</row>
    <row r="131" spans="1:26" ht="16.5" customHeight="1">
      <c r="A131" s="99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</row>
    <row r="132" spans="1:26" ht="16.5" customHeight="1">
      <c r="A132" s="99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</row>
    <row r="133" spans="1:26" ht="16.5" customHeight="1">
      <c r="A133" s="99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</row>
    <row r="134" spans="1:26" ht="16.5" customHeight="1">
      <c r="A134" s="99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</row>
    <row r="135" spans="1:26" ht="16.5" customHeight="1">
      <c r="A135" s="99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</row>
    <row r="136" spans="1:26" ht="16.5" customHeight="1">
      <c r="A136" s="99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</row>
    <row r="137" spans="1:26" ht="16.5" customHeight="1">
      <c r="A137" s="99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</row>
    <row r="138" spans="1:26" ht="16.5" customHeight="1">
      <c r="A138" s="99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</row>
    <row r="139" spans="1:26" ht="16.5" customHeight="1">
      <c r="A139" s="99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</row>
    <row r="140" spans="1:26" ht="16.5" customHeight="1">
      <c r="A140" s="99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</row>
    <row r="141" spans="1:26" ht="16.5" customHeight="1">
      <c r="A141" s="99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</row>
    <row r="142" spans="1:26" ht="16.5" customHeight="1">
      <c r="A142" s="99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</row>
    <row r="143" spans="1:26" ht="16.5" customHeight="1">
      <c r="A143" s="99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</row>
    <row r="144" spans="1:26" ht="16.5" customHeight="1">
      <c r="A144" s="99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</row>
    <row r="145" spans="1:26" ht="16.5" customHeight="1">
      <c r="A145" s="99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</row>
    <row r="146" spans="1:26" ht="16.5" customHeight="1">
      <c r="A146" s="99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</row>
    <row r="147" spans="1:26" ht="16.5" customHeight="1">
      <c r="A147" s="99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</row>
    <row r="148" spans="1:26" ht="16.5" customHeight="1">
      <c r="A148" s="99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</row>
    <row r="149" spans="1:26" ht="16.5" customHeight="1">
      <c r="A149" s="99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</row>
    <row r="150" spans="1:26" ht="16.5" customHeight="1">
      <c r="A150" s="99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</row>
    <row r="151" spans="1:26" ht="16.5" customHeight="1">
      <c r="A151" s="99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</row>
    <row r="152" spans="1:26" ht="16.5" customHeight="1">
      <c r="A152" s="99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</row>
    <row r="153" spans="1:26" ht="16.5" customHeight="1">
      <c r="A153" s="99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</row>
    <row r="154" spans="1:26" ht="16.5" customHeight="1">
      <c r="A154" s="99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</row>
    <row r="155" spans="1:26" ht="16.5" customHeight="1">
      <c r="A155" s="99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</row>
    <row r="156" spans="1:26" ht="16.5" customHeight="1">
      <c r="A156" s="99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</row>
    <row r="157" spans="1:26" ht="16.5" customHeight="1">
      <c r="A157" s="99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</row>
    <row r="158" spans="1:26" ht="16.5" customHeight="1">
      <c r="A158" s="99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</row>
    <row r="159" spans="1:26" ht="16.5" customHeight="1">
      <c r="A159" s="99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</row>
    <row r="160" spans="1:26" ht="16.5" customHeight="1">
      <c r="A160" s="99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</row>
    <row r="161" spans="1:26" ht="16.5" customHeight="1">
      <c r="A161" s="99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</row>
    <row r="162" spans="1:26" ht="16.5" customHeight="1">
      <c r="A162" s="99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</row>
    <row r="163" spans="1:26" ht="16.5" customHeight="1">
      <c r="A163" s="99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</row>
    <row r="164" spans="1:26" ht="16.5" customHeight="1">
      <c r="A164" s="99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</row>
    <row r="165" spans="1:26" ht="16.5" customHeight="1">
      <c r="A165" s="99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</row>
    <row r="166" spans="1:26" ht="16.5" customHeight="1">
      <c r="A166" s="99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</row>
    <row r="167" spans="1:26" ht="16.5" customHeight="1">
      <c r="A167" s="99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</row>
    <row r="168" spans="1:26" ht="16.5" customHeight="1">
      <c r="A168" s="99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</row>
    <row r="169" spans="1:26" ht="16.5" customHeight="1">
      <c r="A169" s="99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</row>
    <row r="170" spans="1:26" ht="16.5" customHeight="1">
      <c r="A170" s="99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</row>
    <row r="171" spans="1:26" ht="16.5" customHeight="1">
      <c r="A171" s="99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</row>
    <row r="172" spans="1:26" ht="16.5" customHeight="1">
      <c r="A172" s="99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</row>
    <row r="173" spans="1:26" ht="16.5" customHeight="1">
      <c r="A173" s="99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</row>
    <row r="174" spans="1:26" ht="16.5" customHeight="1">
      <c r="A174" s="99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</row>
    <row r="175" spans="1:26" ht="16.5" customHeight="1">
      <c r="A175" s="99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</row>
    <row r="176" spans="1:26" ht="16.5" customHeight="1">
      <c r="A176" s="99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</row>
    <row r="177" spans="1:26" ht="16.5" customHeight="1">
      <c r="A177" s="99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</row>
    <row r="178" spans="1:26" ht="16.5" customHeight="1">
      <c r="A178" s="99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</row>
    <row r="179" spans="1:26" ht="16.5" customHeight="1">
      <c r="A179" s="99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</row>
    <row r="180" spans="1:26" ht="16.5" customHeight="1">
      <c r="A180" s="99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</row>
    <row r="181" spans="1:26" ht="16.5" customHeight="1">
      <c r="A181" s="99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</row>
    <row r="182" spans="1:26" ht="16.5" customHeight="1">
      <c r="A182" s="99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</row>
    <row r="183" spans="1:26" ht="16.5" customHeight="1">
      <c r="A183" s="99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</row>
    <row r="184" spans="1:26" ht="16.5" customHeight="1">
      <c r="A184" s="99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</row>
    <row r="185" spans="1:26" ht="16.5" customHeight="1">
      <c r="A185" s="99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</row>
    <row r="186" spans="1:26" ht="16.5" customHeight="1">
      <c r="A186" s="99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</row>
    <row r="187" spans="1:26" ht="16.5" customHeight="1">
      <c r="A187" s="99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</row>
    <row r="188" spans="1:26" ht="16.5" customHeight="1">
      <c r="A188" s="99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</row>
    <row r="189" spans="1:26" ht="16.5" customHeight="1">
      <c r="A189" s="99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</row>
    <row r="190" spans="1:26" ht="16.5" customHeight="1">
      <c r="A190" s="99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</row>
    <row r="191" spans="1:26" ht="16.5" customHeight="1">
      <c r="A191" s="99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</row>
    <row r="192" spans="1:26" ht="16.5" customHeight="1">
      <c r="A192" s="99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</row>
    <row r="193" spans="1:26" ht="16.5" customHeight="1">
      <c r="A193" s="99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</row>
    <row r="194" spans="1:26" ht="16.5" customHeight="1">
      <c r="A194" s="99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</row>
    <row r="195" spans="1:26" ht="16.5" customHeight="1">
      <c r="A195" s="99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</row>
    <row r="196" spans="1:26" ht="16.5" customHeight="1">
      <c r="A196" s="99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</row>
    <row r="197" spans="1:26" ht="16.5" customHeight="1">
      <c r="A197" s="99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</row>
    <row r="198" spans="1:26" ht="16.5" customHeight="1">
      <c r="A198" s="99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</row>
    <row r="199" spans="1:26" ht="16.5" customHeight="1">
      <c r="A199" s="99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</row>
    <row r="200" spans="1:26" ht="16.5" customHeight="1">
      <c r="A200" s="99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</row>
    <row r="201" spans="1:26" ht="16.5" customHeight="1">
      <c r="A201" s="99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</row>
    <row r="202" spans="1:26" ht="16.5" customHeight="1">
      <c r="A202" s="99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</row>
    <row r="203" spans="1:26" ht="16.5" customHeight="1">
      <c r="A203" s="99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</row>
    <row r="204" spans="1:26" ht="16.5" customHeight="1">
      <c r="A204" s="99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</row>
    <row r="205" spans="1:26" ht="16.5" customHeight="1">
      <c r="A205" s="99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</row>
    <row r="206" spans="1:26" ht="16.5" customHeight="1">
      <c r="A206" s="99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</row>
    <row r="207" spans="1:26" ht="16.5" customHeight="1">
      <c r="A207" s="99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</row>
    <row r="208" spans="1:26" ht="16.5" customHeight="1">
      <c r="A208" s="99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</row>
    <row r="209" spans="1:26" ht="16.5" customHeight="1">
      <c r="A209" s="99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</row>
    <row r="210" spans="1:26" ht="16.5" customHeight="1">
      <c r="A210" s="99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</row>
    <row r="211" spans="1:26" ht="16.5" customHeight="1">
      <c r="A211" s="99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</row>
    <row r="212" spans="1:26" ht="16.5" customHeight="1">
      <c r="A212" s="99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</row>
    <row r="213" spans="1:26" ht="16.5" customHeight="1">
      <c r="A213" s="99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</row>
    <row r="214" spans="1:26" ht="16.5" customHeight="1">
      <c r="A214" s="99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</row>
    <row r="215" spans="1:26" ht="16.5" customHeight="1">
      <c r="A215" s="99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</row>
    <row r="216" spans="1:26" ht="16.5" customHeight="1">
      <c r="A216" s="99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</row>
    <row r="217" spans="1:26" ht="16.5" customHeight="1">
      <c r="A217" s="99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</row>
    <row r="218" spans="1:26" ht="16.5" customHeight="1">
      <c r="A218" s="99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</row>
    <row r="219" spans="1:26" ht="16.5" customHeight="1">
      <c r="A219" s="99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</row>
    <row r="220" spans="1:26" ht="16.5" customHeight="1">
      <c r="A220" s="99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</row>
    <row r="221" spans="1:26" ht="16.5" customHeight="1">
      <c r="A221" s="99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</row>
    <row r="222" spans="1:26" ht="16.5" customHeight="1">
      <c r="A222" s="99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</row>
    <row r="223" spans="1:26" ht="16.5" customHeight="1">
      <c r="A223" s="99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</row>
    <row r="224" spans="1:26" ht="16.5" customHeight="1">
      <c r="A224" s="99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</row>
    <row r="225" spans="1:26" ht="16.5" customHeight="1">
      <c r="A225" s="99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</row>
    <row r="226" spans="1:26" ht="16.5" customHeight="1">
      <c r="A226" s="99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</row>
    <row r="227" spans="1:26" ht="16.5" customHeight="1">
      <c r="A227" s="99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</row>
    <row r="228" spans="1:26" ht="16.5" customHeight="1">
      <c r="A228" s="99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</row>
    <row r="229" spans="1:26" ht="16.5" customHeight="1">
      <c r="A229" s="99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</row>
    <row r="230" spans="1:26" ht="16.5" customHeight="1">
      <c r="A230" s="99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</row>
    <row r="231" spans="1:26" ht="16.5" customHeight="1">
      <c r="A231" s="99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</row>
    <row r="232" spans="1:26" ht="16.5" customHeight="1">
      <c r="A232" s="99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</row>
    <row r="233" spans="1:26" ht="16.5" customHeight="1">
      <c r="A233" s="99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</row>
    <row r="234" spans="1:26" ht="16.5" customHeight="1">
      <c r="A234" s="99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</row>
    <row r="235" spans="1:26" ht="16.5" customHeight="1">
      <c r="A235" s="99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</row>
    <row r="236" spans="1:26" ht="16.5" customHeight="1">
      <c r="A236" s="99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</row>
    <row r="237" spans="1:26" ht="16.5" customHeight="1">
      <c r="A237" s="99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</row>
    <row r="238" spans="1:26" ht="16.5" customHeight="1">
      <c r="A238" s="99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</row>
    <row r="239" spans="1:26" ht="16.5" customHeight="1">
      <c r="A239" s="99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</row>
    <row r="240" spans="1:26" ht="16.5" customHeight="1">
      <c r="A240" s="99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</row>
    <row r="241" spans="1:26" ht="16.5" customHeight="1">
      <c r="A241" s="99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</row>
    <row r="242" spans="1:26" ht="16.5" customHeight="1">
      <c r="A242" s="99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</row>
    <row r="243" spans="1:26" ht="16.5" customHeight="1">
      <c r="A243" s="99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</row>
    <row r="244" spans="1:26" ht="16.5" customHeight="1">
      <c r="A244" s="99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</row>
    <row r="245" spans="1:26" ht="16.5" customHeight="1">
      <c r="A245" s="99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</row>
    <row r="246" spans="1:26" ht="16.5" customHeight="1">
      <c r="A246" s="99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</row>
    <row r="247" spans="1:26" ht="16.5" customHeight="1">
      <c r="A247" s="99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</row>
    <row r="248" spans="1:26" ht="16.5" customHeight="1">
      <c r="A248" s="99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</row>
    <row r="249" spans="1:26" ht="16.5" customHeight="1">
      <c r="A249" s="99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</row>
    <row r="250" spans="1:26" ht="16.5" customHeight="1">
      <c r="A250" s="99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</row>
    <row r="251" spans="1:26" ht="16.5" customHeight="1">
      <c r="A251" s="99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</row>
    <row r="252" spans="1:26" ht="16.5" customHeight="1">
      <c r="A252" s="99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</row>
    <row r="253" spans="1:26" ht="16.5" customHeight="1">
      <c r="A253" s="99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</row>
    <row r="254" spans="1:26" ht="16.5" customHeight="1">
      <c r="A254" s="99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</row>
    <row r="255" spans="1:26" ht="16.5" customHeight="1">
      <c r="A255" s="99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</row>
    <row r="256" spans="1:26" ht="16.5" customHeight="1">
      <c r="A256" s="99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</row>
    <row r="257" spans="1:26" ht="16.5" customHeight="1">
      <c r="A257" s="99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</row>
    <row r="258" spans="1:26" ht="16.5" customHeight="1">
      <c r="A258" s="99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</row>
    <row r="259" spans="1:26" ht="16.5" customHeight="1">
      <c r="A259" s="99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</row>
    <row r="260" spans="1:26" ht="16.5" customHeight="1">
      <c r="A260" s="99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</row>
    <row r="261" spans="1:26" ht="16.5" customHeight="1">
      <c r="A261" s="99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</row>
    <row r="262" spans="1:26" ht="16.5" customHeight="1">
      <c r="A262" s="99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</row>
    <row r="263" spans="1:26" ht="16.5" customHeight="1">
      <c r="A263" s="99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</row>
    <row r="264" spans="1:26" ht="16.5" customHeight="1">
      <c r="A264" s="99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</row>
    <row r="265" spans="1:26" ht="16.5" customHeight="1">
      <c r="A265" s="99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</row>
    <row r="266" spans="1:26" ht="16.5" customHeight="1">
      <c r="A266" s="99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</row>
    <row r="267" spans="1:26" ht="16.5" customHeight="1">
      <c r="A267" s="99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</row>
    <row r="268" spans="1:26" ht="16.5" customHeight="1">
      <c r="A268" s="99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</row>
    <row r="269" spans="1:26" ht="16.5" customHeight="1">
      <c r="A269" s="99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</row>
    <row r="270" spans="1:26" ht="16.5" customHeight="1">
      <c r="A270" s="99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</row>
    <row r="271" spans="1:26" ht="16.5" customHeight="1">
      <c r="A271" s="99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</row>
    <row r="272" spans="1:26" ht="16.5" customHeight="1">
      <c r="A272" s="99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</row>
    <row r="273" spans="1:26" ht="16.5" customHeight="1">
      <c r="A273" s="99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</row>
    <row r="274" spans="1:26" ht="16.5" customHeight="1">
      <c r="A274" s="99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</row>
    <row r="275" spans="1:26" ht="16.5" customHeight="1">
      <c r="A275" s="99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</row>
    <row r="276" spans="1:26" ht="16.5" customHeight="1">
      <c r="A276" s="99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</row>
    <row r="277" spans="1:26" ht="16.5" customHeight="1">
      <c r="A277" s="99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</row>
    <row r="278" spans="1:26" ht="16.5" customHeight="1">
      <c r="A278" s="99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</row>
    <row r="279" spans="1:26" ht="16.5" customHeight="1">
      <c r="A279" s="99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</row>
    <row r="280" spans="1:26" ht="16.5" customHeight="1">
      <c r="A280" s="99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</row>
    <row r="281" spans="1:26" ht="16.5" customHeight="1">
      <c r="A281" s="99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</row>
    <row r="282" spans="1:26" ht="16.5" customHeight="1">
      <c r="A282" s="99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</row>
    <row r="283" spans="1:26" ht="16.5" customHeight="1">
      <c r="A283" s="99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</row>
    <row r="284" spans="1:26" ht="16.5" customHeight="1">
      <c r="A284" s="99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</row>
    <row r="285" spans="1:26" ht="16.5" customHeight="1">
      <c r="A285" s="99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</row>
    <row r="286" spans="1:26" ht="16.5" customHeight="1">
      <c r="A286" s="99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</row>
    <row r="287" spans="1:26" ht="16.5" customHeight="1">
      <c r="A287" s="99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</row>
    <row r="288" spans="1:26" ht="16.5" customHeight="1">
      <c r="A288" s="99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</row>
    <row r="289" spans="1:26" ht="16.5" customHeight="1">
      <c r="A289" s="99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</row>
    <row r="290" spans="1:26" ht="16.5" customHeight="1">
      <c r="A290" s="99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</row>
    <row r="291" spans="1:26" ht="16.5" customHeight="1">
      <c r="A291" s="99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</row>
    <row r="292" spans="1:26" ht="16.5" customHeight="1">
      <c r="A292" s="99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</row>
    <row r="293" spans="1:26" ht="16.5" customHeight="1">
      <c r="A293" s="99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</row>
    <row r="294" spans="1:26" ht="16.5" customHeight="1">
      <c r="A294" s="99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</row>
    <row r="295" spans="1:26" ht="16.5" customHeight="1">
      <c r="A295" s="99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</row>
    <row r="296" spans="1:26" ht="16.5" customHeight="1">
      <c r="A296" s="99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</row>
    <row r="297" spans="1:26" ht="16.5" customHeight="1">
      <c r="A297" s="99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</row>
    <row r="298" spans="1:26" ht="16.5" customHeight="1">
      <c r="A298" s="99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</row>
    <row r="299" spans="1:26" ht="16.5" customHeight="1">
      <c r="A299" s="99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</row>
    <row r="300" spans="1:26" ht="16.5" customHeight="1">
      <c r="A300" s="99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</row>
    <row r="301" spans="1:26" ht="16.5" customHeight="1">
      <c r="A301" s="99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</row>
    <row r="302" spans="1:26" ht="16.5" customHeight="1">
      <c r="A302" s="99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</row>
    <row r="303" spans="1:26" ht="16.5" customHeight="1">
      <c r="A303" s="99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</row>
    <row r="304" spans="1:26" ht="16.5" customHeight="1">
      <c r="A304" s="99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</row>
    <row r="305" spans="1:26" ht="16.5" customHeight="1">
      <c r="A305" s="99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</row>
    <row r="306" spans="1:26" ht="16.5" customHeight="1">
      <c r="A306" s="99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</row>
    <row r="307" spans="1:26" ht="16.5" customHeight="1">
      <c r="A307" s="99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</row>
    <row r="308" spans="1:26" ht="16.5" customHeight="1">
      <c r="A308" s="99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</row>
    <row r="309" spans="1:26" ht="16.5" customHeight="1">
      <c r="A309" s="99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</row>
    <row r="310" spans="1:26" ht="16.5" customHeight="1">
      <c r="A310" s="99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</row>
    <row r="311" spans="1:26" ht="16.5" customHeight="1">
      <c r="A311" s="99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</row>
    <row r="312" spans="1:26" ht="16.5" customHeight="1">
      <c r="A312" s="99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</row>
    <row r="313" spans="1:26" ht="16.5" customHeight="1">
      <c r="A313" s="99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</row>
    <row r="314" spans="1:26" ht="16.5" customHeight="1">
      <c r="A314" s="99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</row>
    <row r="315" spans="1:26" ht="16.5" customHeight="1">
      <c r="A315" s="99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</row>
    <row r="316" spans="1:26" ht="16.5" customHeight="1">
      <c r="A316" s="99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</row>
    <row r="317" spans="1:26" ht="16.5" customHeight="1">
      <c r="A317" s="99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</row>
    <row r="318" spans="1:26" ht="16.5" customHeight="1">
      <c r="A318" s="99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</row>
    <row r="319" spans="1:26" ht="16.5" customHeight="1">
      <c r="A319" s="99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</row>
    <row r="320" spans="1:26" ht="16.5" customHeight="1">
      <c r="A320" s="99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</row>
    <row r="321" spans="1:26" ht="16.5" customHeight="1">
      <c r="A321" s="99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</row>
    <row r="322" spans="1:26" ht="16.5" customHeight="1">
      <c r="A322" s="99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</row>
    <row r="323" spans="1:26" ht="16.5" customHeight="1">
      <c r="A323" s="99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</row>
    <row r="324" spans="1:26" ht="16.5" customHeight="1">
      <c r="A324" s="99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</row>
    <row r="325" spans="1:26" ht="16.5" customHeight="1">
      <c r="A325" s="99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</row>
    <row r="326" spans="1:26" ht="16.5" customHeight="1">
      <c r="A326" s="99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</row>
    <row r="327" spans="1:26" ht="16.5" customHeight="1">
      <c r="A327" s="99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</row>
    <row r="328" spans="1:26" ht="16.5" customHeight="1">
      <c r="A328" s="99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</row>
    <row r="329" spans="1:26" ht="16.5" customHeight="1">
      <c r="A329" s="99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</row>
    <row r="330" spans="1:26" ht="16.5" customHeight="1">
      <c r="A330" s="99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</row>
    <row r="331" spans="1:26" ht="16.5" customHeight="1">
      <c r="A331" s="99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</row>
    <row r="332" spans="1:26" ht="16.5" customHeight="1">
      <c r="A332" s="99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</row>
    <row r="333" spans="1:26" ht="16.5" customHeight="1">
      <c r="A333" s="99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</row>
    <row r="334" spans="1:26" ht="16.5" customHeight="1">
      <c r="A334" s="99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</row>
    <row r="335" spans="1:26" ht="16.5" customHeight="1">
      <c r="A335" s="99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</row>
    <row r="336" spans="1:26" ht="16.5" customHeight="1">
      <c r="A336" s="99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</row>
    <row r="337" spans="1:26" ht="16.5" customHeight="1">
      <c r="A337" s="99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</row>
    <row r="338" spans="1:26" ht="16.5" customHeight="1">
      <c r="A338" s="99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</row>
    <row r="339" spans="1:26" ht="16.5" customHeight="1">
      <c r="A339" s="99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</row>
    <row r="340" spans="1:26" ht="16.5" customHeight="1">
      <c r="A340" s="99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</row>
    <row r="341" spans="1:26" ht="16.5" customHeight="1">
      <c r="A341" s="99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</row>
    <row r="342" spans="1:26" ht="16.5" customHeight="1">
      <c r="A342" s="99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</row>
    <row r="343" spans="1:26" ht="16.5" customHeight="1">
      <c r="A343" s="99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</row>
    <row r="344" spans="1:26" ht="16.5" customHeight="1">
      <c r="A344" s="99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</row>
    <row r="345" spans="1:26" ht="16.5" customHeight="1">
      <c r="A345" s="99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</row>
    <row r="346" spans="1:26" ht="16.5" customHeight="1">
      <c r="A346" s="99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</row>
    <row r="347" spans="1:26" ht="16.5" customHeight="1">
      <c r="A347" s="99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</row>
    <row r="348" spans="1:26" ht="16.5" customHeight="1">
      <c r="A348" s="99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</row>
    <row r="349" spans="1:26" ht="16.5" customHeight="1">
      <c r="A349" s="99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</row>
    <row r="350" spans="1:26" ht="16.5" customHeight="1">
      <c r="A350" s="99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</row>
    <row r="351" spans="1:26" ht="16.5" customHeight="1">
      <c r="A351" s="99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</row>
    <row r="352" spans="1:26" ht="16.5" customHeight="1">
      <c r="A352" s="99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</row>
    <row r="353" spans="1:26" ht="16.5" customHeight="1">
      <c r="A353" s="99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</row>
    <row r="354" spans="1:26" ht="16.5" customHeight="1">
      <c r="A354" s="99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</row>
    <row r="355" spans="1:26" ht="16.5" customHeight="1">
      <c r="A355" s="99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</row>
    <row r="356" spans="1:26" ht="16.5" customHeight="1">
      <c r="A356" s="99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</row>
    <row r="357" spans="1:26" ht="16.5" customHeight="1">
      <c r="A357" s="99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</row>
    <row r="358" spans="1:26" ht="16.5" customHeight="1">
      <c r="A358" s="99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</row>
    <row r="359" spans="1:26" ht="16.5" customHeight="1">
      <c r="A359" s="99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</row>
    <row r="360" spans="1:26" ht="16.5" customHeight="1">
      <c r="A360" s="99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</row>
    <row r="361" spans="1:26" ht="16.5" customHeight="1">
      <c r="A361" s="99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</row>
    <row r="362" spans="1:26" ht="16.5" customHeight="1">
      <c r="A362" s="99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</row>
    <row r="363" spans="1:26" ht="16.5" customHeight="1">
      <c r="A363" s="99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</row>
    <row r="364" spans="1:26" ht="16.5" customHeight="1">
      <c r="A364" s="99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</row>
    <row r="365" spans="1:26" ht="16.5" customHeight="1">
      <c r="A365" s="99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</row>
    <row r="366" spans="1:26" ht="16.5" customHeight="1">
      <c r="A366" s="99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</row>
    <row r="367" spans="1:26" ht="16.5" customHeight="1">
      <c r="A367" s="99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</row>
    <row r="368" spans="1:26" ht="16.5" customHeight="1">
      <c r="A368" s="99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</row>
    <row r="369" spans="1:26" ht="16.5" customHeight="1">
      <c r="A369" s="99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</row>
    <row r="370" spans="1:26" ht="16.5" customHeight="1">
      <c r="A370" s="99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</row>
    <row r="371" spans="1:26" ht="16.5" customHeight="1">
      <c r="A371" s="99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</row>
    <row r="372" spans="1:26" ht="16.5" customHeight="1">
      <c r="A372" s="99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</row>
    <row r="373" spans="1:26" ht="16.5" customHeight="1">
      <c r="A373" s="99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</row>
    <row r="374" spans="1:26" ht="16.5" customHeight="1">
      <c r="A374" s="99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</row>
    <row r="375" spans="1:26" ht="16.5" customHeight="1">
      <c r="A375" s="99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</row>
    <row r="376" spans="1:26" ht="16.5" customHeight="1">
      <c r="A376" s="99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</row>
    <row r="377" spans="1:26" ht="16.5" customHeight="1">
      <c r="A377" s="99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</row>
    <row r="378" spans="1:26" ht="16.5" customHeight="1">
      <c r="A378" s="99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</row>
    <row r="379" spans="1:26" ht="16.5" customHeight="1">
      <c r="A379" s="99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</row>
    <row r="380" spans="1:26" ht="16.5" customHeight="1">
      <c r="A380" s="99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</row>
    <row r="381" spans="1:26" ht="16.5" customHeight="1">
      <c r="A381" s="99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</row>
    <row r="382" spans="1:26" ht="16.5" customHeight="1">
      <c r="A382" s="99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</row>
    <row r="383" spans="1:26" ht="16.5" customHeight="1">
      <c r="A383" s="99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</row>
    <row r="384" spans="1:26" ht="16.5" customHeight="1">
      <c r="A384" s="99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</row>
    <row r="385" spans="1:26" ht="16.5" customHeight="1">
      <c r="A385" s="99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</row>
    <row r="386" spans="1:26" ht="16.5" customHeight="1">
      <c r="A386" s="99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</row>
    <row r="387" spans="1:26" ht="16.5" customHeight="1">
      <c r="A387" s="99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</row>
    <row r="388" spans="1:26" ht="16.5" customHeight="1">
      <c r="A388" s="99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</row>
    <row r="389" spans="1:26" ht="16.5" customHeight="1">
      <c r="A389" s="99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</row>
    <row r="390" spans="1:26" ht="16.5" customHeight="1">
      <c r="A390" s="99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</row>
    <row r="391" spans="1:26" ht="16.5" customHeight="1">
      <c r="A391" s="99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</row>
    <row r="392" spans="1:26" ht="16.5" customHeight="1">
      <c r="A392" s="99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</row>
    <row r="393" spans="1:26" ht="16.5" customHeight="1">
      <c r="A393" s="99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</row>
    <row r="394" spans="1:26" ht="16.5" customHeight="1">
      <c r="A394" s="99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</row>
    <row r="395" spans="1:26" ht="16.5" customHeight="1">
      <c r="A395" s="99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</row>
    <row r="396" spans="1:26" ht="16.5" customHeight="1">
      <c r="A396" s="99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</row>
    <row r="397" spans="1:26" ht="16.5" customHeight="1">
      <c r="A397" s="99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</row>
    <row r="398" spans="1:26" ht="16.5" customHeight="1">
      <c r="A398" s="99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</row>
    <row r="399" spans="1:26" ht="16.5" customHeight="1">
      <c r="A399" s="99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</row>
    <row r="400" spans="1:26" ht="16.5" customHeight="1">
      <c r="A400" s="99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</row>
    <row r="401" spans="1:26" ht="16.5" customHeight="1">
      <c r="A401" s="99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</row>
    <row r="402" spans="1:26" ht="16.5" customHeight="1">
      <c r="A402" s="99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</row>
    <row r="403" spans="1:26" ht="16.5" customHeight="1">
      <c r="A403" s="99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</row>
    <row r="404" spans="1:26" ht="16.5" customHeight="1">
      <c r="A404" s="99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</row>
    <row r="405" spans="1:26" ht="16.5" customHeight="1">
      <c r="A405" s="99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</row>
    <row r="406" spans="1:26" ht="16.5" customHeight="1">
      <c r="A406" s="99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</row>
    <row r="407" spans="1:26" ht="16.5" customHeight="1">
      <c r="A407" s="99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</row>
    <row r="408" spans="1:26" ht="16.5" customHeight="1">
      <c r="A408" s="99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</row>
    <row r="409" spans="1:26" ht="16.5" customHeight="1">
      <c r="A409" s="99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</row>
    <row r="410" spans="1:26" ht="16.5" customHeight="1">
      <c r="A410" s="99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</row>
    <row r="411" spans="1:26" ht="16.5" customHeight="1">
      <c r="A411" s="99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</row>
    <row r="412" spans="1:26" ht="16.5" customHeight="1">
      <c r="A412" s="99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</row>
    <row r="413" spans="1:26" ht="16.5" customHeight="1">
      <c r="A413" s="99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</row>
    <row r="414" spans="1:26" ht="16.5" customHeight="1">
      <c r="A414" s="99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</row>
    <row r="415" spans="1:26" ht="16.5" customHeight="1">
      <c r="A415" s="99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</row>
    <row r="416" spans="1:26" ht="16.5" customHeight="1">
      <c r="A416" s="99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</row>
    <row r="417" spans="1:26" ht="16.5" customHeight="1">
      <c r="A417" s="99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</row>
    <row r="418" spans="1:26" ht="16.5" customHeight="1">
      <c r="A418" s="99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</row>
    <row r="419" spans="1:26" ht="16.5" customHeight="1">
      <c r="A419" s="99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</row>
    <row r="420" spans="1:26" ht="16.5" customHeight="1">
      <c r="A420" s="99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</row>
    <row r="421" spans="1:26" ht="16.5" customHeight="1">
      <c r="A421" s="99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</row>
    <row r="422" spans="1:26" ht="16.5" customHeight="1">
      <c r="A422" s="99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</row>
    <row r="423" spans="1:26" ht="16.5" customHeight="1">
      <c r="A423" s="99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</row>
    <row r="424" spans="1:26" ht="16.5" customHeight="1">
      <c r="A424" s="99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</row>
    <row r="425" spans="1:26" ht="16.5" customHeight="1">
      <c r="A425" s="99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</row>
    <row r="426" spans="1:26" ht="16.5" customHeight="1">
      <c r="A426" s="99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</row>
    <row r="427" spans="1:26" ht="16.5" customHeight="1">
      <c r="A427" s="99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</row>
    <row r="428" spans="1:26" ht="16.5" customHeight="1">
      <c r="A428" s="99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</row>
    <row r="429" spans="1:26" ht="16.5" customHeight="1">
      <c r="A429" s="99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</row>
    <row r="430" spans="1:26" ht="16.5" customHeight="1">
      <c r="A430" s="99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</row>
    <row r="431" spans="1:26" ht="16.5" customHeight="1">
      <c r="A431" s="99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</row>
    <row r="432" spans="1:26" ht="16.5" customHeight="1">
      <c r="A432" s="99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</row>
    <row r="433" spans="1:26" ht="16.5" customHeight="1">
      <c r="A433" s="99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</row>
    <row r="434" spans="1:26" ht="16.5" customHeight="1">
      <c r="A434" s="99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</row>
    <row r="435" spans="1:26" ht="16.5" customHeight="1">
      <c r="A435" s="99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</row>
    <row r="436" spans="1:26" ht="16.5" customHeight="1">
      <c r="A436" s="99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</row>
    <row r="437" spans="1:26" ht="16.5" customHeight="1">
      <c r="A437" s="99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</row>
    <row r="438" spans="1:26" ht="16.5" customHeight="1">
      <c r="A438" s="99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</row>
    <row r="439" spans="1:26" ht="16.5" customHeight="1">
      <c r="A439" s="99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</row>
    <row r="440" spans="1:26" ht="16.5" customHeight="1">
      <c r="A440" s="99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</row>
    <row r="441" spans="1:26" ht="16.5" customHeight="1">
      <c r="A441" s="99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</row>
    <row r="442" spans="1:26" ht="16.5" customHeight="1">
      <c r="A442" s="99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</row>
    <row r="443" spans="1:26" ht="16.5" customHeight="1">
      <c r="A443" s="99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</row>
    <row r="444" spans="1:26" ht="16.5" customHeight="1">
      <c r="A444" s="99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</row>
    <row r="445" spans="1:26" ht="16.5" customHeight="1">
      <c r="A445" s="99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</row>
    <row r="446" spans="1:26" ht="16.5" customHeight="1">
      <c r="A446" s="99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</row>
    <row r="447" spans="1:26" ht="16.5" customHeight="1">
      <c r="A447" s="99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</row>
    <row r="448" spans="1:26" ht="16.5" customHeight="1">
      <c r="A448" s="99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</row>
    <row r="449" spans="1:26" ht="16.5" customHeight="1">
      <c r="A449" s="99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</row>
    <row r="450" spans="1:26" ht="16.5" customHeight="1">
      <c r="A450" s="99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</row>
    <row r="451" spans="1:26" ht="16.5" customHeight="1">
      <c r="A451" s="99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</row>
    <row r="452" spans="1:26" ht="16.5" customHeight="1">
      <c r="A452" s="99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</row>
    <row r="453" spans="1:26" ht="16.5" customHeight="1">
      <c r="A453" s="99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</row>
    <row r="454" spans="1:26" ht="16.5" customHeight="1">
      <c r="A454" s="99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</row>
    <row r="455" spans="1:26" ht="16.5" customHeight="1">
      <c r="A455" s="99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</row>
    <row r="456" spans="1:26" ht="16.5" customHeight="1">
      <c r="A456" s="99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</row>
    <row r="457" spans="1:26" ht="16.5" customHeight="1">
      <c r="A457" s="99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</row>
    <row r="458" spans="1:26" ht="16.5" customHeight="1">
      <c r="A458" s="99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</row>
    <row r="459" spans="1:26" ht="16.5" customHeight="1">
      <c r="A459" s="99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</row>
    <row r="460" spans="1:26" ht="16.5" customHeight="1">
      <c r="A460" s="99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</row>
    <row r="461" spans="1:26" ht="16.5" customHeight="1">
      <c r="A461" s="99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</row>
    <row r="462" spans="1:26" ht="16.5" customHeight="1">
      <c r="A462" s="99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</row>
    <row r="463" spans="1:26" ht="16.5" customHeight="1">
      <c r="A463" s="99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</row>
    <row r="464" spans="1:26" ht="16.5" customHeight="1">
      <c r="A464" s="99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</row>
    <row r="465" spans="1:26" ht="16.5" customHeight="1">
      <c r="A465" s="99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</row>
    <row r="466" spans="1:26" ht="16.5" customHeight="1">
      <c r="A466" s="99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</row>
    <row r="467" spans="1:26" ht="16.5" customHeight="1">
      <c r="A467" s="99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</row>
    <row r="468" spans="1:26" ht="16.5" customHeight="1">
      <c r="A468" s="99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</row>
    <row r="469" spans="1:26" ht="16.5" customHeight="1">
      <c r="A469" s="99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</row>
    <row r="470" spans="1:26" ht="16.5" customHeight="1">
      <c r="A470" s="99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</row>
    <row r="471" spans="1:26" ht="16.5" customHeight="1">
      <c r="A471" s="99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</row>
    <row r="472" spans="1:26" ht="16.5" customHeight="1">
      <c r="A472" s="99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</row>
    <row r="473" spans="1:26" ht="16.5" customHeight="1">
      <c r="A473" s="99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</row>
    <row r="474" spans="1:26" ht="16.5" customHeight="1">
      <c r="A474" s="99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</row>
    <row r="475" spans="1:26" ht="16.5" customHeight="1">
      <c r="A475" s="99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</row>
    <row r="476" spans="1:26" ht="16.5" customHeight="1">
      <c r="A476" s="99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</row>
    <row r="477" spans="1:26" ht="16.5" customHeight="1">
      <c r="A477" s="99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</row>
    <row r="478" spans="1:26" ht="16.5" customHeight="1">
      <c r="A478" s="99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</row>
    <row r="479" spans="1:26" ht="16.5" customHeight="1">
      <c r="A479" s="99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</row>
    <row r="480" spans="1:26" ht="16.5" customHeight="1">
      <c r="A480" s="99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</row>
    <row r="481" spans="1:26" ht="16.5" customHeight="1">
      <c r="A481" s="99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</row>
    <row r="482" spans="1:26" ht="16.5" customHeight="1">
      <c r="A482" s="99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</row>
    <row r="483" spans="1:26" ht="16.5" customHeight="1">
      <c r="A483" s="99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</row>
    <row r="484" spans="1:26" ht="16.5" customHeight="1">
      <c r="A484" s="99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</row>
    <row r="485" spans="1:26" ht="16.5" customHeight="1">
      <c r="A485" s="99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</row>
    <row r="486" spans="1:26" ht="16.5" customHeight="1">
      <c r="A486" s="99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</row>
    <row r="487" spans="1:26" ht="16.5" customHeight="1">
      <c r="A487" s="99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</row>
    <row r="488" spans="1:26" ht="16.5" customHeight="1">
      <c r="A488" s="99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</row>
    <row r="489" spans="1:26" ht="16.5" customHeight="1">
      <c r="A489" s="99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</row>
    <row r="490" spans="1:26" ht="16.5" customHeight="1">
      <c r="A490" s="99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</row>
    <row r="491" spans="1:26" ht="16.5" customHeight="1">
      <c r="A491" s="99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</row>
    <row r="492" spans="1:26" ht="16.5" customHeight="1">
      <c r="A492" s="99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</row>
    <row r="493" spans="1:26" ht="16.5" customHeight="1">
      <c r="A493" s="99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</row>
    <row r="494" spans="1:26" ht="16.5" customHeight="1">
      <c r="A494" s="99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</row>
    <row r="495" spans="1:26" ht="16.5" customHeight="1">
      <c r="A495" s="99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</row>
    <row r="496" spans="1:26" ht="16.5" customHeight="1">
      <c r="A496" s="99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</row>
    <row r="497" spans="1:26" ht="16.5" customHeight="1">
      <c r="A497" s="99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</row>
    <row r="498" spans="1:26" ht="16.5" customHeight="1">
      <c r="A498" s="99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</row>
    <row r="499" spans="1:26" ht="16.5" customHeight="1">
      <c r="A499" s="99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</row>
    <row r="500" spans="1:26" ht="16.5" customHeight="1">
      <c r="A500" s="99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</row>
    <row r="501" spans="1:26" ht="16.5" customHeight="1">
      <c r="A501" s="99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</row>
    <row r="502" spans="1:26" ht="16.5" customHeight="1">
      <c r="A502" s="99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</row>
    <row r="503" spans="1:26" ht="16.5" customHeight="1">
      <c r="A503" s="99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</row>
    <row r="504" spans="1:26" ht="16.5" customHeight="1">
      <c r="A504" s="99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</row>
    <row r="505" spans="1:26" ht="16.5" customHeight="1">
      <c r="A505" s="99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</row>
    <row r="506" spans="1:26" ht="16.5" customHeight="1">
      <c r="A506" s="99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</row>
    <row r="507" spans="1:26" ht="16.5" customHeight="1">
      <c r="A507" s="99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</row>
    <row r="508" spans="1:26" ht="16.5" customHeight="1">
      <c r="A508" s="99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</row>
    <row r="509" spans="1:26" ht="16.5" customHeight="1">
      <c r="A509" s="99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</row>
    <row r="510" spans="1:26" ht="16.5" customHeight="1">
      <c r="A510" s="99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</row>
    <row r="511" spans="1:26" ht="16.5" customHeight="1">
      <c r="A511" s="99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</row>
    <row r="512" spans="1:26" ht="16.5" customHeight="1">
      <c r="A512" s="99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</row>
    <row r="513" spans="1:26" ht="16.5" customHeight="1">
      <c r="A513" s="99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</row>
    <row r="514" spans="1:26" ht="16.5" customHeight="1">
      <c r="A514" s="99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</row>
    <row r="515" spans="1:26" ht="16.5" customHeight="1">
      <c r="A515" s="99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</row>
    <row r="516" spans="1:26" ht="16.5" customHeight="1">
      <c r="A516" s="99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</row>
    <row r="517" spans="1:26" ht="16.5" customHeight="1">
      <c r="A517" s="99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</row>
    <row r="518" spans="1:26" ht="16.5" customHeight="1">
      <c r="A518" s="99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</row>
    <row r="519" spans="1:26" ht="16.5" customHeight="1">
      <c r="A519" s="99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</row>
    <row r="520" spans="1:26" ht="16.5" customHeight="1">
      <c r="A520" s="99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</row>
    <row r="521" spans="1:26" ht="16.5" customHeight="1">
      <c r="A521" s="99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</row>
    <row r="522" spans="1:26" ht="16.5" customHeight="1">
      <c r="A522" s="99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</row>
    <row r="523" spans="1:26" ht="16.5" customHeight="1">
      <c r="A523" s="99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</row>
    <row r="524" spans="1:26" ht="16.5" customHeight="1">
      <c r="A524" s="99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</row>
    <row r="525" spans="1:26" ht="16.5" customHeight="1">
      <c r="A525" s="99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</row>
    <row r="526" spans="1:26" ht="16.5" customHeight="1">
      <c r="A526" s="99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</row>
    <row r="527" spans="1:26" ht="16.5" customHeight="1">
      <c r="A527" s="99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</row>
    <row r="528" spans="1:26" ht="16.5" customHeight="1">
      <c r="A528" s="99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</row>
    <row r="529" spans="1:26" ht="16.5" customHeight="1">
      <c r="A529" s="99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</row>
    <row r="530" spans="1:26" ht="16.5" customHeight="1">
      <c r="A530" s="99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</row>
    <row r="531" spans="1:26" ht="16.5" customHeight="1">
      <c r="A531" s="99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</row>
    <row r="532" spans="1:26" ht="16.5" customHeight="1">
      <c r="A532" s="99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</row>
    <row r="533" spans="1:26" ht="16.5" customHeight="1">
      <c r="A533" s="99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</row>
    <row r="534" spans="1:26" ht="16.5" customHeight="1">
      <c r="A534" s="99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</row>
    <row r="535" spans="1:26" ht="16.5" customHeight="1">
      <c r="A535" s="99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</row>
    <row r="536" spans="1:26" ht="16.5" customHeight="1">
      <c r="A536" s="99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</row>
    <row r="537" spans="1:26" ht="16.5" customHeight="1">
      <c r="A537" s="99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</row>
    <row r="538" spans="1:26" ht="16.5" customHeight="1">
      <c r="A538" s="99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</row>
    <row r="539" spans="1:26" ht="16.5" customHeight="1">
      <c r="A539" s="99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</row>
    <row r="540" spans="1:26" ht="16.5" customHeight="1">
      <c r="A540" s="99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</row>
    <row r="541" spans="1:26" ht="16.5" customHeight="1">
      <c r="A541" s="99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</row>
    <row r="542" spans="1:26" ht="16.5" customHeight="1">
      <c r="A542" s="99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</row>
    <row r="543" spans="1:26" ht="16.5" customHeight="1">
      <c r="A543" s="99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</row>
    <row r="544" spans="1:26" ht="16.5" customHeight="1">
      <c r="A544" s="99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</row>
    <row r="545" spans="1:26" ht="16.5" customHeight="1">
      <c r="A545" s="99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</row>
    <row r="546" spans="1:26" ht="16.5" customHeight="1">
      <c r="A546" s="99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</row>
    <row r="547" spans="1:26" ht="16.5" customHeight="1">
      <c r="A547" s="99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</row>
    <row r="548" spans="1:26" ht="16.5" customHeight="1">
      <c r="A548" s="99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</row>
    <row r="549" spans="1:26" ht="16.5" customHeight="1">
      <c r="A549" s="99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</row>
    <row r="550" spans="1:26" ht="16.5" customHeight="1">
      <c r="A550" s="99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</row>
    <row r="551" spans="1:26" ht="16.5" customHeight="1">
      <c r="A551" s="99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</row>
    <row r="552" spans="1:26" ht="16.5" customHeight="1">
      <c r="A552" s="99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</row>
    <row r="553" spans="1:26" ht="16.5" customHeight="1">
      <c r="A553" s="99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</row>
    <row r="554" spans="1:26" ht="16.5" customHeight="1">
      <c r="A554" s="99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</row>
    <row r="555" spans="1:26" ht="16.5" customHeight="1">
      <c r="A555" s="99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</row>
    <row r="556" spans="1:26" ht="16.5" customHeight="1">
      <c r="A556" s="99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</row>
    <row r="557" spans="1:26" ht="16.5" customHeight="1">
      <c r="A557" s="99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</row>
    <row r="558" spans="1:26" ht="16.5" customHeight="1">
      <c r="A558" s="99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</row>
    <row r="559" spans="1:26" ht="16.5" customHeight="1">
      <c r="A559" s="99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</row>
    <row r="560" spans="1:26" ht="16.5" customHeight="1">
      <c r="A560" s="99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</row>
    <row r="561" spans="1:26" ht="16.5" customHeight="1">
      <c r="A561" s="99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</row>
    <row r="562" spans="1:26" ht="16.5" customHeight="1">
      <c r="A562" s="99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</row>
    <row r="563" spans="1:26" ht="16.5" customHeight="1">
      <c r="A563" s="99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</row>
    <row r="564" spans="1:26" ht="16.5" customHeight="1">
      <c r="A564" s="99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</row>
    <row r="565" spans="1:26" ht="16.5" customHeight="1">
      <c r="A565" s="99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</row>
    <row r="566" spans="1:26" ht="16.5" customHeight="1">
      <c r="A566" s="99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</row>
    <row r="567" spans="1:26" ht="16.5" customHeight="1">
      <c r="A567" s="99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</row>
    <row r="568" spans="1:26" ht="16.5" customHeight="1">
      <c r="A568" s="99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</row>
    <row r="569" spans="1:26" ht="16.5" customHeight="1">
      <c r="A569" s="99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</row>
    <row r="570" spans="1:26" ht="16.5" customHeight="1">
      <c r="A570" s="99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</row>
    <row r="571" spans="1:26" ht="16.5" customHeight="1">
      <c r="A571" s="99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</row>
    <row r="572" spans="1:26" ht="16.5" customHeight="1">
      <c r="A572" s="99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</row>
    <row r="573" spans="1:26" ht="16.5" customHeight="1">
      <c r="A573" s="99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</row>
    <row r="574" spans="1:26" ht="16.5" customHeight="1">
      <c r="A574" s="99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</row>
    <row r="575" spans="1:26" ht="16.5" customHeight="1">
      <c r="A575" s="99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</row>
    <row r="576" spans="1:26" ht="16.5" customHeight="1">
      <c r="A576" s="99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</row>
    <row r="577" spans="1:26" ht="16.5" customHeight="1">
      <c r="A577" s="99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</row>
    <row r="578" spans="1:26" ht="16.5" customHeight="1">
      <c r="A578" s="99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</row>
    <row r="579" spans="1:26" ht="16.5" customHeight="1">
      <c r="A579" s="99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</row>
    <row r="580" spans="1:26" ht="16.5" customHeight="1">
      <c r="A580" s="99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</row>
    <row r="581" spans="1:26" ht="16.5" customHeight="1">
      <c r="A581" s="99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</row>
    <row r="582" spans="1:26" ht="16.5" customHeight="1">
      <c r="A582" s="99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</row>
    <row r="583" spans="1:26" ht="16.5" customHeight="1">
      <c r="A583" s="99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</row>
    <row r="584" spans="1:26" ht="16.5" customHeight="1">
      <c r="A584" s="99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</row>
    <row r="585" spans="1:26" ht="16.5" customHeight="1">
      <c r="A585" s="99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</row>
    <row r="586" spans="1:26" ht="16.5" customHeight="1">
      <c r="A586" s="99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</row>
    <row r="587" spans="1:26" ht="16.5" customHeight="1">
      <c r="A587" s="99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</row>
    <row r="588" spans="1:26" ht="16.5" customHeight="1">
      <c r="A588" s="99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</row>
    <row r="589" spans="1:26" ht="16.5" customHeight="1">
      <c r="A589" s="99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</row>
    <row r="590" spans="1:26" ht="16.5" customHeight="1">
      <c r="A590" s="99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</row>
    <row r="591" spans="1:26" ht="16.5" customHeight="1">
      <c r="A591" s="99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</row>
    <row r="592" spans="1:26" ht="16.5" customHeight="1">
      <c r="A592" s="99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</row>
    <row r="593" spans="1:26" ht="16.5" customHeight="1">
      <c r="A593" s="99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</row>
    <row r="594" spans="1:26" ht="16.5" customHeight="1">
      <c r="A594" s="99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</row>
    <row r="595" spans="1:26" ht="16.5" customHeight="1">
      <c r="A595" s="99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</row>
    <row r="596" spans="1:26" ht="16.5" customHeight="1">
      <c r="A596" s="99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</row>
    <row r="597" spans="1:26" ht="16.5" customHeight="1">
      <c r="A597" s="99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</row>
    <row r="598" spans="1:26" ht="16.5" customHeight="1">
      <c r="A598" s="99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</row>
    <row r="599" spans="1:26" ht="16.5" customHeight="1">
      <c r="A599" s="99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</row>
    <row r="600" spans="1:26" ht="16.5" customHeight="1">
      <c r="A600" s="99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</row>
    <row r="601" spans="1:26" ht="16.5" customHeight="1">
      <c r="A601" s="99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</row>
    <row r="602" spans="1:26" ht="16.5" customHeight="1">
      <c r="A602" s="99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</row>
    <row r="603" spans="1:26" ht="16.5" customHeight="1">
      <c r="A603" s="99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</row>
    <row r="604" spans="1:26" ht="16.5" customHeight="1">
      <c r="A604" s="99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</row>
    <row r="605" spans="1:26" ht="16.5" customHeight="1">
      <c r="A605" s="99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</row>
    <row r="606" spans="1:26" ht="16.5" customHeight="1">
      <c r="A606" s="99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</row>
    <row r="607" spans="1:26" ht="16.5" customHeight="1">
      <c r="A607" s="99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</row>
    <row r="608" spans="1:26" ht="16.5" customHeight="1">
      <c r="A608" s="99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</row>
    <row r="609" spans="1:26" ht="16.5" customHeight="1">
      <c r="A609" s="99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</row>
    <row r="610" spans="1:26" ht="16.5" customHeight="1">
      <c r="A610" s="99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</row>
    <row r="611" spans="1:26" ht="16.5" customHeight="1">
      <c r="A611" s="99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</row>
    <row r="612" spans="1:26" ht="16.5" customHeight="1">
      <c r="A612" s="99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</row>
    <row r="613" spans="1:26" ht="16.5" customHeight="1">
      <c r="A613" s="99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</row>
    <row r="614" spans="1:26" ht="16.5" customHeight="1">
      <c r="A614" s="99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</row>
    <row r="615" spans="1:26" ht="16.5" customHeight="1">
      <c r="A615" s="99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</row>
    <row r="616" spans="1:26" ht="16.5" customHeight="1">
      <c r="A616" s="99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</row>
    <row r="617" spans="1:26" ht="16.5" customHeight="1">
      <c r="A617" s="99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</row>
    <row r="618" spans="1:26" ht="16.5" customHeight="1">
      <c r="A618" s="99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</row>
    <row r="619" spans="1:26" ht="16.5" customHeight="1">
      <c r="A619" s="99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</row>
    <row r="620" spans="1:26" ht="16.5" customHeight="1">
      <c r="A620" s="99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</row>
    <row r="621" spans="1:26" ht="16.5" customHeight="1">
      <c r="A621" s="99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</row>
    <row r="622" spans="1:26" ht="16.5" customHeight="1">
      <c r="A622" s="99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</row>
    <row r="623" spans="1:26" ht="16.5" customHeight="1">
      <c r="A623" s="99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</row>
    <row r="624" spans="1:26" ht="16.5" customHeight="1">
      <c r="A624" s="99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</row>
    <row r="625" spans="1:26" ht="16.5" customHeight="1">
      <c r="A625" s="99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</row>
    <row r="626" spans="1:26" ht="16.5" customHeight="1">
      <c r="A626" s="99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</row>
    <row r="627" spans="1:26" ht="16.5" customHeight="1">
      <c r="A627" s="99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</row>
    <row r="628" spans="1:26" ht="16.5" customHeight="1">
      <c r="A628" s="99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</row>
    <row r="629" spans="1:26" ht="16.5" customHeight="1">
      <c r="A629" s="99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</row>
    <row r="630" spans="1:26" ht="16.5" customHeight="1">
      <c r="A630" s="99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</row>
    <row r="631" spans="1:26" ht="16.5" customHeight="1">
      <c r="A631" s="99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</row>
    <row r="632" spans="1:26" ht="16.5" customHeight="1">
      <c r="A632" s="99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</row>
    <row r="633" spans="1:26" ht="16.5" customHeight="1">
      <c r="A633" s="99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</row>
    <row r="634" spans="1:26" ht="16.5" customHeight="1">
      <c r="A634" s="99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</row>
    <row r="635" spans="1:26" ht="16.5" customHeight="1">
      <c r="A635" s="99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</row>
    <row r="636" spans="1:26" ht="16.5" customHeight="1">
      <c r="A636" s="99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</row>
    <row r="637" spans="1:26" ht="16.5" customHeight="1">
      <c r="A637" s="99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</row>
    <row r="638" spans="1:26" ht="16.5" customHeight="1">
      <c r="A638" s="99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</row>
    <row r="639" spans="1:26" ht="16.5" customHeight="1">
      <c r="A639" s="99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</row>
    <row r="640" spans="1:26" ht="16.5" customHeight="1">
      <c r="A640" s="99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</row>
    <row r="641" spans="1:26" ht="16.5" customHeight="1">
      <c r="A641" s="99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</row>
    <row r="642" spans="1:26" ht="16.5" customHeight="1">
      <c r="A642" s="99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</row>
    <row r="643" spans="1:26" ht="16.5" customHeight="1">
      <c r="A643" s="99"/>
      <c r="B643" s="100"/>
      <c r="C643" s="100"/>
      <c r="D643" s="100"/>
      <c r="E643" s="100"/>
      <c r="F643" s="100"/>
      <c r="G643" s="100"/>
      <c r="H643" s="100"/>
      <c r="I643" s="100"/>
      <c r="J643" s="100"/>
      <c r="K643" s="100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</row>
    <row r="644" spans="1:26" ht="16.5" customHeight="1">
      <c r="A644" s="99"/>
      <c r="B644" s="100"/>
      <c r="C644" s="100"/>
      <c r="D644" s="100"/>
      <c r="E644" s="100"/>
      <c r="F644" s="100"/>
      <c r="G644" s="100"/>
      <c r="H644" s="100"/>
      <c r="I644" s="100"/>
      <c r="J644" s="100"/>
      <c r="K644" s="100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</row>
    <row r="645" spans="1:26" ht="16.5" customHeight="1">
      <c r="A645" s="99"/>
      <c r="B645" s="100"/>
      <c r="C645" s="100"/>
      <c r="D645" s="100"/>
      <c r="E645" s="100"/>
      <c r="F645" s="100"/>
      <c r="G645" s="100"/>
      <c r="H645" s="100"/>
      <c r="I645" s="100"/>
      <c r="J645" s="100"/>
      <c r="K645" s="100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</row>
    <row r="646" spans="1:26" ht="16.5" customHeight="1">
      <c r="A646" s="99"/>
      <c r="B646" s="100"/>
      <c r="C646" s="100"/>
      <c r="D646" s="100"/>
      <c r="E646" s="100"/>
      <c r="F646" s="100"/>
      <c r="G646" s="100"/>
      <c r="H646" s="100"/>
      <c r="I646" s="100"/>
      <c r="J646" s="100"/>
      <c r="K646" s="100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</row>
    <row r="647" spans="1:26" ht="16.5" customHeight="1">
      <c r="A647" s="99"/>
      <c r="B647" s="100"/>
      <c r="C647" s="100"/>
      <c r="D647" s="100"/>
      <c r="E647" s="100"/>
      <c r="F647" s="100"/>
      <c r="G647" s="100"/>
      <c r="H647" s="100"/>
      <c r="I647" s="100"/>
      <c r="J647" s="100"/>
      <c r="K647" s="100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</row>
    <row r="648" spans="1:26" ht="16.5" customHeight="1">
      <c r="A648" s="99"/>
      <c r="B648" s="100"/>
      <c r="C648" s="100"/>
      <c r="D648" s="100"/>
      <c r="E648" s="100"/>
      <c r="F648" s="100"/>
      <c r="G648" s="100"/>
      <c r="H648" s="100"/>
      <c r="I648" s="100"/>
      <c r="J648" s="100"/>
      <c r="K648" s="100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</row>
    <row r="649" spans="1:26" ht="16.5" customHeight="1">
      <c r="A649" s="99"/>
      <c r="B649" s="100"/>
      <c r="C649" s="100"/>
      <c r="D649" s="100"/>
      <c r="E649" s="100"/>
      <c r="F649" s="100"/>
      <c r="G649" s="100"/>
      <c r="H649" s="100"/>
      <c r="I649" s="100"/>
      <c r="J649" s="100"/>
      <c r="K649" s="100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</row>
    <row r="650" spans="1:26" ht="16.5" customHeight="1">
      <c r="A650" s="99"/>
      <c r="B650" s="100"/>
      <c r="C650" s="100"/>
      <c r="D650" s="100"/>
      <c r="E650" s="100"/>
      <c r="F650" s="100"/>
      <c r="G650" s="100"/>
      <c r="H650" s="100"/>
      <c r="I650" s="100"/>
      <c r="J650" s="100"/>
      <c r="K650" s="100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</row>
    <row r="651" spans="1:26" ht="16.5" customHeight="1">
      <c r="A651" s="99"/>
      <c r="B651" s="100"/>
      <c r="C651" s="100"/>
      <c r="D651" s="100"/>
      <c r="E651" s="100"/>
      <c r="F651" s="100"/>
      <c r="G651" s="100"/>
      <c r="H651" s="100"/>
      <c r="I651" s="100"/>
      <c r="J651" s="100"/>
      <c r="K651" s="100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</row>
    <row r="652" spans="1:26" ht="16.5" customHeight="1">
      <c r="A652" s="99"/>
      <c r="B652" s="100"/>
      <c r="C652" s="100"/>
      <c r="D652" s="100"/>
      <c r="E652" s="100"/>
      <c r="F652" s="100"/>
      <c r="G652" s="100"/>
      <c r="H652" s="100"/>
      <c r="I652" s="100"/>
      <c r="J652" s="100"/>
      <c r="K652" s="100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</row>
    <row r="653" spans="1:26" ht="16.5" customHeight="1">
      <c r="A653" s="99"/>
      <c r="B653" s="100"/>
      <c r="C653" s="100"/>
      <c r="D653" s="100"/>
      <c r="E653" s="100"/>
      <c r="F653" s="100"/>
      <c r="G653" s="100"/>
      <c r="H653" s="100"/>
      <c r="I653" s="100"/>
      <c r="J653" s="100"/>
      <c r="K653" s="100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</row>
    <row r="654" spans="1:26" ht="16.5" customHeight="1">
      <c r="A654" s="99"/>
      <c r="B654" s="100"/>
      <c r="C654" s="100"/>
      <c r="D654" s="100"/>
      <c r="E654" s="100"/>
      <c r="F654" s="100"/>
      <c r="G654" s="100"/>
      <c r="H654" s="100"/>
      <c r="I654" s="100"/>
      <c r="J654" s="100"/>
      <c r="K654" s="100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</row>
    <row r="655" spans="1:26" ht="16.5" customHeight="1">
      <c r="A655" s="99"/>
      <c r="B655" s="100"/>
      <c r="C655" s="100"/>
      <c r="D655" s="100"/>
      <c r="E655" s="100"/>
      <c r="F655" s="100"/>
      <c r="G655" s="100"/>
      <c r="H655" s="100"/>
      <c r="I655" s="100"/>
      <c r="J655" s="100"/>
      <c r="K655" s="100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</row>
    <row r="656" spans="1:26" ht="16.5" customHeight="1">
      <c r="A656" s="99"/>
      <c r="B656" s="100"/>
      <c r="C656" s="100"/>
      <c r="D656" s="100"/>
      <c r="E656" s="100"/>
      <c r="F656" s="100"/>
      <c r="G656" s="100"/>
      <c r="H656" s="100"/>
      <c r="I656" s="100"/>
      <c r="J656" s="100"/>
      <c r="K656" s="100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</row>
    <row r="657" spans="1:26" ht="16.5" customHeight="1">
      <c r="A657" s="99"/>
      <c r="B657" s="100"/>
      <c r="C657" s="100"/>
      <c r="D657" s="100"/>
      <c r="E657" s="100"/>
      <c r="F657" s="100"/>
      <c r="G657" s="100"/>
      <c r="H657" s="100"/>
      <c r="I657" s="100"/>
      <c r="J657" s="100"/>
      <c r="K657" s="100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</row>
    <row r="658" spans="1:26" ht="16.5" customHeight="1">
      <c r="A658" s="99"/>
      <c r="B658" s="100"/>
      <c r="C658" s="100"/>
      <c r="D658" s="100"/>
      <c r="E658" s="100"/>
      <c r="F658" s="100"/>
      <c r="G658" s="100"/>
      <c r="H658" s="100"/>
      <c r="I658" s="100"/>
      <c r="J658" s="100"/>
      <c r="K658" s="100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</row>
    <row r="659" spans="1:26" ht="16.5" customHeight="1">
      <c r="A659" s="99"/>
      <c r="B659" s="100"/>
      <c r="C659" s="100"/>
      <c r="D659" s="100"/>
      <c r="E659" s="100"/>
      <c r="F659" s="100"/>
      <c r="G659" s="100"/>
      <c r="H659" s="100"/>
      <c r="I659" s="100"/>
      <c r="J659" s="100"/>
      <c r="K659" s="100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</row>
    <row r="660" spans="1:26" ht="16.5" customHeight="1">
      <c r="A660" s="99"/>
      <c r="B660" s="100"/>
      <c r="C660" s="100"/>
      <c r="D660" s="100"/>
      <c r="E660" s="100"/>
      <c r="F660" s="100"/>
      <c r="G660" s="100"/>
      <c r="H660" s="100"/>
      <c r="I660" s="100"/>
      <c r="J660" s="100"/>
      <c r="K660" s="100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</row>
    <row r="661" spans="1:26" ht="16.5" customHeight="1">
      <c r="A661" s="99"/>
      <c r="B661" s="100"/>
      <c r="C661" s="100"/>
      <c r="D661" s="100"/>
      <c r="E661" s="100"/>
      <c r="F661" s="100"/>
      <c r="G661" s="100"/>
      <c r="H661" s="100"/>
      <c r="I661" s="100"/>
      <c r="J661" s="100"/>
      <c r="K661" s="100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</row>
    <row r="662" spans="1:26" ht="16.5" customHeight="1">
      <c r="A662" s="99"/>
      <c r="B662" s="100"/>
      <c r="C662" s="100"/>
      <c r="D662" s="100"/>
      <c r="E662" s="100"/>
      <c r="F662" s="100"/>
      <c r="G662" s="100"/>
      <c r="H662" s="100"/>
      <c r="I662" s="100"/>
      <c r="J662" s="100"/>
      <c r="K662" s="100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</row>
    <row r="663" spans="1:26" ht="16.5" customHeight="1">
      <c r="A663" s="99"/>
      <c r="B663" s="100"/>
      <c r="C663" s="100"/>
      <c r="D663" s="100"/>
      <c r="E663" s="100"/>
      <c r="F663" s="100"/>
      <c r="G663" s="100"/>
      <c r="H663" s="100"/>
      <c r="I663" s="100"/>
      <c r="J663" s="100"/>
      <c r="K663" s="100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</row>
    <row r="664" spans="1:26" ht="16.5" customHeight="1">
      <c r="A664" s="99"/>
      <c r="B664" s="100"/>
      <c r="C664" s="100"/>
      <c r="D664" s="100"/>
      <c r="E664" s="100"/>
      <c r="F664" s="100"/>
      <c r="G664" s="100"/>
      <c r="H664" s="100"/>
      <c r="I664" s="100"/>
      <c r="J664" s="100"/>
      <c r="K664" s="100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</row>
    <row r="665" spans="1:26" ht="16.5" customHeight="1">
      <c r="A665" s="99"/>
      <c r="B665" s="100"/>
      <c r="C665" s="100"/>
      <c r="D665" s="100"/>
      <c r="E665" s="100"/>
      <c r="F665" s="100"/>
      <c r="G665" s="100"/>
      <c r="H665" s="100"/>
      <c r="I665" s="100"/>
      <c r="J665" s="100"/>
      <c r="K665" s="100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</row>
    <row r="666" spans="1:26" ht="16.5" customHeight="1">
      <c r="A666" s="99"/>
      <c r="B666" s="100"/>
      <c r="C666" s="100"/>
      <c r="D666" s="100"/>
      <c r="E666" s="100"/>
      <c r="F666" s="100"/>
      <c r="G666" s="100"/>
      <c r="H666" s="100"/>
      <c r="I666" s="100"/>
      <c r="J666" s="100"/>
      <c r="K666" s="100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</row>
    <row r="667" spans="1:26" ht="16.5" customHeight="1">
      <c r="A667" s="99"/>
      <c r="B667" s="100"/>
      <c r="C667" s="100"/>
      <c r="D667" s="100"/>
      <c r="E667" s="100"/>
      <c r="F667" s="100"/>
      <c r="G667" s="100"/>
      <c r="H667" s="100"/>
      <c r="I667" s="100"/>
      <c r="J667" s="100"/>
      <c r="K667" s="100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</row>
    <row r="668" spans="1:26" ht="16.5" customHeight="1">
      <c r="A668" s="99"/>
      <c r="B668" s="100"/>
      <c r="C668" s="100"/>
      <c r="D668" s="100"/>
      <c r="E668" s="100"/>
      <c r="F668" s="100"/>
      <c r="G668" s="100"/>
      <c r="H668" s="100"/>
      <c r="I668" s="100"/>
      <c r="J668" s="100"/>
      <c r="K668" s="100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</row>
    <row r="669" spans="1:26" ht="16.5" customHeight="1">
      <c r="A669" s="99"/>
      <c r="B669" s="100"/>
      <c r="C669" s="100"/>
      <c r="D669" s="100"/>
      <c r="E669" s="100"/>
      <c r="F669" s="100"/>
      <c r="G669" s="100"/>
      <c r="H669" s="100"/>
      <c r="I669" s="100"/>
      <c r="J669" s="100"/>
      <c r="K669" s="100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</row>
    <row r="670" spans="1:26" ht="16.5" customHeight="1">
      <c r="A670" s="99"/>
      <c r="B670" s="100"/>
      <c r="C670" s="100"/>
      <c r="D670" s="100"/>
      <c r="E670" s="100"/>
      <c r="F670" s="100"/>
      <c r="G670" s="100"/>
      <c r="H670" s="100"/>
      <c r="I670" s="100"/>
      <c r="J670" s="100"/>
      <c r="K670" s="100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</row>
    <row r="671" spans="1:26" ht="16.5" customHeight="1">
      <c r="A671" s="99"/>
      <c r="B671" s="100"/>
      <c r="C671" s="100"/>
      <c r="D671" s="100"/>
      <c r="E671" s="100"/>
      <c r="F671" s="100"/>
      <c r="G671" s="100"/>
      <c r="H671" s="100"/>
      <c r="I671" s="100"/>
      <c r="J671" s="100"/>
      <c r="K671" s="100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</row>
    <row r="672" spans="1:26" ht="16.5" customHeight="1">
      <c r="A672" s="99"/>
      <c r="B672" s="100"/>
      <c r="C672" s="100"/>
      <c r="D672" s="100"/>
      <c r="E672" s="100"/>
      <c r="F672" s="100"/>
      <c r="G672" s="100"/>
      <c r="H672" s="100"/>
      <c r="I672" s="100"/>
      <c r="J672" s="100"/>
      <c r="K672" s="100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</row>
    <row r="673" spans="1:26" ht="16.5" customHeight="1">
      <c r="A673" s="99"/>
      <c r="B673" s="100"/>
      <c r="C673" s="100"/>
      <c r="D673" s="100"/>
      <c r="E673" s="100"/>
      <c r="F673" s="100"/>
      <c r="G673" s="100"/>
      <c r="H673" s="100"/>
      <c r="I673" s="100"/>
      <c r="J673" s="100"/>
      <c r="K673" s="100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</row>
    <row r="674" spans="1:26" ht="16.5" customHeight="1">
      <c r="A674" s="99"/>
      <c r="B674" s="100"/>
      <c r="C674" s="100"/>
      <c r="D674" s="100"/>
      <c r="E674" s="100"/>
      <c r="F674" s="100"/>
      <c r="G674" s="100"/>
      <c r="H674" s="100"/>
      <c r="I674" s="100"/>
      <c r="J674" s="100"/>
      <c r="K674" s="100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</row>
    <row r="675" spans="1:26" ht="16.5" customHeight="1">
      <c r="A675" s="99"/>
      <c r="B675" s="100"/>
      <c r="C675" s="100"/>
      <c r="D675" s="100"/>
      <c r="E675" s="100"/>
      <c r="F675" s="100"/>
      <c r="G675" s="100"/>
      <c r="H675" s="100"/>
      <c r="I675" s="100"/>
      <c r="J675" s="100"/>
      <c r="K675" s="100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</row>
    <row r="676" spans="1:26" ht="16.5" customHeight="1">
      <c r="A676" s="99"/>
      <c r="B676" s="100"/>
      <c r="C676" s="100"/>
      <c r="D676" s="100"/>
      <c r="E676" s="100"/>
      <c r="F676" s="100"/>
      <c r="G676" s="100"/>
      <c r="H676" s="100"/>
      <c r="I676" s="100"/>
      <c r="J676" s="100"/>
      <c r="K676" s="100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</row>
    <row r="677" spans="1:26" ht="16.5" customHeight="1">
      <c r="A677" s="99"/>
      <c r="B677" s="100"/>
      <c r="C677" s="100"/>
      <c r="D677" s="100"/>
      <c r="E677" s="100"/>
      <c r="F677" s="100"/>
      <c r="G677" s="100"/>
      <c r="H677" s="100"/>
      <c r="I677" s="100"/>
      <c r="J677" s="100"/>
      <c r="K677" s="100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</row>
    <row r="678" spans="1:26" ht="16.5" customHeight="1">
      <c r="A678" s="99"/>
      <c r="B678" s="100"/>
      <c r="C678" s="100"/>
      <c r="D678" s="100"/>
      <c r="E678" s="100"/>
      <c r="F678" s="100"/>
      <c r="G678" s="100"/>
      <c r="H678" s="100"/>
      <c r="I678" s="100"/>
      <c r="J678" s="100"/>
      <c r="K678" s="100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</row>
    <row r="679" spans="1:26" ht="16.5" customHeight="1">
      <c r="A679" s="99"/>
      <c r="B679" s="100"/>
      <c r="C679" s="100"/>
      <c r="D679" s="100"/>
      <c r="E679" s="100"/>
      <c r="F679" s="100"/>
      <c r="G679" s="100"/>
      <c r="H679" s="100"/>
      <c r="I679" s="100"/>
      <c r="J679" s="100"/>
      <c r="K679" s="100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</row>
    <row r="680" spans="1:26" ht="16.5" customHeight="1">
      <c r="A680" s="99"/>
      <c r="B680" s="100"/>
      <c r="C680" s="100"/>
      <c r="D680" s="100"/>
      <c r="E680" s="100"/>
      <c r="F680" s="100"/>
      <c r="G680" s="100"/>
      <c r="H680" s="100"/>
      <c r="I680" s="100"/>
      <c r="J680" s="100"/>
      <c r="K680" s="100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</row>
    <row r="681" spans="1:26" ht="16.5" customHeight="1">
      <c r="A681" s="99"/>
      <c r="B681" s="100"/>
      <c r="C681" s="100"/>
      <c r="D681" s="100"/>
      <c r="E681" s="100"/>
      <c r="F681" s="100"/>
      <c r="G681" s="100"/>
      <c r="H681" s="100"/>
      <c r="I681" s="100"/>
      <c r="J681" s="100"/>
      <c r="K681" s="100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</row>
    <row r="682" spans="1:26" ht="16.5" customHeight="1">
      <c r="A682" s="99"/>
      <c r="B682" s="100"/>
      <c r="C682" s="100"/>
      <c r="D682" s="100"/>
      <c r="E682" s="100"/>
      <c r="F682" s="100"/>
      <c r="G682" s="100"/>
      <c r="H682" s="100"/>
      <c r="I682" s="100"/>
      <c r="J682" s="100"/>
      <c r="K682" s="100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</row>
    <row r="683" spans="1:26" ht="16.5" customHeight="1">
      <c r="A683" s="99"/>
      <c r="B683" s="100"/>
      <c r="C683" s="100"/>
      <c r="D683" s="100"/>
      <c r="E683" s="100"/>
      <c r="F683" s="100"/>
      <c r="G683" s="100"/>
      <c r="H683" s="100"/>
      <c r="I683" s="100"/>
      <c r="J683" s="100"/>
      <c r="K683" s="100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</row>
    <row r="684" spans="1:26" ht="16.5" customHeight="1">
      <c r="A684" s="99"/>
      <c r="B684" s="100"/>
      <c r="C684" s="100"/>
      <c r="D684" s="100"/>
      <c r="E684" s="100"/>
      <c r="F684" s="100"/>
      <c r="G684" s="100"/>
      <c r="H684" s="100"/>
      <c r="I684" s="100"/>
      <c r="J684" s="100"/>
      <c r="K684" s="100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</row>
    <row r="685" spans="1:26" ht="16.5" customHeight="1">
      <c r="A685" s="99"/>
      <c r="B685" s="100"/>
      <c r="C685" s="100"/>
      <c r="D685" s="100"/>
      <c r="E685" s="100"/>
      <c r="F685" s="100"/>
      <c r="G685" s="100"/>
      <c r="H685" s="100"/>
      <c r="I685" s="100"/>
      <c r="J685" s="100"/>
      <c r="K685" s="100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</row>
    <row r="686" spans="1:26" ht="16.5" customHeight="1">
      <c r="A686" s="99"/>
      <c r="B686" s="100"/>
      <c r="C686" s="100"/>
      <c r="D686" s="100"/>
      <c r="E686" s="100"/>
      <c r="F686" s="100"/>
      <c r="G686" s="100"/>
      <c r="H686" s="100"/>
      <c r="I686" s="100"/>
      <c r="J686" s="100"/>
      <c r="K686" s="100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</row>
    <row r="687" spans="1:26" ht="16.5" customHeight="1">
      <c r="A687" s="99"/>
      <c r="B687" s="100"/>
      <c r="C687" s="100"/>
      <c r="D687" s="100"/>
      <c r="E687" s="100"/>
      <c r="F687" s="100"/>
      <c r="G687" s="100"/>
      <c r="H687" s="100"/>
      <c r="I687" s="100"/>
      <c r="J687" s="100"/>
      <c r="K687" s="100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</row>
    <row r="688" spans="1:26" ht="16.5" customHeight="1">
      <c r="A688" s="99"/>
      <c r="B688" s="100"/>
      <c r="C688" s="100"/>
      <c r="D688" s="100"/>
      <c r="E688" s="100"/>
      <c r="F688" s="100"/>
      <c r="G688" s="100"/>
      <c r="H688" s="100"/>
      <c r="I688" s="100"/>
      <c r="J688" s="100"/>
      <c r="K688" s="100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</row>
    <row r="689" spans="1:26" ht="16.5" customHeight="1">
      <c r="A689" s="99"/>
      <c r="B689" s="100"/>
      <c r="C689" s="100"/>
      <c r="D689" s="100"/>
      <c r="E689" s="100"/>
      <c r="F689" s="100"/>
      <c r="G689" s="100"/>
      <c r="H689" s="100"/>
      <c r="I689" s="100"/>
      <c r="J689" s="100"/>
      <c r="K689" s="100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</row>
    <row r="690" spans="1:26" ht="16.5" customHeight="1">
      <c r="A690" s="99"/>
      <c r="B690" s="100"/>
      <c r="C690" s="100"/>
      <c r="D690" s="100"/>
      <c r="E690" s="100"/>
      <c r="F690" s="100"/>
      <c r="G690" s="100"/>
      <c r="H690" s="100"/>
      <c r="I690" s="100"/>
      <c r="J690" s="100"/>
      <c r="K690" s="100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</row>
    <row r="691" spans="1:26" ht="16.5" customHeight="1">
      <c r="A691" s="99"/>
      <c r="B691" s="100"/>
      <c r="C691" s="100"/>
      <c r="D691" s="100"/>
      <c r="E691" s="100"/>
      <c r="F691" s="100"/>
      <c r="G691" s="100"/>
      <c r="H691" s="100"/>
      <c r="I691" s="100"/>
      <c r="J691" s="100"/>
      <c r="K691" s="100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</row>
    <row r="692" spans="1:26" ht="16.5" customHeight="1">
      <c r="A692" s="99"/>
      <c r="B692" s="100"/>
      <c r="C692" s="100"/>
      <c r="D692" s="100"/>
      <c r="E692" s="100"/>
      <c r="F692" s="100"/>
      <c r="G692" s="100"/>
      <c r="H692" s="100"/>
      <c r="I692" s="100"/>
      <c r="J692" s="100"/>
      <c r="K692" s="100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</row>
    <row r="693" spans="1:26" ht="16.5" customHeight="1">
      <c r="A693" s="99"/>
      <c r="B693" s="100"/>
      <c r="C693" s="100"/>
      <c r="D693" s="100"/>
      <c r="E693" s="100"/>
      <c r="F693" s="100"/>
      <c r="G693" s="100"/>
      <c r="H693" s="100"/>
      <c r="I693" s="100"/>
      <c r="J693" s="100"/>
      <c r="K693" s="100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</row>
    <row r="694" spans="1:26" ht="16.5" customHeight="1">
      <c r="A694" s="99"/>
      <c r="B694" s="100"/>
      <c r="C694" s="100"/>
      <c r="D694" s="100"/>
      <c r="E694" s="100"/>
      <c r="F694" s="100"/>
      <c r="G694" s="100"/>
      <c r="H694" s="100"/>
      <c r="I694" s="100"/>
      <c r="J694" s="100"/>
      <c r="K694" s="100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</row>
    <row r="695" spans="1:26" ht="16.5" customHeight="1">
      <c r="A695" s="99"/>
      <c r="B695" s="100"/>
      <c r="C695" s="100"/>
      <c r="D695" s="100"/>
      <c r="E695" s="100"/>
      <c r="F695" s="100"/>
      <c r="G695" s="100"/>
      <c r="H695" s="100"/>
      <c r="I695" s="100"/>
      <c r="J695" s="100"/>
      <c r="K695" s="100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</row>
    <row r="696" spans="1:26" ht="16.5" customHeight="1">
      <c r="A696" s="99"/>
      <c r="B696" s="100"/>
      <c r="C696" s="100"/>
      <c r="D696" s="100"/>
      <c r="E696" s="100"/>
      <c r="F696" s="100"/>
      <c r="G696" s="100"/>
      <c r="H696" s="100"/>
      <c r="I696" s="100"/>
      <c r="J696" s="100"/>
      <c r="K696" s="100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</row>
    <row r="697" spans="1:26" ht="16.5" customHeight="1">
      <c r="A697" s="99"/>
      <c r="B697" s="100"/>
      <c r="C697" s="100"/>
      <c r="D697" s="100"/>
      <c r="E697" s="100"/>
      <c r="F697" s="100"/>
      <c r="G697" s="100"/>
      <c r="H697" s="100"/>
      <c r="I697" s="100"/>
      <c r="J697" s="100"/>
      <c r="K697" s="100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</row>
    <row r="698" spans="1:26" ht="16.5" customHeight="1">
      <c r="A698" s="99"/>
      <c r="B698" s="100"/>
      <c r="C698" s="100"/>
      <c r="D698" s="100"/>
      <c r="E698" s="100"/>
      <c r="F698" s="100"/>
      <c r="G698" s="100"/>
      <c r="H698" s="100"/>
      <c r="I698" s="100"/>
      <c r="J698" s="100"/>
      <c r="K698" s="100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</row>
    <row r="699" spans="1:26" ht="16.5" customHeight="1">
      <c r="A699" s="99"/>
      <c r="B699" s="100"/>
      <c r="C699" s="100"/>
      <c r="D699" s="100"/>
      <c r="E699" s="100"/>
      <c r="F699" s="100"/>
      <c r="G699" s="100"/>
      <c r="H699" s="100"/>
      <c r="I699" s="100"/>
      <c r="J699" s="100"/>
      <c r="K699" s="100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</row>
    <row r="700" spans="1:26" ht="16.5" customHeight="1">
      <c r="A700" s="99"/>
      <c r="B700" s="100"/>
      <c r="C700" s="100"/>
      <c r="D700" s="100"/>
      <c r="E700" s="100"/>
      <c r="F700" s="100"/>
      <c r="G700" s="100"/>
      <c r="H700" s="100"/>
      <c r="I700" s="100"/>
      <c r="J700" s="100"/>
      <c r="K700" s="100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</row>
    <row r="701" spans="1:26" ht="16.5" customHeight="1">
      <c r="A701" s="99"/>
      <c r="B701" s="100"/>
      <c r="C701" s="100"/>
      <c r="D701" s="100"/>
      <c r="E701" s="100"/>
      <c r="F701" s="100"/>
      <c r="G701" s="100"/>
      <c r="H701" s="100"/>
      <c r="I701" s="100"/>
      <c r="J701" s="100"/>
      <c r="K701" s="100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</row>
    <row r="702" spans="1:26" ht="16.5" customHeight="1">
      <c r="A702" s="99"/>
      <c r="B702" s="100"/>
      <c r="C702" s="100"/>
      <c r="D702" s="100"/>
      <c r="E702" s="100"/>
      <c r="F702" s="100"/>
      <c r="G702" s="100"/>
      <c r="H702" s="100"/>
      <c r="I702" s="100"/>
      <c r="J702" s="100"/>
      <c r="K702" s="100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</row>
    <row r="703" spans="1:26" ht="16.5" customHeight="1">
      <c r="A703" s="99"/>
      <c r="B703" s="100"/>
      <c r="C703" s="100"/>
      <c r="D703" s="100"/>
      <c r="E703" s="100"/>
      <c r="F703" s="100"/>
      <c r="G703" s="100"/>
      <c r="H703" s="100"/>
      <c r="I703" s="100"/>
      <c r="J703" s="100"/>
      <c r="K703" s="100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</row>
    <row r="704" spans="1:26" ht="16.5" customHeight="1">
      <c r="A704" s="99"/>
      <c r="B704" s="100"/>
      <c r="C704" s="100"/>
      <c r="D704" s="100"/>
      <c r="E704" s="100"/>
      <c r="F704" s="100"/>
      <c r="G704" s="100"/>
      <c r="H704" s="100"/>
      <c r="I704" s="100"/>
      <c r="J704" s="100"/>
      <c r="K704" s="100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</row>
    <row r="705" spans="1:26" ht="16.5" customHeight="1">
      <c r="A705" s="99"/>
      <c r="B705" s="100"/>
      <c r="C705" s="100"/>
      <c r="D705" s="100"/>
      <c r="E705" s="100"/>
      <c r="F705" s="100"/>
      <c r="G705" s="100"/>
      <c r="H705" s="100"/>
      <c r="I705" s="100"/>
      <c r="J705" s="100"/>
      <c r="K705" s="100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</row>
    <row r="706" spans="1:26" ht="16.5" customHeight="1">
      <c r="A706" s="99"/>
      <c r="B706" s="100"/>
      <c r="C706" s="100"/>
      <c r="D706" s="100"/>
      <c r="E706" s="100"/>
      <c r="F706" s="100"/>
      <c r="G706" s="100"/>
      <c r="H706" s="100"/>
      <c r="I706" s="100"/>
      <c r="J706" s="100"/>
      <c r="K706" s="100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</row>
    <row r="707" spans="1:26" ht="16.5" customHeight="1">
      <c r="A707" s="99"/>
      <c r="B707" s="100"/>
      <c r="C707" s="100"/>
      <c r="D707" s="100"/>
      <c r="E707" s="100"/>
      <c r="F707" s="100"/>
      <c r="G707" s="100"/>
      <c r="H707" s="100"/>
      <c r="I707" s="100"/>
      <c r="J707" s="100"/>
      <c r="K707" s="100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</row>
    <row r="708" spans="1:26" ht="16.5" customHeight="1">
      <c r="A708" s="99"/>
      <c r="B708" s="100"/>
      <c r="C708" s="100"/>
      <c r="D708" s="100"/>
      <c r="E708" s="100"/>
      <c r="F708" s="100"/>
      <c r="G708" s="100"/>
      <c r="H708" s="100"/>
      <c r="I708" s="100"/>
      <c r="J708" s="100"/>
      <c r="K708" s="100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</row>
    <row r="709" spans="1:26" ht="16.5" customHeight="1">
      <c r="A709" s="99"/>
      <c r="B709" s="100"/>
      <c r="C709" s="100"/>
      <c r="D709" s="100"/>
      <c r="E709" s="100"/>
      <c r="F709" s="100"/>
      <c r="G709" s="100"/>
      <c r="H709" s="100"/>
      <c r="I709" s="100"/>
      <c r="J709" s="100"/>
      <c r="K709" s="100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</row>
    <row r="710" spans="1:26" ht="16.5" customHeight="1">
      <c r="A710" s="99"/>
      <c r="B710" s="100"/>
      <c r="C710" s="100"/>
      <c r="D710" s="100"/>
      <c r="E710" s="100"/>
      <c r="F710" s="100"/>
      <c r="G710" s="100"/>
      <c r="H710" s="100"/>
      <c r="I710" s="100"/>
      <c r="J710" s="100"/>
      <c r="K710" s="100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</row>
    <row r="711" spans="1:26" ht="16.5" customHeight="1">
      <c r="A711" s="99"/>
      <c r="B711" s="100"/>
      <c r="C711" s="100"/>
      <c r="D711" s="100"/>
      <c r="E711" s="100"/>
      <c r="F711" s="100"/>
      <c r="G711" s="100"/>
      <c r="H711" s="100"/>
      <c r="I711" s="100"/>
      <c r="J711" s="100"/>
      <c r="K711" s="100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</row>
    <row r="712" spans="1:26" ht="16.5" customHeight="1">
      <c r="A712" s="99"/>
      <c r="B712" s="100"/>
      <c r="C712" s="100"/>
      <c r="D712" s="100"/>
      <c r="E712" s="100"/>
      <c r="F712" s="100"/>
      <c r="G712" s="100"/>
      <c r="H712" s="100"/>
      <c r="I712" s="100"/>
      <c r="J712" s="100"/>
      <c r="K712" s="100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</row>
    <row r="713" spans="1:26" ht="16.5" customHeight="1">
      <c r="A713" s="99"/>
      <c r="B713" s="100"/>
      <c r="C713" s="100"/>
      <c r="D713" s="100"/>
      <c r="E713" s="100"/>
      <c r="F713" s="100"/>
      <c r="G713" s="100"/>
      <c r="H713" s="100"/>
      <c r="I713" s="100"/>
      <c r="J713" s="100"/>
      <c r="K713" s="100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</row>
    <row r="714" spans="1:26" ht="16.5" customHeight="1">
      <c r="A714" s="99"/>
      <c r="B714" s="100"/>
      <c r="C714" s="100"/>
      <c r="D714" s="100"/>
      <c r="E714" s="100"/>
      <c r="F714" s="100"/>
      <c r="G714" s="100"/>
      <c r="H714" s="100"/>
      <c r="I714" s="100"/>
      <c r="J714" s="100"/>
      <c r="K714" s="100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</row>
    <row r="715" spans="1:26" ht="16.5" customHeight="1">
      <c r="A715" s="99"/>
      <c r="B715" s="100"/>
      <c r="C715" s="100"/>
      <c r="D715" s="100"/>
      <c r="E715" s="100"/>
      <c r="F715" s="100"/>
      <c r="G715" s="100"/>
      <c r="H715" s="100"/>
      <c r="I715" s="100"/>
      <c r="J715" s="100"/>
      <c r="K715" s="100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</row>
    <row r="716" spans="1:26" ht="16.5" customHeight="1">
      <c r="A716" s="99"/>
      <c r="B716" s="100"/>
      <c r="C716" s="100"/>
      <c r="D716" s="100"/>
      <c r="E716" s="100"/>
      <c r="F716" s="100"/>
      <c r="G716" s="100"/>
      <c r="H716" s="100"/>
      <c r="I716" s="100"/>
      <c r="J716" s="100"/>
      <c r="K716" s="100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</row>
    <row r="717" spans="1:26" ht="16.5" customHeight="1">
      <c r="A717" s="99"/>
      <c r="B717" s="100"/>
      <c r="C717" s="100"/>
      <c r="D717" s="100"/>
      <c r="E717" s="100"/>
      <c r="F717" s="100"/>
      <c r="G717" s="100"/>
      <c r="H717" s="100"/>
      <c r="I717" s="100"/>
      <c r="J717" s="100"/>
      <c r="K717" s="100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</row>
    <row r="718" spans="1:26" ht="16.5" customHeight="1">
      <c r="A718" s="99"/>
      <c r="B718" s="100"/>
      <c r="C718" s="100"/>
      <c r="D718" s="100"/>
      <c r="E718" s="100"/>
      <c r="F718" s="100"/>
      <c r="G718" s="100"/>
      <c r="H718" s="100"/>
      <c r="I718" s="100"/>
      <c r="J718" s="100"/>
      <c r="K718" s="100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</row>
    <row r="719" spans="1:26" ht="16.5" customHeight="1">
      <c r="A719" s="99"/>
      <c r="B719" s="100"/>
      <c r="C719" s="100"/>
      <c r="D719" s="100"/>
      <c r="E719" s="100"/>
      <c r="F719" s="100"/>
      <c r="G719" s="100"/>
      <c r="H719" s="100"/>
      <c r="I719" s="100"/>
      <c r="J719" s="100"/>
      <c r="K719" s="100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</row>
    <row r="720" spans="1:26" ht="16.5" customHeight="1">
      <c r="A720" s="99"/>
      <c r="B720" s="100"/>
      <c r="C720" s="100"/>
      <c r="D720" s="100"/>
      <c r="E720" s="100"/>
      <c r="F720" s="100"/>
      <c r="G720" s="100"/>
      <c r="H720" s="100"/>
      <c r="I720" s="100"/>
      <c r="J720" s="100"/>
      <c r="K720" s="100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</row>
    <row r="721" spans="1:26" ht="16.5" customHeight="1">
      <c r="A721" s="99"/>
      <c r="B721" s="100"/>
      <c r="C721" s="100"/>
      <c r="D721" s="100"/>
      <c r="E721" s="100"/>
      <c r="F721" s="100"/>
      <c r="G721" s="100"/>
      <c r="H721" s="100"/>
      <c r="I721" s="100"/>
      <c r="J721" s="100"/>
      <c r="K721" s="100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</row>
    <row r="722" spans="1:26" ht="16.5" customHeight="1">
      <c r="A722" s="99"/>
      <c r="B722" s="100"/>
      <c r="C722" s="100"/>
      <c r="D722" s="100"/>
      <c r="E722" s="100"/>
      <c r="F722" s="100"/>
      <c r="G722" s="100"/>
      <c r="H722" s="100"/>
      <c r="I722" s="100"/>
      <c r="J722" s="100"/>
      <c r="K722" s="100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</row>
    <row r="723" spans="1:26" ht="16.5" customHeight="1">
      <c r="A723" s="99"/>
      <c r="B723" s="100"/>
      <c r="C723" s="100"/>
      <c r="D723" s="100"/>
      <c r="E723" s="100"/>
      <c r="F723" s="100"/>
      <c r="G723" s="100"/>
      <c r="H723" s="100"/>
      <c r="I723" s="100"/>
      <c r="J723" s="100"/>
      <c r="K723" s="100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</row>
    <row r="724" spans="1:26" ht="16.5" customHeight="1">
      <c r="A724" s="99"/>
      <c r="B724" s="100"/>
      <c r="C724" s="100"/>
      <c r="D724" s="100"/>
      <c r="E724" s="100"/>
      <c r="F724" s="100"/>
      <c r="G724" s="100"/>
      <c r="H724" s="100"/>
      <c r="I724" s="100"/>
      <c r="J724" s="100"/>
      <c r="K724" s="100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</row>
    <row r="725" spans="1:26" ht="16.5" customHeight="1">
      <c r="A725" s="99"/>
      <c r="B725" s="100"/>
      <c r="C725" s="100"/>
      <c r="D725" s="100"/>
      <c r="E725" s="100"/>
      <c r="F725" s="100"/>
      <c r="G725" s="100"/>
      <c r="H725" s="100"/>
      <c r="I725" s="100"/>
      <c r="J725" s="100"/>
      <c r="K725" s="100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</row>
    <row r="726" spans="1:26" ht="16.5" customHeight="1">
      <c r="A726" s="99"/>
      <c r="B726" s="100"/>
      <c r="C726" s="100"/>
      <c r="D726" s="100"/>
      <c r="E726" s="100"/>
      <c r="F726" s="100"/>
      <c r="G726" s="100"/>
      <c r="H726" s="100"/>
      <c r="I726" s="100"/>
      <c r="J726" s="100"/>
      <c r="K726" s="100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</row>
    <row r="727" spans="1:26" ht="16.5" customHeight="1">
      <c r="A727" s="99"/>
      <c r="B727" s="100"/>
      <c r="C727" s="100"/>
      <c r="D727" s="100"/>
      <c r="E727" s="100"/>
      <c r="F727" s="100"/>
      <c r="G727" s="100"/>
      <c r="H727" s="100"/>
      <c r="I727" s="100"/>
      <c r="J727" s="100"/>
      <c r="K727" s="100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</row>
    <row r="728" spans="1:26" ht="16.5" customHeight="1">
      <c r="A728" s="99"/>
      <c r="B728" s="100"/>
      <c r="C728" s="100"/>
      <c r="D728" s="100"/>
      <c r="E728" s="100"/>
      <c r="F728" s="100"/>
      <c r="G728" s="100"/>
      <c r="H728" s="100"/>
      <c r="I728" s="100"/>
      <c r="J728" s="100"/>
      <c r="K728" s="100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</row>
    <row r="729" spans="1:26" ht="16.5" customHeight="1">
      <c r="A729" s="99"/>
      <c r="B729" s="100"/>
      <c r="C729" s="100"/>
      <c r="D729" s="100"/>
      <c r="E729" s="100"/>
      <c r="F729" s="100"/>
      <c r="G729" s="100"/>
      <c r="H729" s="100"/>
      <c r="I729" s="100"/>
      <c r="J729" s="100"/>
      <c r="K729" s="100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</row>
    <row r="730" spans="1:26" ht="16.5" customHeight="1">
      <c r="A730" s="99"/>
      <c r="B730" s="100"/>
      <c r="C730" s="100"/>
      <c r="D730" s="100"/>
      <c r="E730" s="100"/>
      <c r="F730" s="100"/>
      <c r="G730" s="100"/>
      <c r="H730" s="100"/>
      <c r="I730" s="100"/>
      <c r="J730" s="100"/>
      <c r="K730" s="100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</row>
    <row r="731" spans="1:26" ht="16.5" customHeight="1">
      <c r="A731" s="99"/>
      <c r="B731" s="100"/>
      <c r="C731" s="100"/>
      <c r="D731" s="100"/>
      <c r="E731" s="100"/>
      <c r="F731" s="100"/>
      <c r="G731" s="100"/>
      <c r="H731" s="100"/>
      <c r="I731" s="100"/>
      <c r="J731" s="100"/>
      <c r="K731" s="100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</row>
    <row r="732" spans="1:26" ht="16.5" customHeight="1">
      <c r="A732" s="99"/>
      <c r="B732" s="100"/>
      <c r="C732" s="100"/>
      <c r="D732" s="100"/>
      <c r="E732" s="100"/>
      <c r="F732" s="100"/>
      <c r="G732" s="100"/>
      <c r="H732" s="100"/>
      <c r="I732" s="100"/>
      <c r="J732" s="100"/>
      <c r="K732" s="100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</row>
    <row r="733" spans="1:26" ht="16.5" customHeight="1">
      <c r="A733" s="99"/>
      <c r="B733" s="100"/>
      <c r="C733" s="100"/>
      <c r="D733" s="100"/>
      <c r="E733" s="100"/>
      <c r="F733" s="100"/>
      <c r="G733" s="100"/>
      <c r="H733" s="100"/>
      <c r="I733" s="100"/>
      <c r="J733" s="100"/>
      <c r="K733" s="100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</row>
    <row r="734" spans="1:26" ht="16.5" customHeight="1">
      <c r="A734" s="99"/>
      <c r="B734" s="100"/>
      <c r="C734" s="100"/>
      <c r="D734" s="100"/>
      <c r="E734" s="100"/>
      <c r="F734" s="100"/>
      <c r="G734" s="100"/>
      <c r="H734" s="100"/>
      <c r="I734" s="100"/>
      <c r="J734" s="100"/>
      <c r="K734" s="100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</row>
    <row r="735" spans="1:26" ht="16.5" customHeight="1">
      <c r="A735" s="99"/>
      <c r="B735" s="100"/>
      <c r="C735" s="100"/>
      <c r="D735" s="100"/>
      <c r="E735" s="100"/>
      <c r="F735" s="100"/>
      <c r="G735" s="100"/>
      <c r="H735" s="100"/>
      <c r="I735" s="100"/>
      <c r="J735" s="100"/>
      <c r="K735" s="100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</row>
    <row r="736" spans="1:26" ht="16.5" customHeight="1">
      <c r="A736" s="99"/>
      <c r="B736" s="100"/>
      <c r="C736" s="100"/>
      <c r="D736" s="100"/>
      <c r="E736" s="100"/>
      <c r="F736" s="100"/>
      <c r="G736" s="100"/>
      <c r="H736" s="100"/>
      <c r="I736" s="100"/>
      <c r="J736" s="100"/>
      <c r="K736" s="100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</row>
    <row r="737" spans="1:26" ht="16.5" customHeight="1">
      <c r="A737" s="99"/>
      <c r="B737" s="100"/>
      <c r="C737" s="100"/>
      <c r="D737" s="100"/>
      <c r="E737" s="100"/>
      <c r="F737" s="100"/>
      <c r="G737" s="100"/>
      <c r="H737" s="100"/>
      <c r="I737" s="100"/>
      <c r="J737" s="100"/>
      <c r="K737" s="100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</row>
    <row r="738" spans="1:26" ht="16.5" customHeight="1">
      <c r="A738" s="99"/>
      <c r="B738" s="100"/>
      <c r="C738" s="100"/>
      <c r="D738" s="100"/>
      <c r="E738" s="100"/>
      <c r="F738" s="100"/>
      <c r="G738" s="100"/>
      <c r="H738" s="100"/>
      <c r="I738" s="100"/>
      <c r="J738" s="100"/>
      <c r="K738" s="100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</row>
    <row r="739" spans="1:26" ht="16.5" customHeight="1">
      <c r="A739" s="99"/>
      <c r="B739" s="100"/>
      <c r="C739" s="100"/>
      <c r="D739" s="100"/>
      <c r="E739" s="100"/>
      <c r="F739" s="100"/>
      <c r="G739" s="100"/>
      <c r="H739" s="100"/>
      <c r="I739" s="100"/>
      <c r="J739" s="100"/>
      <c r="K739" s="100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</row>
    <row r="740" spans="1:26" ht="16.5" customHeight="1">
      <c r="A740" s="99"/>
      <c r="B740" s="100"/>
      <c r="C740" s="100"/>
      <c r="D740" s="100"/>
      <c r="E740" s="100"/>
      <c r="F740" s="100"/>
      <c r="G740" s="100"/>
      <c r="H740" s="100"/>
      <c r="I740" s="100"/>
      <c r="J740" s="100"/>
      <c r="K740" s="100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</row>
    <row r="741" spans="1:26" ht="16.5" customHeight="1">
      <c r="A741" s="99"/>
      <c r="B741" s="100"/>
      <c r="C741" s="100"/>
      <c r="D741" s="100"/>
      <c r="E741" s="100"/>
      <c r="F741" s="100"/>
      <c r="G741" s="100"/>
      <c r="H741" s="100"/>
      <c r="I741" s="100"/>
      <c r="J741" s="100"/>
      <c r="K741" s="100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</row>
    <row r="742" spans="1:26" ht="16.5" customHeight="1">
      <c r="A742" s="99"/>
      <c r="B742" s="100"/>
      <c r="C742" s="100"/>
      <c r="D742" s="100"/>
      <c r="E742" s="100"/>
      <c r="F742" s="100"/>
      <c r="G742" s="100"/>
      <c r="H742" s="100"/>
      <c r="I742" s="100"/>
      <c r="J742" s="100"/>
      <c r="K742" s="100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</row>
    <row r="743" spans="1:26" ht="16.5" customHeight="1">
      <c r="A743" s="99"/>
      <c r="B743" s="100"/>
      <c r="C743" s="100"/>
      <c r="D743" s="100"/>
      <c r="E743" s="100"/>
      <c r="F743" s="100"/>
      <c r="G743" s="100"/>
      <c r="H743" s="100"/>
      <c r="I743" s="100"/>
      <c r="J743" s="100"/>
      <c r="K743" s="100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</row>
    <row r="744" spans="1:26" ht="16.5" customHeight="1">
      <c r="A744" s="99"/>
      <c r="B744" s="100"/>
      <c r="C744" s="100"/>
      <c r="D744" s="100"/>
      <c r="E744" s="100"/>
      <c r="F744" s="100"/>
      <c r="G744" s="100"/>
      <c r="H744" s="100"/>
      <c r="I744" s="100"/>
      <c r="J744" s="100"/>
      <c r="K744" s="100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</row>
    <row r="745" spans="1:26" ht="16.5" customHeight="1">
      <c r="A745" s="99"/>
      <c r="B745" s="100"/>
      <c r="C745" s="100"/>
      <c r="D745" s="100"/>
      <c r="E745" s="100"/>
      <c r="F745" s="100"/>
      <c r="G745" s="100"/>
      <c r="H745" s="100"/>
      <c r="I745" s="100"/>
      <c r="J745" s="100"/>
      <c r="K745" s="100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</row>
    <row r="746" spans="1:26" ht="16.5" customHeight="1">
      <c r="A746" s="99"/>
      <c r="B746" s="100"/>
      <c r="C746" s="100"/>
      <c r="D746" s="100"/>
      <c r="E746" s="100"/>
      <c r="F746" s="100"/>
      <c r="G746" s="100"/>
      <c r="H746" s="100"/>
      <c r="I746" s="100"/>
      <c r="J746" s="100"/>
      <c r="K746" s="100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</row>
    <row r="747" spans="1:26" ht="16.5" customHeight="1">
      <c r="A747" s="99"/>
      <c r="B747" s="100"/>
      <c r="C747" s="100"/>
      <c r="D747" s="100"/>
      <c r="E747" s="100"/>
      <c r="F747" s="100"/>
      <c r="G747" s="100"/>
      <c r="H747" s="100"/>
      <c r="I747" s="100"/>
      <c r="J747" s="100"/>
      <c r="K747" s="100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</row>
    <row r="748" spans="1:26" ht="16.5" customHeight="1">
      <c r="A748" s="99"/>
      <c r="B748" s="100"/>
      <c r="C748" s="100"/>
      <c r="D748" s="100"/>
      <c r="E748" s="100"/>
      <c r="F748" s="100"/>
      <c r="G748" s="100"/>
      <c r="H748" s="100"/>
      <c r="I748" s="100"/>
      <c r="J748" s="100"/>
      <c r="K748" s="100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</row>
    <row r="749" spans="1:26" ht="16.5" customHeight="1">
      <c r="A749" s="99"/>
      <c r="B749" s="100"/>
      <c r="C749" s="100"/>
      <c r="D749" s="100"/>
      <c r="E749" s="100"/>
      <c r="F749" s="100"/>
      <c r="G749" s="100"/>
      <c r="H749" s="100"/>
      <c r="I749" s="100"/>
      <c r="J749" s="100"/>
      <c r="K749" s="100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</row>
    <row r="750" spans="1:26" ht="16.5" customHeight="1">
      <c r="A750" s="99"/>
      <c r="B750" s="100"/>
      <c r="C750" s="100"/>
      <c r="D750" s="100"/>
      <c r="E750" s="100"/>
      <c r="F750" s="100"/>
      <c r="G750" s="100"/>
      <c r="H750" s="100"/>
      <c r="I750" s="100"/>
      <c r="J750" s="100"/>
      <c r="K750" s="100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</row>
    <row r="751" spans="1:26" ht="16.5" customHeight="1">
      <c r="A751" s="99"/>
      <c r="B751" s="100"/>
      <c r="C751" s="100"/>
      <c r="D751" s="100"/>
      <c r="E751" s="100"/>
      <c r="F751" s="100"/>
      <c r="G751" s="100"/>
      <c r="H751" s="100"/>
      <c r="I751" s="100"/>
      <c r="J751" s="100"/>
      <c r="K751" s="100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</row>
    <row r="752" spans="1:26" ht="16.5" customHeight="1">
      <c r="A752" s="99"/>
      <c r="B752" s="100"/>
      <c r="C752" s="100"/>
      <c r="D752" s="100"/>
      <c r="E752" s="100"/>
      <c r="F752" s="100"/>
      <c r="G752" s="100"/>
      <c r="H752" s="100"/>
      <c r="I752" s="100"/>
      <c r="J752" s="100"/>
      <c r="K752" s="100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</row>
    <row r="753" spans="1:26" ht="16.5" customHeight="1">
      <c r="A753" s="99"/>
      <c r="B753" s="100"/>
      <c r="C753" s="100"/>
      <c r="D753" s="100"/>
      <c r="E753" s="100"/>
      <c r="F753" s="100"/>
      <c r="G753" s="100"/>
      <c r="H753" s="100"/>
      <c r="I753" s="100"/>
      <c r="J753" s="100"/>
      <c r="K753" s="100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</row>
    <row r="754" spans="1:26" ht="16.5" customHeight="1">
      <c r="A754" s="99"/>
      <c r="B754" s="100"/>
      <c r="C754" s="100"/>
      <c r="D754" s="100"/>
      <c r="E754" s="100"/>
      <c r="F754" s="100"/>
      <c r="G754" s="100"/>
      <c r="H754" s="100"/>
      <c r="I754" s="100"/>
      <c r="J754" s="100"/>
      <c r="K754" s="100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</row>
    <row r="755" spans="1:26" ht="16.5" customHeight="1">
      <c r="A755" s="99"/>
      <c r="B755" s="100"/>
      <c r="C755" s="100"/>
      <c r="D755" s="100"/>
      <c r="E755" s="100"/>
      <c r="F755" s="100"/>
      <c r="G755" s="100"/>
      <c r="H755" s="100"/>
      <c r="I755" s="100"/>
      <c r="J755" s="100"/>
      <c r="K755" s="100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</row>
    <row r="756" spans="1:26" ht="16.5" customHeight="1">
      <c r="A756" s="99"/>
      <c r="B756" s="100"/>
      <c r="C756" s="100"/>
      <c r="D756" s="100"/>
      <c r="E756" s="100"/>
      <c r="F756" s="100"/>
      <c r="G756" s="100"/>
      <c r="H756" s="100"/>
      <c r="I756" s="100"/>
      <c r="J756" s="100"/>
      <c r="K756" s="100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</row>
    <row r="757" spans="1:26" ht="16.5" customHeight="1">
      <c r="A757" s="99"/>
      <c r="B757" s="100"/>
      <c r="C757" s="100"/>
      <c r="D757" s="100"/>
      <c r="E757" s="100"/>
      <c r="F757" s="100"/>
      <c r="G757" s="100"/>
      <c r="H757" s="100"/>
      <c r="I757" s="100"/>
      <c r="J757" s="100"/>
      <c r="K757" s="100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</row>
    <row r="758" spans="1:26" ht="16.5" customHeight="1">
      <c r="A758" s="99"/>
      <c r="B758" s="100"/>
      <c r="C758" s="100"/>
      <c r="D758" s="100"/>
      <c r="E758" s="100"/>
      <c r="F758" s="100"/>
      <c r="G758" s="100"/>
      <c r="H758" s="100"/>
      <c r="I758" s="100"/>
      <c r="J758" s="100"/>
      <c r="K758" s="100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</row>
    <row r="759" spans="1:26" ht="16.5" customHeight="1">
      <c r="A759" s="99"/>
      <c r="B759" s="100"/>
      <c r="C759" s="100"/>
      <c r="D759" s="100"/>
      <c r="E759" s="100"/>
      <c r="F759" s="100"/>
      <c r="G759" s="100"/>
      <c r="H759" s="100"/>
      <c r="I759" s="100"/>
      <c r="J759" s="100"/>
      <c r="K759" s="100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</row>
    <row r="760" spans="1:26" ht="16.5" customHeight="1">
      <c r="A760" s="99"/>
      <c r="B760" s="100"/>
      <c r="C760" s="100"/>
      <c r="D760" s="100"/>
      <c r="E760" s="100"/>
      <c r="F760" s="100"/>
      <c r="G760" s="100"/>
      <c r="H760" s="100"/>
      <c r="I760" s="100"/>
      <c r="J760" s="100"/>
      <c r="K760" s="100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</row>
    <row r="761" spans="1:26" ht="16.5" customHeight="1">
      <c r="A761" s="99"/>
      <c r="B761" s="100"/>
      <c r="C761" s="100"/>
      <c r="D761" s="100"/>
      <c r="E761" s="100"/>
      <c r="F761" s="100"/>
      <c r="G761" s="100"/>
      <c r="H761" s="100"/>
      <c r="I761" s="100"/>
      <c r="J761" s="100"/>
      <c r="K761" s="100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</row>
    <row r="762" spans="1:26" ht="16.5" customHeight="1">
      <c r="A762" s="99"/>
      <c r="B762" s="100"/>
      <c r="C762" s="100"/>
      <c r="D762" s="100"/>
      <c r="E762" s="100"/>
      <c r="F762" s="100"/>
      <c r="G762" s="100"/>
      <c r="H762" s="100"/>
      <c r="I762" s="100"/>
      <c r="J762" s="100"/>
      <c r="K762" s="100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</row>
    <row r="763" spans="1:26" ht="16.5" customHeight="1">
      <c r="A763" s="99"/>
      <c r="B763" s="100"/>
      <c r="C763" s="100"/>
      <c r="D763" s="100"/>
      <c r="E763" s="100"/>
      <c r="F763" s="100"/>
      <c r="G763" s="100"/>
      <c r="H763" s="100"/>
      <c r="I763" s="100"/>
      <c r="J763" s="100"/>
      <c r="K763" s="100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</row>
    <row r="764" spans="1:26" ht="16.5" customHeight="1">
      <c r="A764" s="99"/>
      <c r="B764" s="100"/>
      <c r="C764" s="100"/>
      <c r="D764" s="100"/>
      <c r="E764" s="100"/>
      <c r="F764" s="100"/>
      <c r="G764" s="100"/>
      <c r="H764" s="100"/>
      <c r="I764" s="100"/>
      <c r="J764" s="100"/>
      <c r="K764" s="100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</row>
    <row r="765" spans="1:26" ht="16.5" customHeight="1">
      <c r="A765" s="99"/>
      <c r="B765" s="100"/>
      <c r="C765" s="100"/>
      <c r="D765" s="100"/>
      <c r="E765" s="100"/>
      <c r="F765" s="100"/>
      <c r="G765" s="100"/>
      <c r="H765" s="100"/>
      <c r="I765" s="100"/>
      <c r="J765" s="100"/>
      <c r="K765" s="100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</row>
    <row r="766" spans="1:26" ht="16.5" customHeight="1">
      <c r="A766" s="99"/>
      <c r="B766" s="100"/>
      <c r="C766" s="100"/>
      <c r="D766" s="100"/>
      <c r="E766" s="100"/>
      <c r="F766" s="100"/>
      <c r="G766" s="100"/>
      <c r="H766" s="100"/>
      <c r="I766" s="100"/>
      <c r="J766" s="100"/>
      <c r="K766" s="100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</row>
    <row r="767" spans="1:26" ht="16.5" customHeight="1">
      <c r="A767" s="99"/>
      <c r="B767" s="100"/>
      <c r="C767" s="100"/>
      <c r="D767" s="100"/>
      <c r="E767" s="100"/>
      <c r="F767" s="100"/>
      <c r="G767" s="100"/>
      <c r="H767" s="100"/>
      <c r="I767" s="100"/>
      <c r="J767" s="100"/>
      <c r="K767" s="100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</row>
    <row r="768" spans="1:26" ht="16.5" customHeight="1">
      <c r="A768" s="99"/>
      <c r="B768" s="100"/>
      <c r="C768" s="100"/>
      <c r="D768" s="100"/>
      <c r="E768" s="100"/>
      <c r="F768" s="100"/>
      <c r="G768" s="100"/>
      <c r="H768" s="100"/>
      <c r="I768" s="100"/>
      <c r="J768" s="100"/>
      <c r="K768" s="100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</row>
    <row r="769" spans="1:26" ht="16.5" customHeight="1">
      <c r="A769" s="99"/>
      <c r="B769" s="100"/>
      <c r="C769" s="100"/>
      <c r="D769" s="100"/>
      <c r="E769" s="100"/>
      <c r="F769" s="100"/>
      <c r="G769" s="100"/>
      <c r="H769" s="100"/>
      <c r="I769" s="100"/>
      <c r="J769" s="100"/>
      <c r="K769" s="100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</row>
    <row r="770" spans="1:26" ht="16.5" customHeight="1">
      <c r="A770" s="99"/>
      <c r="B770" s="100"/>
      <c r="C770" s="100"/>
      <c r="D770" s="100"/>
      <c r="E770" s="100"/>
      <c r="F770" s="100"/>
      <c r="G770" s="100"/>
      <c r="H770" s="100"/>
      <c r="I770" s="100"/>
      <c r="J770" s="100"/>
      <c r="K770" s="100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</row>
    <row r="771" spans="1:26" ht="16.5" customHeight="1">
      <c r="A771" s="99"/>
      <c r="B771" s="100"/>
      <c r="C771" s="100"/>
      <c r="D771" s="100"/>
      <c r="E771" s="100"/>
      <c r="F771" s="100"/>
      <c r="G771" s="100"/>
      <c r="H771" s="100"/>
      <c r="I771" s="100"/>
      <c r="J771" s="100"/>
      <c r="K771" s="100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</row>
    <row r="772" spans="1:26" ht="16.5" customHeight="1">
      <c r="A772" s="99"/>
      <c r="B772" s="100"/>
      <c r="C772" s="100"/>
      <c r="D772" s="100"/>
      <c r="E772" s="100"/>
      <c r="F772" s="100"/>
      <c r="G772" s="100"/>
      <c r="H772" s="100"/>
      <c r="I772" s="100"/>
      <c r="J772" s="100"/>
      <c r="K772" s="100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</row>
    <row r="773" spans="1:26" ht="16.5" customHeight="1">
      <c r="A773" s="99"/>
      <c r="B773" s="100"/>
      <c r="C773" s="100"/>
      <c r="D773" s="100"/>
      <c r="E773" s="100"/>
      <c r="F773" s="100"/>
      <c r="G773" s="100"/>
      <c r="H773" s="100"/>
      <c r="I773" s="100"/>
      <c r="J773" s="100"/>
      <c r="K773" s="100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</row>
    <row r="774" spans="1:26" ht="16.5" customHeight="1">
      <c r="A774" s="99"/>
      <c r="B774" s="100"/>
      <c r="C774" s="100"/>
      <c r="D774" s="100"/>
      <c r="E774" s="100"/>
      <c r="F774" s="100"/>
      <c r="G774" s="100"/>
      <c r="H774" s="100"/>
      <c r="I774" s="100"/>
      <c r="J774" s="100"/>
      <c r="K774" s="100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</row>
    <row r="775" spans="1:26" ht="16.5" customHeight="1">
      <c r="A775" s="99"/>
      <c r="B775" s="100"/>
      <c r="C775" s="100"/>
      <c r="D775" s="100"/>
      <c r="E775" s="100"/>
      <c r="F775" s="100"/>
      <c r="G775" s="100"/>
      <c r="H775" s="100"/>
      <c r="I775" s="100"/>
      <c r="J775" s="100"/>
      <c r="K775" s="100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</row>
    <row r="776" spans="1:26" ht="16.5" customHeight="1">
      <c r="A776" s="99"/>
      <c r="B776" s="100"/>
      <c r="C776" s="100"/>
      <c r="D776" s="100"/>
      <c r="E776" s="100"/>
      <c r="F776" s="100"/>
      <c r="G776" s="100"/>
      <c r="H776" s="100"/>
      <c r="I776" s="100"/>
      <c r="J776" s="100"/>
      <c r="K776" s="100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</row>
    <row r="777" spans="1:26" ht="16.5" customHeight="1">
      <c r="A777" s="99"/>
      <c r="B777" s="100"/>
      <c r="C777" s="100"/>
      <c r="D777" s="100"/>
      <c r="E777" s="100"/>
      <c r="F777" s="100"/>
      <c r="G777" s="100"/>
      <c r="H777" s="100"/>
      <c r="I777" s="100"/>
      <c r="J777" s="100"/>
      <c r="K777" s="100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</row>
    <row r="778" spans="1:26" ht="16.5" customHeight="1">
      <c r="A778" s="99"/>
      <c r="B778" s="100"/>
      <c r="C778" s="100"/>
      <c r="D778" s="100"/>
      <c r="E778" s="100"/>
      <c r="F778" s="100"/>
      <c r="G778" s="100"/>
      <c r="H778" s="100"/>
      <c r="I778" s="100"/>
      <c r="J778" s="100"/>
      <c r="K778" s="100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</row>
    <row r="779" spans="1:26" ht="16.5" customHeight="1">
      <c r="A779" s="99"/>
      <c r="B779" s="100"/>
      <c r="C779" s="100"/>
      <c r="D779" s="100"/>
      <c r="E779" s="100"/>
      <c r="F779" s="100"/>
      <c r="G779" s="100"/>
      <c r="H779" s="100"/>
      <c r="I779" s="100"/>
      <c r="J779" s="100"/>
      <c r="K779" s="100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</row>
    <row r="780" spans="1:26" ht="16.5" customHeight="1">
      <c r="A780" s="99"/>
      <c r="B780" s="100"/>
      <c r="C780" s="100"/>
      <c r="D780" s="100"/>
      <c r="E780" s="100"/>
      <c r="F780" s="100"/>
      <c r="G780" s="100"/>
      <c r="H780" s="100"/>
      <c r="I780" s="100"/>
      <c r="J780" s="100"/>
      <c r="K780" s="100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</row>
    <row r="781" spans="1:26" ht="16.5" customHeight="1">
      <c r="A781" s="99"/>
      <c r="B781" s="100"/>
      <c r="C781" s="100"/>
      <c r="D781" s="100"/>
      <c r="E781" s="100"/>
      <c r="F781" s="100"/>
      <c r="G781" s="100"/>
      <c r="H781" s="100"/>
      <c r="I781" s="100"/>
      <c r="J781" s="100"/>
      <c r="K781" s="100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</row>
    <row r="782" spans="1:26" ht="16.5" customHeight="1">
      <c r="A782" s="99"/>
      <c r="B782" s="100"/>
      <c r="C782" s="100"/>
      <c r="D782" s="100"/>
      <c r="E782" s="100"/>
      <c r="F782" s="100"/>
      <c r="G782" s="100"/>
      <c r="H782" s="100"/>
      <c r="I782" s="100"/>
      <c r="J782" s="100"/>
      <c r="K782" s="100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</row>
    <row r="783" spans="1:26" ht="16.5" customHeight="1">
      <c r="A783" s="99"/>
      <c r="B783" s="100"/>
      <c r="C783" s="100"/>
      <c r="D783" s="100"/>
      <c r="E783" s="100"/>
      <c r="F783" s="100"/>
      <c r="G783" s="100"/>
      <c r="H783" s="100"/>
      <c r="I783" s="100"/>
      <c r="J783" s="100"/>
      <c r="K783" s="100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</row>
    <row r="784" spans="1:26" ht="16.5" customHeight="1">
      <c r="A784" s="99"/>
      <c r="B784" s="100"/>
      <c r="C784" s="100"/>
      <c r="D784" s="100"/>
      <c r="E784" s="100"/>
      <c r="F784" s="100"/>
      <c r="G784" s="100"/>
      <c r="H784" s="100"/>
      <c r="I784" s="100"/>
      <c r="J784" s="100"/>
      <c r="K784" s="100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</row>
    <row r="785" spans="1:26" ht="16.5" customHeight="1">
      <c r="A785" s="99"/>
      <c r="B785" s="100"/>
      <c r="C785" s="100"/>
      <c r="D785" s="100"/>
      <c r="E785" s="100"/>
      <c r="F785" s="100"/>
      <c r="G785" s="100"/>
      <c r="H785" s="100"/>
      <c r="I785" s="100"/>
      <c r="J785" s="100"/>
      <c r="K785" s="100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</row>
    <row r="786" spans="1:26" ht="16.5" customHeight="1">
      <c r="A786" s="99"/>
      <c r="B786" s="100"/>
      <c r="C786" s="100"/>
      <c r="D786" s="100"/>
      <c r="E786" s="100"/>
      <c r="F786" s="100"/>
      <c r="G786" s="100"/>
      <c r="H786" s="100"/>
      <c r="I786" s="100"/>
      <c r="J786" s="100"/>
      <c r="K786" s="100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</row>
    <row r="787" spans="1:26" ht="16.5" customHeight="1">
      <c r="A787" s="99"/>
      <c r="B787" s="100"/>
      <c r="C787" s="100"/>
      <c r="D787" s="100"/>
      <c r="E787" s="100"/>
      <c r="F787" s="100"/>
      <c r="G787" s="100"/>
      <c r="H787" s="100"/>
      <c r="I787" s="100"/>
      <c r="J787" s="100"/>
      <c r="K787" s="100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</row>
    <row r="788" spans="1:26" ht="16.5" customHeight="1">
      <c r="A788" s="99"/>
      <c r="B788" s="100"/>
      <c r="C788" s="100"/>
      <c r="D788" s="100"/>
      <c r="E788" s="100"/>
      <c r="F788" s="100"/>
      <c r="G788" s="100"/>
      <c r="H788" s="100"/>
      <c r="I788" s="100"/>
      <c r="J788" s="100"/>
      <c r="K788" s="100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</row>
    <row r="789" spans="1:26" ht="16.5" customHeight="1">
      <c r="A789" s="99"/>
      <c r="B789" s="100"/>
      <c r="C789" s="100"/>
      <c r="D789" s="100"/>
      <c r="E789" s="100"/>
      <c r="F789" s="100"/>
      <c r="G789" s="100"/>
      <c r="H789" s="100"/>
      <c r="I789" s="100"/>
      <c r="J789" s="100"/>
      <c r="K789" s="100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</row>
    <row r="790" spans="1:26" ht="16.5" customHeight="1">
      <c r="A790" s="99"/>
      <c r="B790" s="100"/>
      <c r="C790" s="100"/>
      <c r="D790" s="100"/>
      <c r="E790" s="100"/>
      <c r="F790" s="100"/>
      <c r="G790" s="100"/>
      <c r="H790" s="100"/>
      <c r="I790" s="100"/>
      <c r="J790" s="100"/>
      <c r="K790" s="100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</row>
    <row r="791" spans="1:26" ht="16.5" customHeight="1">
      <c r="A791" s="99"/>
      <c r="B791" s="100"/>
      <c r="C791" s="100"/>
      <c r="D791" s="100"/>
      <c r="E791" s="100"/>
      <c r="F791" s="100"/>
      <c r="G791" s="100"/>
      <c r="H791" s="100"/>
      <c r="I791" s="100"/>
      <c r="J791" s="100"/>
      <c r="K791" s="100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</row>
    <row r="792" spans="1:26" ht="16.5" customHeight="1">
      <c r="A792" s="99"/>
      <c r="B792" s="100"/>
      <c r="C792" s="100"/>
      <c r="D792" s="100"/>
      <c r="E792" s="100"/>
      <c r="F792" s="100"/>
      <c r="G792" s="100"/>
      <c r="H792" s="100"/>
      <c r="I792" s="100"/>
      <c r="J792" s="100"/>
      <c r="K792" s="100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</row>
    <row r="793" spans="1:26" ht="16.5" customHeight="1">
      <c r="A793" s="99"/>
      <c r="B793" s="100"/>
      <c r="C793" s="100"/>
      <c r="D793" s="100"/>
      <c r="E793" s="100"/>
      <c r="F793" s="100"/>
      <c r="G793" s="100"/>
      <c r="H793" s="100"/>
      <c r="I793" s="100"/>
      <c r="J793" s="100"/>
      <c r="K793" s="100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</row>
    <row r="794" spans="1:26" ht="16.5" customHeight="1">
      <c r="A794" s="99"/>
      <c r="B794" s="100"/>
      <c r="C794" s="100"/>
      <c r="D794" s="100"/>
      <c r="E794" s="100"/>
      <c r="F794" s="100"/>
      <c r="G794" s="100"/>
      <c r="H794" s="100"/>
      <c r="I794" s="100"/>
      <c r="J794" s="100"/>
      <c r="K794" s="100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</row>
    <row r="795" spans="1:26" ht="16.5" customHeight="1">
      <c r="A795" s="99"/>
      <c r="B795" s="100"/>
      <c r="C795" s="100"/>
      <c r="D795" s="100"/>
      <c r="E795" s="100"/>
      <c r="F795" s="100"/>
      <c r="G795" s="100"/>
      <c r="H795" s="100"/>
      <c r="I795" s="100"/>
      <c r="J795" s="100"/>
      <c r="K795" s="100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</row>
    <row r="796" spans="1:26" ht="16.5" customHeight="1">
      <c r="A796" s="99"/>
      <c r="B796" s="100"/>
      <c r="C796" s="100"/>
      <c r="D796" s="100"/>
      <c r="E796" s="100"/>
      <c r="F796" s="100"/>
      <c r="G796" s="100"/>
      <c r="H796" s="100"/>
      <c r="I796" s="100"/>
      <c r="J796" s="100"/>
      <c r="K796" s="100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</row>
    <row r="797" spans="1:26" ht="16.5" customHeight="1">
      <c r="A797" s="99"/>
      <c r="B797" s="100"/>
      <c r="C797" s="100"/>
      <c r="D797" s="100"/>
      <c r="E797" s="100"/>
      <c r="F797" s="100"/>
      <c r="G797" s="100"/>
      <c r="H797" s="100"/>
      <c r="I797" s="100"/>
      <c r="J797" s="100"/>
      <c r="K797" s="100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</row>
    <row r="798" spans="1:26" ht="16.5" customHeight="1">
      <c r="A798" s="99"/>
      <c r="B798" s="100"/>
      <c r="C798" s="100"/>
      <c r="D798" s="100"/>
      <c r="E798" s="100"/>
      <c r="F798" s="100"/>
      <c r="G798" s="100"/>
      <c r="H798" s="100"/>
      <c r="I798" s="100"/>
      <c r="J798" s="100"/>
      <c r="K798" s="100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</row>
    <row r="799" spans="1:26" ht="16.5" customHeight="1">
      <c r="A799" s="99"/>
      <c r="B799" s="100"/>
      <c r="C799" s="100"/>
      <c r="D799" s="100"/>
      <c r="E799" s="100"/>
      <c r="F799" s="100"/>
      <c r="G799" s="100"/>
      <c r="H799" s="100"/>
      <c r="I799" s="100"/>
      <c r="J799" s="100"/>
      <c r="K799" s="100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</row>
    <row r="800" spans="1:26" ht="16.5" customHeight="1">
      <c r="A800" s="99"/>
      <c r="B800" s="100"/>
      <c r="C800" s="100"/>
      <c r="D800" s="100"/>
      <c r="E800" s="100"/>
      <c r="F800" s="100"/>
      <c r="G800" s="100"/>
      <c r="H800" s="100"/>
      <c r="I800" s="100"/>
      <c r="J800" s="100"/>
      <c r="K800" s="100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</row>
    <row r="801" spans="1:26" ht="16.5" customHeight="1">
      <c r="A801" s="99"/>
      <c r="B801" s="100"/>
      <c r="C801" s="100"/>
      <c r="D801" s="100"/>
      <c r="E801" s="100"/>
      <c r="F801" s="100"/>
      <c r="G801" s="100"/>
      <c r="H801" s="100"/>
      <c r="I801" s="100"/>
      <c r="J801" s="100"/>
      <c r="K801" s="100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</row>
    <row r="802" spans="1:26" ht="16.5" customHeight="1">
      <c r="A802" s="99"/>
      <c r="B802" s="100"/>
      <c r="C802" s="100"/>
      <c r="D802" s="100"/>
      <c r="E802" s="100"/>
      <c r="F802" s="100"/>
      <c r="G802" s="100"/>
      <c r="H802" s="100"/>
      <c r="I802" s="100"/>
      <c r="J802" s="100"/>
      <c r="K802" s="100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</row>
    <row r="803" spans="1:26" ht="16.5" customHeight="1">
      <c r="A803" s="99"/>
      <c r="B803" s="100"/>
      <c r="C803" s="100"/>
      <c r="D803" s="100"/>
      <c r="E803" s="100"/>
      <c r="F803" s="100"/>
      <c r="G803" s="100"/>
      <c r="H803" s="100"/>
      <c r="I803" s="100"/>
      <c r="J803" s="100"/>
      <c r="K803" s="100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</row>
    <row r="804" spans="1:26" ht="16.5" customHeight="1">
      <c r="A804" s="99"/>
      <c r="B804" s="100"/>
      <c r="C804" s="100"/>
      <c r="D804" s="100"/>
      <c r="E804" s="100"/>
      <c r="F804" s="100"/>
      <c r="G804" s="100"/>
      <c r="H804" s="100"/>
      <c r="I804" s="100"/>
      <c r="J804" s="100"/>
      <c r="K804" s="100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</row>
    <row r="805" spans="1:26" ht="16.5" customHeight="1">
      <c r="A805" s="99"/>
      <c r="B805" s="100"/>
      <c r="C805" s="100"/>
      <c r="D805" s="100"/>
      <c r="E805" s="100"/>
      <c r="F805" s="100"/>
      <c r="G805" s="100"/>
      <c r="H805" s="100"/>
      <c r="I805" s="100"/>
      <c r="J805" s="100"/>
      <c r="K805" s="100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</row>
    <row r="806" spans="1:26" ht="16.5" customHeight="1">
      <c r="A806" s="99"/>
      <c r="B806" s="100"/>
      <c r="C806" s="100"/>
      <c r="D806" s="100"/>
      <c r="E806" s="100"/>
      <c r="F806" s="100"/>
      <c r="G806" s="100"/>
      <c r="H806" s="100"/>
      <c r="I806" s="100"/>
      <c r="J806" s="100"/>
      <c r="K806" s="100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</row>
    <row r="807" spans="1:26" ht="16.5" customHeight="1">
      <c r="A807" s="99"/>
      <c r="B807" s="100"/>
      <c r="C807" s="100"/>
      <c r="D807" s="100"/>
      <c r="E807" s="100"/>
      <c r="F807" s="100"/>
      <c r="G807" s="100"/>
      <c r="H807" s="100"/>
      <c r="I807" s="100"/>
      <c r="J807" s="100"/>
      <c r="K807" s="100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</row>
    <row r="808" spans="1:26" ht="16.5" customHeight="1">
      <c r="A808" s="99"/>
      <c r="B808" s="100"/>
      <c r="C808" s="100"/>
      <c r="D808" s="100"/>
      <c r="E808" s="100"/>
      <c r="F808" s="100"/>
      <c r="G808" s="100"/>
      <c r="H808" s="100"/>
      <c r="I808" s="100"/>
      <c r="J808" s="100"/>
      <c r="K808" s="100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</row>
    <row r="809" spans="1:26" ht="16.5" customHeight="1">
      <c r="A809" s="99"/>
      <c r="B809" s="100"/>
      <c r="C809" s="100"/>
      <c r="D809" s="100"/>
      <c r="E809" s="100"/>
      <c r="F809" s="100"/>
      <c r="G809" s="100"/>
      <c r="H809" s="100"/>
      <c r="I809" s="100"/>
      <c r="J809" s="100"/>
      <c r="K809" s="100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</row>
    <row r="810" spans="1:26" ht="16.5" customHeight="1">
      <c r="A810" s="99"/>
      <c r="B810" s="100"/>
      <c r="C810" s="100"/>
      <c r="D810" s="100"/>
      <c r="E810" s="100"/>
      <c r="F810" s="100"/>
      <c r="G810" s="100"/>
      <c r="H810" s="100"/>
      <c r="I810" s="100"/>
      <c r="J810" s="100"/>
      <c r="K810" s="100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</row>
    <row r="811" spans="1:26" ht="16.5" customHeight="1">
      <c r="A811" s="99"/>
      <c r="B811" s="100"/>
      <c r="C811" s="100"/>
      <c r="D811" s="100"/>
      <c r="E811" s="100"/>
      <c r="F811" s="100"/>
      <c r="G811" s="100"/>
      <c r="H811" s="100"/>
      <c r="I811" s="100"/>
      <c r="J811" s="100"/>
      <c r="K811" s="100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</row>
    <row r="812" spans="1:26" ht="16.5" customHeight="1">
      <c r="A812" s="99"/>
      <c r="B812" s="100"/>
      <c r="C812" s="100"/>
      <c r="D812" s="100"/>
      <c r="E812" s="100"/>
      <c r="F812" s="100"/>
      <c r="G812" s="100"/>
      <c r="H812" s="100"/>
      <c r="I812" s="100"/>
      <c r="J812" s="100"/>
      <c r="K812" s="100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</row>
    <row r="813" spans="1:26" ht="16.5" customHeight="1">
      <c r="A813" s="99"/>
      <c r="B813" s="100"/>
      <c r="C813" s="100"/>
      <c r="D813" s="100"/>
      <c r="E813" s="100"/>
      <c r="F813" s="100"/>
      <c r="G813" s="100"/>
      <c r="H813" s="100"/>
      <c r="I813" s="100"/>
      <c r="J813" s="100"/>
      <c r="K813" s="100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</row>
    <row r="814" spans="1:26" ht="16.5" customHeight="1">
      <c r="A814" s="99"/>
      <c r="B814" s="100"/>
      <c r="C814" s="100"/>
      <c r="D814" s="100"/>
      <c r="E814" s="100"/>
      <c r="F814" s="100"/>
      <c r="G814" s="100"/>
      <c r="H814" s="100"/>
      <c r="I814" s="100"/>
      <c r="J814" s="100"/>
      <c r="K814" s="100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</row>
    <row r="815" spans="1:26" ht="16.5" customHeight="1">
      <c r="A815" s="99"/>
      <c r="B815" s="100"/>
      <c r="C815" s="100"/>
      <c r="D815" s="100"/>
      <c r="E815" s="100"/>
      <c r="F815" s="100"/>
      <c r="G815" s="100"/>
      <c r="H815" s="100"/>
      <c r="I815" s="100"/>
      <c r="J815" s="100"/>
      <c r="K815" s="100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</row>
    <row r="816" spans="1:26" ht="16.5" customHeight="1">
      <c r="A816" s="99"/>
      <c r="B816" s="100"/>
      <c r="C816" s="100"/>
      <c r="D816" s="100"/>
      <c r="E816" s="100"/>
      <c r="F816" s="100"/>
      <c r="G816" s="100"/>
      <c r="H816" s="100"/>
      <c r="I816" s="100"/>
      <c r="J816" s="100"/>
      <c r="K816" s="100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</row>
    <row r="817" spans="1:26" ht="16.5" customHeight="1">
      <c r="A817" s="99"/>
      <c r="B817" s="100"/>
      <c r="C817" s="100"/>
      <c r="D817" s="100"/>
      <c r="E817" s="100"/>
      <c r="F817" s="100"/>
      <c r="G817" s="100"/>
      <c r="H817" s="100"/>
      <c r="I817" s="100"/>
      <c r="J817" s="100"/>
      <c r="K817" s="100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</row>
    <row r="818" spans="1:26" ht="16.5" customHeight="1">
      <c r="A818" s="99"/>
      <c r="B818" s="100"/>
      <c r="C818" s="100"/>
      <c r="D818" s="100"/>
      <c r="E818" s="100"/>
      <c r="F818" s="100"/>
      <c r="G818" s="100"/>
      <c r="H818" s="100"/>
      <c r="I818" s="100"/>
      <c r="J818" s="100"/>
      <c r="K818" s="100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</row>
    <row r="819" spans="1:26" ht="16.5" customHeight="1">
      <c r="A819" s="99"/>
      <c r="B819" s="100"/>
      <c r="C819" s="100"/>
      <c r="D819" s="100"/>
      <c r="E819" s="100"/>
      <c r="F819" s="100"/>
      <c r="G819" s="100"/>
      <c r="H819" s="100"/>
      <c r="I819" s="100"/>
      <c r="J819" s="100"/>
      <c r="K819" s="100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</row>
    <row r="820" spans="1:26" ht="16.5" customHeight="1">
      <c r="A820" s="99"/>
      <c r="B820" s="100"/>
      <c r="C820" s="100"/>
      <c r="D820" s="100"/>
      <c r="E820" s="100"/>
      <c r="F820" s="100"/>
      <c r="G820" s="100"/>
      <c r="H820" s="100"/>
      <c r="I820" s="100"/>
      <c r="J820" s="100"/>
      <c r="K820" s="100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</row>
    <row r="821" spans="1:26" ht="16.5" customHeight="1">
      <c r="A821" s="99"/>
      <c r="B821" s="100"/>
      <c r="C821" s="100"/>
      <c r="D821" s="100"/>
      <c r="E821" s="100"/>
      <c r="F821" s="100"/>
      <c r="G821" s="100"/>
      <c r="H821" s="100"/>
      <c r="I821" s="100"/>
      <c r="J821" s="100"/>
      <c r="K821" s="100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</row>
    <row r="822" spans="1:26" ht="16.5" customHeight="1">
      <c r="A822" s="99"/>
      <c r="B822" s="100"/>
      <c r="C822" s="100"/>
      <c r="D822" s="100"/>
      <c r="E822" s="100"/>
      <c r="F822" s="100"/>
      <c r="G822" s="100"/>
      <c r="H822" s="100"/>
      <c r="I822" s="100"/>
      <c r="J822" s="100"/>
      <c r="K822" s="100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</row>
    <row r="823" spans="1:26" ht="16.5" customHeight="1">
      <c r="A823" s="99"/>
      <c r="B823" s="100"/>
      <c r="C823" s="100"/>
      <c r="D823" s="100"/>
      <c r="E823" s="100"/>
      <c r="F823" s="100"/>
      <c r="G823" s="100"/>
      <c r="H823" s="100"/>
      <c r="I823" s="100"/>
      <c r="J823" s="100"/>
      <c r="K823" s="100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</row>
    <row r="824" spans="1:26" ht="16.5" customHeight="1">
      <c r="A824" s="99"/>
      <c r="B824" s="100"/>
      <c r="C824" s="100"/>
      <c r="D824" s="100"/>
      <c r="E824" s="100"/>
      <c r="F824" s="100"/>
      <c r="G824" s="100"/>
      <c r="H824" s="100"/>
      <c r="I824" s="100"/>
      <c r="J824" s="100"/>
      <c r="K824" s="100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</row>
    <row r="825" spans="1:26" ht="16.5" customHeight="1">
      <c r="A825" s="99"/>
      <c r="B825" s="100"/>
      <c r="C825" s="100"/>
      <c r="D825" s="100"/>
      <c r="E825" s="100"/>
      <c r="F825" s="100"/>
      <c r="G825" s="100"/>
      <c r="H825" s="100"/>
      <c r="I825" s="100"/>
      <c r="J825" s="100"/>
      <c r="K825" s="100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</row>
    <row r="826" spans="1:26" ht="16.5" customHeight="1">
      <c r="A826" s="99"/>
      <c r="B826" s="100"/>
      <c r="C826" s="100"/>
      <c r="D826" s="100"/>
      <c r="E826" s="100"/>
      <c r="F826" s="100"/>
      <c r="G826" s="100"/>
      <c r="H826" s="100"/>
      <c r="I826" s="100"/>
      <c r="J826" s="100"/>
      <c r="K826" s="100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</row>
    <row r="827" spans="1:26" ht="16.5" customHeight="1">
      <c r="A827" s="99"/>
      <c r="B827" s="100"/>
      <c r="C827" s="100"/>
      <c r="D827" s="100"/>
      <c r="E827" s="100"/>
      <c r="F827" s="100"/>
      <c r="G827" s="100"/>
      <c r="H827" s="100"/>
      <c r="I827" s="100"/>
      <c r="J827" s="100"/>
      <c r="K827" s="100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</row>
    <row r="828" spans="1:26" ht="16.5" customHeight="1">
      <c r="A828" s="99"/>
      <c r="B828" s="100"/>
      <c r="C828" s="100"/>
      <c r="D828" s="100"/>
      <c r="E828" s="100"/>
      <c r="F828" s="100"/>
      <c r="G828" s="100"/>
      <c r="H828" s="100"/>
      <c r="I828" s="100"/>
      <c r="J828" s="100"/>
      <c r="K828" s="100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</row>
    <row r="829" spans="1:26" ht="16.5" customHeight="1">
      <c r="A829" s="99"/>
      <c r="B829" s="100"/>
      <c r="C829" s="100"/>
      <c r="D829" s="100"/>
      <c r="E829" s="100"/>
      <c r="F829" s="100"/>
      <c r="G829" s="100"/>
      <c r="H829" s="100"/>
      <c r="I829" s="100"/>
      <c r="J829" s="100"/>
      <c r="K829" s="100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</row>
    <row r="830" spans="1:26" ht="16.5" customHeight="1">
      <c r="A830" s="99"/>
      <c r="B830" s="100"/>
      <c r="C830" s="100"/>
      <c r="D830" s="100"/>
      <c r="E830" s="100"/>
      <c r="F830" s="100"/>
      <c r="G830" s="100"/>
      <c r="H830" s="100"/>
      <c r="I830" s="100"/>
      <c r="J830" s="100"/>
      <c r="K830" s="100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</row>
    <row r="831" spans="1:26" ht="16.5" customHeight="1">
      <c r="A831" s="99"/>
      <c r="B831" s="100"/>
      <c r="C831" s="100"/>
      <c r="D831" s="100"/>
      <c r="E831" s="100"/>
      <c r="F831" s="100"/>
      <c r="G831" s="100"/>
      <c r="H831" s="100"/>
      <c r="I831" s="100"/>
      <c r="J831" s="100"/>
      <c r="K831" s="100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</row>
    <row r="832" spans="1:26" ht="16.5" customHeight="1">
      <c r="A832" s="99"/>
      <c r="B832" s="100"/>
      <c r="C832" s="100"/>
      <c r="D832" s="100"/>
      <c r="E832" s="100"/>
      <c r="F832" s="100"/>
      <c r="G832" s="100"/>
      <c r="H832" s="100"/>
      <c r="I832" s="100"/>
      <c r="J832" s="100"/>
      <c r="K832" s="100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</row>
    <row r="833" spans="1:26" ht="16.5" customHeight="1">
      <c r="A833" s="99"/>
      <c r="B833" s="100"/>
      <c r="C833" s="100"/>
      <c r="D833" s="100"/>
      <c r="E833" s="100"/>
      <c r="F833" s="100"/>
      <c r="G833" s="100"/>
      <c r="H833" s="100"/>
      <c r="I833" s="100"/>
      <c r="J833" s="100"/>
      <c r="K833" s="100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</row>
    <row r="834" spans="1:26" ht="16.5" customHeight="1">
      <c r="A834" s="99"/>
      <c r="B834" s="100"/>
      <c r="C834" s="100"/>
      <c r="D834" s="100"/>
      <c r="E834" s="100"/>
      <c r="F834" s="100"/>
      <c r="G834" s="100"/>
      <c r="H834" s="100"/>
      <c r="I834" s="100"/>
      <c r="J834" s="100"/>
      <c r="K834" s="100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</row>
    <row r="835" spans="1:26" ht="16.5" customHeight="1">
      <c r="A835" s="99"/>
      <c r="B835" s="100"/>
      <c r="C835" s="100"/>
      <c r="D835" s="100"/>
      <c r="E835" s="100"/>
      <c r="F835" s="100"/>
      <c r="G835" s="100"/>
      <c r="H835" s="100"/>
      <c r="I835" s="100"/>
      <c r="J835" s="100"/>
      <c r="K835" s="100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</row>
    <row r="836" spans="1:26" ht="16.5" customHeight="1">
      <c r="A836" s="99"/>
      <c r="B836" s="100"/>
      <c r="C836" s="100"/>
      <c r="D836" s="100"/>
      <c r="E836" s="100"/>
      <c r="F836" s="100"/>
      <c r="G836" s="100"/>
      <c r="H836" s="100"/>
      <c r="I836" s="100"/>
      <c r="J836" s="100"/>
      <c r="K836" s="100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</row>
    <row r="837" spans="1:26" ht="16.5" customHeight="1">
      <c r="A837" s="99"/>
      <c r="B837" s="100"/>
      <c r="C837" s="100"/>
      <c r="D837" s="100"/>
      <c r="E837" s="100"/>
      <c r="F837" s="100"/>
      <c r="G837" s="100"/>
      <c r="H837" s="100"/>
      <c r="I837" s="100"/>
      <c r="J837" s="100"/>
      <c r="K837" s="100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</row>
    <row r="838" spans="1:26" ht="16.5" customHeight="1">
      <c r="A838" s="99"/>
      <c r="B838" s="100"/>
      <c r="C838" s="100"/>
      <c r="D838" s="100"/>
      <c r="E838" s="100"/>
      <c r="F838" s="100"/>
      <c r="G838" s="100"/>
      <c r="H838" s="100"/>
      <c r="I838" s="100"/>
      <c r="J838" s="100"/>
      <c r="K838" s="100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</row>
    <row r="839" spans="1:26" ht="16.5" customHeight="1">
      <c r="A839" s="99"/>
      <c r="B839" s="100"/>
      <c r="C839" s="100"/>
      <c r="D839" s="100"/>
      <c r="E839" s="100"/>
      <c r="F839" s="100"/>
      <c r="G839" s="100"/>
      <c r="H839" s="100"/>
      <c r="I839" s="100"/>
      <c r="J839" s="100"/>
      <c r="K839" s="100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</row>
    <row r="840" spans="1:26" ht="16.5" customHeight="1">
      <c r="A840" s="99"/>
      <c r="B840" s="100"/>
      <c r="C840" s="100"/>
      <c r="D840" s="100"/>
      <c r="E840" s="100"/>
      <c r="F840" s="100"/>
      <c r="G840" s="100"/>
      <c r="H840" s="100"/>
      <c r="I840" s="100"/>
      <c r="J840" s="100"/>
      <c r="K840" s="100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</row>
    <row r="841" spans="1:26" ht="16.5" customHeight="1">
      <c r="A841" s="99"/>
      <c r="B841" s="100"/>
      <c r="C841" s="100"/>
      <c r="D841" s="100"/>
      <c r="E841" s="100"/>
      <c r="F841" s="100"/>
      <c r="G841" s="100"/>
      <c r="H841" s="100"/>
      <c r="I841" s="100"/>
      <c r="J841" s="100"/>
      <c r="K841" s="100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</row>
    <row r="842" spans="1:26" ht="16.5" customHeight="1">
      <c r="A842" s="99"/>
      <c r="B842" s="100"/>
      <c r="C842" s="100"/>
      <c r="D842" s="100"/>
      <c r="E842" s="100"/>
      <c r="F842" s="100"/>
      <c r="G842" s="100"/>
      <c r="H842" s="100"/>
      <c r="I842" s="100"/>
      <c r="J842" s="100"/>
      <c r="K842" s="100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</row>
    <row r="843" spans="1:26" ht="16.5" customHeight="1">
      <c r="A843" s="99"/>
      <c r="B843" s="100"/>
      <c r="C843" s="100"/>
      <c r="D843" s="100"/>
      <c r="E843" s="100"/>
      <c r="F843" s="100"/>
      <c r="G843" s="100"/>
      <c r="H843" s="100"/>
      <c r="I843" s="100"/>
      <c r="J843" s="100"/>
      <c r="K843" s="100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</row>
    <row r="844" spans="1:26" ht="16.5" customHeight="1">
      <c r="A844" s="99"/>
      <c r="B844" s="100"/>
      <c r="C844" s="100"/>
      <c r="D844" s="100"/>
      <c r="E844" s="100"/>
      <c r="F844" s="100"/>
      <c r="G844" s="100"/>
      <c r="H844" s="100"/>
      <c r="I844" s="100"/>
      <c r="J844" s="100"/>
      <c r="K844" s="100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</row>
    <row r="845" spans="1:26" ht="16.5" customHeight="1">
      <c r="A845" s="99"/>
      <c r="B845" s="100"/>
      <c r="C845" s="100"/>
      <c r="D845" s="100"/>
      <c r="E845" s="100"/>
      <c r="F845" s="100"/>
      <c r="G845" s="100"/>
      <c r="H845" s="100"/>
      <c r="I845" s="100"/>
      <c r="J845" s="100"/>
      <c r="K845" s="100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</row>
    <row r="846" spans="1:26" ht="16.5" customHeight="1">
      <c r="A846" s="99"/>
      <c r="B846" s="100"/>
      <c r="C846" s="100"/>
      <c r="D846" s="100"/>
      <c r="E846" s="100"/>
      <c r="F846" s="100"/>
      <c r="G846" s="100"/>
      <c r="H846" s="100"/>
      <c r="I846" s="100"/>
      <c r="J846" s="100"/>
      <c r="K846" s="100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</row>
    <row r="847" spans="1:26" ht="16.5" customHeight="1">
      <c r="A847" s="99"/>
      <c r="B847" s="100"/>
      <c r="C847" s="100"/>
      <c r="D847" s="100"/>
      <c r="E847" s="100"/>
      <c r="F847" s="100"/>
      <c r="G847" s="100"/>
      <c r="H847" s="100"/>
      <c r="I847" s="100"/>
      <c r="J847" s="100"/>
      <c r="K847" s="100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</row>
    <row r="848" spans="1:26" ht="16.5" customHeight="1">
      <c r="A848" s="99"/>
      <c r="B848" s="100"/>
      <c r="C848" s="100"/>
      <c r="D848" s="100"/>
      <c r="E848" s="100"/>
      <c r="F848" s="100"/>
      <c r="G848" s="100"/>
      <c r="H848" s="100"/>
      <c r="I848" s="100"/>
      <c r="J848" s="100"/>
      <c r="K848" s="100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</row>
    <row r="849" spans="1:26" ht="16.5" customHeight="1">
      <c r="A849" s="99"/>
      <c r="B849" s="100"/>
      <c r="C849" s="100"/>
      <c r="D849" s="100"/>
      <c r="E849" s="100"/>
      <c r="F849" s="100"/>
      <c r="G849" s="100"/>
      <c r="H849" s="100"/>
      <c r="I849" s="100"/>
      <c r="J849" s="100"/>
      <c r="K849" s="100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</row>
    <row r="850" spans="1:26" ht="16.5" customHeight="1">
      <c r="A850" s="99"/>
      <c r="B850" s="100"/>
      <c r="C850" s="100"/>
      <c r="D850" s="100"/>
      <c r="E850" s="100"/>
      <c r="F850" s="100"/>
      <c r="G850" s="100"/>
      <c r="H850" s="100"/>
      <c r="I850" s="100"/>
      <c r="J850" s="100"/>
      <c r="K850" s="100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</row>
    <row r="851" spans="1:26" ht="16.5" customHeight="1">
      <c r="A851" s="99"/>
      <c r="B851" s="100"/>
      <c r="C851" s="100"/>
      <c r="D851" s="100"/>
      <c r="E851" s="100"/>
      <c r="F851" s="100"/>
      <c r="G851" s="100"/>
      <c r="H851" s="100"/>
      <c r="I851" s="100"/>
      <c r="J851" s="100"/>
      <c r="K851" s="100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</row>
    <row r="852" spans="1:26" ht="16.5" customHeight="1">
      <c r="A852" s="99"/>
      <c r="B852" s="100"/>
      <c r="C852" s="100"/>
      <c r="D852" s="100"/>
      <c r="E852" s="100"/>
      <c r="F852" s="100"/>
      <c r="G852" s="100"/>
      <c r="H852" s="100"/>
      <c r="I852" s="100"/>
      <c r="J852" s="100"/>
      <c r="K852" s="100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</row>
    <row r="853" spans="1:26" ht="16.5" customHeight="1">
      <c r="A853" s="99"/>
      <c r="B853" s="100"/>
      <c r="C853" s="100"/>
      <c r="D853" s="100"/>
      <c r="E853" s="100"/>
      <c r="F853" s="100"/>
      <c r="G853" s="100"/>
      <c r="H853" s="100"/>
      <c r="I853" s="100"/>
      <c r="J853" s="100"/>
      <c r="K853" s="100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</row>
    <row r="854" spans="1:26" ht="16.5" customHeight="1">
      <c r="A854" s="99"/>
      <c r="B854" s="100"/>
      <c r="C854" s="100"/>
      <c r="D854" s="100"/>
      <c r="E854" s="100"/>
      <c r="F854" s="100"/>
      <c r="G854" s="100"/>
      <c r="H854" s="100"/>
      <c r="I854" s="100"/>
      <c r="J854" s="100"/>
      <c r="K854" s="100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</row>
    <row r="855" spans="1:26" ht="16.5" customHeight="1">
      <c r="A855" s="99"/>
      <c r="B855" s="100"/>
      <c r="C855" s="100"/>
      <c r="D855" s="100"/>
      <c r="E855" s="100"/>
      <c r="F855" s="100"/>
      <c r="G855" s="100"/>
      <c r="H855" s="100"/>
      <c r="I855" s="100"/>
      <c r="J855" s="100"/>
      <c r="K855" s="100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</row>
    <row r="856" spans="1:26" ht="16.5" customHeight="1">
      <c r="A856" s="99"/>
      <c r="B856" s="100"/>
      <c r="C856" s="100"/>
      <c r="D856" s="100"/>
      <c r="E856" s="100"/>
      <c r="F856" s="100"/>
      <c r="G856" s="100"/>
      <c r="H856" s="100"/>
      <c r="I856" s="100"/>
      <c r="J856" s="100"/>
      <c r="K856" s="100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</row>
    <row r="857" spans="1:26" ht="16.5" customHeight="1">
      <c r="A857" s="99"/>
      <c r="B857" s="100"/>
      <c r="C857" s="100"/>
      <c r="D857" s="100"/>
      <c r="E857" s="100"/>
      <c r="F857" s="100"/>
      <c r="G857" s="100"/>
      <c r="H857" s="100"/>
      <c r="I857" s="100"/>
      <c r="J857" s="100"/>
      <c r="K857" s="100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</row>
    <row r="858" spans="1:26" ht="16.5" customHeight="1">
      <c r="A858" s="99"/>
      <c r="B858" s="100"/>
      <c r="C858" s="100"/>
      <c r="D858" s="100"/>
      <c r="E858" s="100"/>
      <c r="F858" s="100"/>
      <c r="G858" s="100"/>
      <c r="H858" s="100"/>
      <c r="I858" s="100"/>
      <c r="J858" s="100"/>
      <c r="K858" s="100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</row>
    <row r="859" spans="1:26" ht="16.5" customHeight="1">
      <c r="A859" s="99"/>
      <c r="B859" s="100"/>
      <c r="C859" s="100"/>
      <c r="D859" s="100"/>
      <c r="E859" s="100"/>
      <c r="F859" s="100"/>
      <c r="G859" s="100"/>
      <c r="H859" s="100"/>
      <c r="I859" s="100"/>
      <c r="J859" s="100"/>
      <c r="K859" s="100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</row>
    <row r="860" spans="1:26" ht="16.5" customHeight="1">
      <c r="A860" s="99"/>
      <c r="B860" s="100"/>
      <c r="C860" s="100"/>
      <c r="D860" s="100"/>
      <c r="E860" s="100"/>
      <c r="F860" s="100"/>
      <c r="G860" s="100"/>
      <c r="H860" s="100"/>
      <c r="I860" s="100"/>
      <c r="J860" s="100"/>
      <c r="K860" s="100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</row>
    <row r="861" spans="1:26" ht="16.5" customHeight="1">
      <c r="A861" s="99"/>
      <c r="B861" s="100"/>
      <c r="C861" s="100"/>
      <c r="D861" s="100"/>
      <c r="E861" s="100"/>
      <c r="F861" s="100"/>
      <c r="G861" s="100"/>
      <c r="H861" s="100"/>
      <c r="I861" s="100"/>
      <c r="J861" s="100"/>
      <c r="K861" s="100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</row>
    <row r="862" spans="1:26" ht="16.5" customHeight="1">
      <c r="A862" s="99"/>
      <c r="B862" s="100"/>
      <c r="C862" s="100"/>
      <c r="D862" s="100"/>
      <c r="E862" s="100"/>
      <c r="F862" s="100"/>
      <c r="G862" s="100"/>
      <c r="H862" s="100"/>
      <c r="I862" s="100"/>
      <c r="J862" s="100"/>
      <c r="K862" s="100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</row>
    <row r="863" spans="1:26" ht="16.5" customHeight="1">
      <c r="A863" s="99"/>
      <c r="B863" s="100"/>
      <c r="C863" s="100"/>
      <c r="D863" s="100"/>
      <c r="E863" s="100"/>
      <c r="F863" s="100"/>
      <c r="G863" s="100"/>
      <c r="H863" s="100"/>
      <c r="I863" s="100"/>
      <c r="J863" s="100"/>
      <c r="K863" s="100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</row>
    <row r="864" spans="1:26" ht="16.5" customHeight="1">
      <c r="A864" s="99"/>
      <c r="B864" s="100"/>
      <c r="C864" s="100"/>
      <c r="D864" s="100"/>
      <c r="E864" s="100"/>
      <c r="F864" s="100"/>
      <c r="G864" s="100"/>
      <c r="H864" s="100"/>
      <c r="I864" s="100"/>
      <c r="J864" s="100"/>
      <c r="K864" s="100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</row>
    <row r="865" spans="1:26" ht="16.5" customHeight="1">
      <c r="A865" s="99"/>
      <c r="B865" s="100"/>
      <c r="C865" s="100"/>
      <c r="D865" s="100"/>
      <c r="E865" s="100"/>
      <c r="F865" s="100"/>
      <c r="G865" s="100"/>
      <c r="H865" s="100"/>
      <c r="I865" s="100"/>
      <c r="J865" s="100"/>
      <c r="K865" s="100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</row>
    <row r="866" spans="1:26" ht="16.5" customHeight="1">
      <c r="A866" s="99"/>
      <c r="B866" s="100"/>
      <c r="C866" s="100"/>
      <c r="D866" s="100"/>
      <c r="E866" s="100"/>
      <c r="F866" s="100"/>
      <c r="G866" s="100"/>
      <c r="H866" s="100"/>
      <c r="I866" s="100"/>
      <c r="J866" s="100"/>
      <c r="K866" s="100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</row>
    <row r="867" spans="1:26" ht="16.5" customHeight="1">
      <c r="A867" s="99"/>
      <c r="B867" s="100"/>
      <c r="C867" s="100"/>
      <c r="D867" s="100"/>
      <c r="E867" s="100"/>
      <c r="F867" s="100"/>
      <c r="G867" s="100"/>
      <c r="H867" s="100"/>
      <c r="I867" s="100"/>
      <c r="J867" s="100"/>
      <c r="K867" s="100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</row>
    <row r="868" spans="1:26" ht="16.5" customHeight="1">
      <c r="A868" s="99"/>
      <c r="B868" s="100"/>
      <c r="C868" s="100"/>
      <c r="D868" s="100"/>
      <c r="E868" s="100"/>
      <c r="F868" s="100"/>
      <c r="G868" s="100"/>
      <c r="H868" s="100"/>
      <c r="I868" s="100"/>
      <c r="J868" s="100"/>
      <c r="K868" s="100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</row>
    <row r="869" spans="1:26" ht="16.5" customHeight="1">
      <c r="A869" s="99"/>
      <c r="B869" s="100"/>
      <c r="C869" s="100"/>
      <c r="D869" s="100"/>
      <c r="E869" s="100"/>
      <c r="F869" s="100"/>
      <c r="G869" s="100"/>
      <c r="H869" s="100"/>
      <c r="I869" s="100"/>
      <c r="J869" s="100"/>
      <c r="K869" s="100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</row>
    <row r="870" spans="1:26" ht="16.5" customHeight="1">
      <c r="A870" s="99"/>
      <c r="B870" s="100"/>
      <c r="C870" s="100"/>
      <c r="D870" s="100"/>
      <c r="E870" s="100"/>
      <c r="F870" s="100"/>
      <c r="G870" s="100"/>
      <c r="H870" s="100"/>
      <c r="I870" s="100"/>
      <c r="J870" s="100"/>
      <c r="K870" s="100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</row>
    <row r="871" spans="1:26" ht="16.5" customHeight="1">
      <c r="A871" s="99"/>
      <c r="B871" s="100"/>
      <c r="C871" s="100"/>
      <c r="D871" s="100"/>
      <c r="E871" s="100"/>
      <c r="F871" s="100"/>
      <c r="G871" s="100"/>
      <c r="H871" s="100"/>
      <c r="I871" s="100"/>
      <c r="J871" s="100"/>
      <c r="K871" s="100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</row>
    <row r="872" spans="1:26" ht="16.5" customHeight="1">
      <c r="A872" s="99"/>
      <c r="B872" s="100"/>
      <c r="C872" s="100"/>
      <c r="D872" s="100"/>
      <c r="E872" s="100"/>
      <c r="F872" s="100"/>
      <c r="G872" s="100"/>
      <c r="H872" s="100"/>
      <c r="I872" s="100"/>
      <c r="J872" s="100"/>
      <c r="K872" s="100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</row>
    <row r="873" spans="1:26" ht="16.5" customHeight="1">
      <c r="A873" s="99"/>
      <c r="B873" s="100"/>
      <c r="C873" s="100"/>
      <c r="D873" s="100"/>
      <c r="E873" s="100"/>
      <c r="F873" s="100"/>
      <c r="G873" s="100"/>
      <c r="H873" s="100"/>
      <c r="I873" s="100"/>
      <c r="J873" s="100"/>
      <c r="K873" s="100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</row>
    <row r="874" spans="1:26" ht="16.5" customHeight="1">
      <c r="A874" s="99"/>
      <c r="B874" s="100"/>
      <c r="C874" s="100"/>
      <c r="D874" s="100"/>
      <c r="E874" s="100"/>
      <c r="F874" s="100"/>
      <c r="G874" s="100"/>
      <c r="H874" s="100"/>
      <c r="I874" s="100"/>
      <c r="J874" s="100"/>
      <c r="K874" s="100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</row>
    <row r="875" spans="1:26" ht="16.5" customHeight="1">
      <c r="A875" s="99"/>
      <c r="B875" s="100"/>
      <c r="C875" s="100"/>
      <c r="D875" s="100"/>
      <c r="E875" s="100"/>
      <c r="F875" s="100"/>
      <c r="G875" s="100"/>
      <c r="H875" s="100"/>
      <c r="I875" s="100"/>
      <c r="J875" s="100"/>
      <c r="K875" s="100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</row>
    <row r="876" spans="1:26" ht="16.5" customHeight="1">
      <c r="A876" s="99"/>
      <c r="B876" s="100"/>
      <c r="C876" s="100"/>
      <c r="D876" s="100"/>
      <c r="E876" s="100"/>
      <c r="F876" s="100"/>
      <c r="G876" s="100"/>
      <c r="H876" s="100"/>
      <c r="I876" s="100"/>
      <c r="J876" s="100"/>
      <c r="K876" s="100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</row>
    <row r="877" spans="1:26" ht="16.5" customHeight="1">
      <c r="A877" s="99"/>
      <c r="B877" s="100"/>
      <c r="C877" s="100"/>
      <c r="D877" s="100"/>
      <c r="E877" s="100"/>
      <c r="F877" s="100"/>
      <c r="G877" s="100"/>
      <c r="H877" s="100"/>
      <c r="I877" s="100"/>
      <c r="J877" s="100"/>
      <c r="K877" s="100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</row>
    <row r="878" spans="1:26" ht="16.5" customHeight="1">
      <c r="A878" s="99"/>
      <c r="B878" s="100"/>
      <c r="C878" s="100"/>
      <c r="D878" s="100"/>
      <c r="E878" s="100"/>
      <c r="F878" s="100"/>
      <c r="G878" s="100"/>
      <c r="H878" s="100"/>
      <c r="I878" s="100"/>
      <c r="J878" s="100"/>
      <c r="K878" s="100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</row>
    <row r="879" spans="1:26" ht="16.5" customHeight="1">
      <c r="A879" s="99"/>
      <c r="B879" s="100"/>
      <c r="C879" s="100"/>
      <c r="D879" s="100"/>
      <c r="E879" s="100"/>
      <c r="F879" s="100"/>
      <c r="G879" s="100"/>
      <c r="H879" s="100"/>
      <c r="I879" s="100"/>
      <c r="J879" s="100"/>
      <c r="K879" s="100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</row>
    <row r="880" spans="1:26" ht="16.5" customHeight="1">
      <c r="A880" s="99"/>
      <c r="B880" s="100"/>
      <c r="C880" s="100"/>
      <c r="D880" s="100"/>
      <c r="E880" s="100"/>
      <c r="F880" s="100"/>
      <c r="G880" s="100"/>
      <c r="H880" s="100"/>
      <c r="I880" s="100"/>
      <c r="J880" s="100"/>
      <c r="K880" s="100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</row>
    <row r="881" spans="1:26" ht="16.5" customHeight="1">
      <c r="A881" s="99"/>
      <c r="B881" s="100"/>
      <c r="C881" s="100"/>
      <c r="D881" s="100"/>
      <c r="E881" s="100"/>
      <c r="F881" s="100"/>
      <c r="G881" s="100"/>
      <c r="H881" s="100"/>
      <c r="I881" s="100"/>
      <c r="J881" s="100"/>
      <c r="K881" s="100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</row>
    <row r="882" spans="1:26" ht="16.5" customHeight="1">
      <c r="A882" s="99"/>
      <c r="B882" s="100"/>
      <c r="C882" s="100"/>
      <c r="D882" s="100"/>
      <c r="E882" s="100"/>
      <c r="F882" s="100"/>
      <c r="G882" s="100"/>
      <c r="H882" s="100"/>
      <c r="I882" s="100"/>
      <c r="J882" s="100"/>
      <c r="K882" s="100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</row>
    <row r="883" spans="1:26" ht="16.5" customHeight="1">
      <c r="A883" s="99"/>
      <c r="B883" s="100"/>
      <c r="C883" s="100"/>
      <c r="D883" s="100"/>
      <c r="E883" s="100"/>
      <c r="F883" s="100"/>
      <c r="G883" s="100"/>
      <c r="H883" s="100"/>
      <c r="I883" s="100"/>
      <c r="J883" s="100"/>
      <c r="K883" s="100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</row>
    <row r="884" spans="1:26" ht="16.5" customHeight="1">
      <c r="A884" s="99"/>
      <c r="B884" s="100"/>
      <c r="C884" s="100"/>
      <c r="D884" s="100"/>
      <c r="E884" s="100"/>
      <c r="F884" s="100"/>
      <c r="G884" s="100"/>
      <c r="H884" s="100"/>
      <c r="I884" s="100"/>
      <c r="J884" s="100"/>
      <c r="K884" s="100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</row>
    <row r="885" spans="1:26" ht="16.5" customHeight="1">
      <c r="A885" s="99"/>
      <c r="B885" s="100"/>
      <c r="C885" s="100"/>
      <c r="D885" s="100"/>
      <c r="E885" s="100"/>
      <c r="F885" s="100"/>
      <c r="G885" s="100"/>
      <c r="H885" s="100"/>
      <c r="I885" s="100"/>
      <c r="J885" s="100"/>
      <c r="K885" s="100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</row>
    <row r="886" spans="1:26" ht="16.5" customHeight="1">
      <c r="A886" s="99"/>
      <c r="B886" s="100"/>
      <c r="C886" s="100"/>
      <c r="D886" s="100"/>
      <c r="E886" s="100"/>
      <c r="F886" s="100"/>
      <c r="G886" s="100"/>
      <c r="H886" s="100"/>
      <c r="I886" s="100"/>
      <c r="J886" s="100"/>
      <c r="K886" s="100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</row>
    <row r="887" spans="1:26" ht="16.5" customHeight="1">
      <c r="A887" s="99"/>
      <c r="B887" s="100"/>
      <c r="C887" s="100"/>
      <c r="D887" s="100"/>
      <c r="E887" s="100"/>
      <c r="F887" s="100"/>
      <c r="G887" s="100"/>
      <c r="H887" s="100"/>
      <c r="I887" s="100"/>
      <c r="J887" s="100"/>
      <c r="K887" s="100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</row>
    <row r="888" spans="1:26" ht="16.5" customHeight="1">
      <c r="A888" s="99"/>
      <c r="B888" s="100"/>
      <c r="C888" s="100"/>
      <c r="D888" s="100"/>
      <c r="E888" s="100"/>
      <c r="F888" s="100"/>
      <c r="G888" s="100"/>
      <c r="H888" s="100"/>
      <c r="I888" s="100"/>
      <c r="J888" s="100"/>
      <c r="K888" s="100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</row>
    <row r="889" spans="1:26" ht="16.5" customHeight="1">
      <c r="A889" s="99"/>
      <c r="B889" s="100"/>
      <c r="C889" s="100"/>
      <c r="D889" s="100"/>
      <c r="E889" s="100"/>
      <c r="F889" s="100"/>
      <c r="G889" s="100"/>
      <c r="H889" s="100"/>
      <c r="I889" s="100"/>
      <c r="J889" s="100"/>
      <c r="K889" s="100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</row>
    <row r="890" spans="1:26" ht="16.5" customHeight="1">
      <c r="A890" s="99"/>
      <c r="B890" s="100"/>
      <c r="C890" s="100"/>
      <c r="D890" s="100"/>
      <c r="E890" s="100"/>
      <c r="F890" s="100"/>
      <c r="G890" s="100"/>
      <c r="H890" s="100"/>
      <c r="I890" s="100"/>
      <c r="J890" s="100"/>
      <c r="K890" s="100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</row>
    <row r="891" spans="1:26" ht="16.5" customHeight="1">
      <c r="A891" s="99"/>
      <c r="B891" s="100"/>
      <c r="C891" s="100"/>
      <c r="D891" s="100"/>
      <c r="E891" s="100"/>
      <c r="F891" s="100"/>
      <c r="G891" s="100"/>
      <c r="H891" s="100"/>
      <c r="I891" s="100"/>
      <c r="J891" s="100"/>
      <c r="K891" s="100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</row>
    <row r="892" spans="1:26" ht="16.5" customHeight="1">
      <c r="A892" s="99"/>
      <c r="B892" s="100"/>
      <c r="C892" s="100"/>
      <c r="D892" s="100"/>
      <c r="E892" s="100"/>
      <c r="F892" s="100"/>
      <c r="G892" s="100"/>
      <c r="H892" s="100"/>
      <c r="I892" s="100"/>
      <c r="J892" s="100"/>
      <c r="K892" s="100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</row>
    <row r="893" spans="1:26" ht="16.5" customHeight="1">
      <c r="A893" s="99"/>
      <c r="B893" s="100"/>
      <c r="C893" s="100"/>
      <c r="D893" s="100"/>
      <c r="E893" s="100"/>
      <c r="F893" s="100"/>
      <c r="G893" s="100"/>
      <c r="H893" s="100"/>
      <c r="I893" s="100"/>
      <c r="J893" s="100"/>
      <c r="K893" s="100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</row>
    <row r="894" spans="1:26" ht="16.5" customHeight="1">
      <c r="A894" s="99"/>
      <c r="B894" s="100"/>
      <c r="C894" s="100"/>
      <c r="D894" s="100"/>
      <c r="E894" s="100"/>
      <c r="F894" s="100"/>
      <c r="G894" s="100"/>
      <c r="H894" s="100"/>
      <c r="I894" s="100"/>
      <c r="J894" s="100"/>
      <c r="K894" s="100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</row>
    <row r="895" spans="1:26" ht="16.5" customHeight="1">
      <c r="A895" s="99"/>
      <c r="B895" s="100"/>
      <c r="C895" s="100"/>
      <c r="D895" s="100"/>
      <c r="E895" s="100"/>
      <c r="F895" s="100"/>
      <c r="G895" s="100"/>
      <c r="H895" s="100"/>
      <c r="I895" s="100"/>
      <c r="J895" s="100"/>
      <c r="K895" s="100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</row>
    <row r="896" spans="1:26" ht="16.5" customHeight="1">
      <c r="A896" s="99"/>
      <c r="B896" s="100"/>
      <c r="C896" s="100"/>
      <c r="D896" s="100"/>
      <c r="E896" s="100"/>
      <c r="F896" s="100"/>
      <c r="G896" s="100"/>
      <c r="H896" s="100"/>
      <c r="I896" s="100"/>
      <c r="J896" s="100"/>
      <c r="K896" s="100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</row>
    <row r="897" spans="1:26" ht="16.5" customHeight="1">
      <c r="A897" s="99"/>
      <c r="B897" s="100"/>
      <c r="C897" s="100"/>
      <c r="D897" s="100"/>
      <c r="E897" s="100"/>
      <c r="F897" s="100"/>
      <c r="G897" s="100"/>
      <c r="H897" s="100"/>
      <c r="I897" s="100"/>
      <c r="J897" s="100"/>
      <c r="K897" s="100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</row>
    <row r="898" spans="1:26" ht="16.5" customHeight="1">
      <c r="A898" s="99"/>
      <c r="B898" s="100"/>
      <c r="C898" s="100"/>
      <c r="D898" s="100"/>
      <c r="E898" s="100"/>
      <c r="F898" s="100"/>
      <c r="G898" s="100"/>
      <c r="H898" s="100"/>
      <c r="I898" s="100"/>
      <c r="J898" s="100"/>
      <c r="K898" s="100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</row>
    <row r="899" spans="1:26" ht="16.5" customHeight="1">
      <c r="A899" s="99"/>
      <c r="B899" s="100"/>
      <c r="C899" s="100"/>
      <c r="D899" s="100"/>
      <c r="E899" s="100"/>
      <c r="F899" s="100"/>
      <c r="G899" s="100"/>
      <c r="H899" s="100"/>
      <c r="I899" s="100"/>
      <c r="J899" s="100"/>
      <c r="K899" s="100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</row>
    <row r="900" spans="1:26" ht="16.5" customHeight="1">
      <c r="A900" s="99"/>
      <c r="B900" s="100"/>
      <c r="C900" s="100"/>
      <c r="D900" s="100"/>
      <c r="E900" s="100"/>
      <c r="F900" s="100"/>
      <c r="G900" s="100"/>
      <c r="H900" s="100"/>
      <c r="I900" s="100"/>
      <c r="J900" s="100"/>
      <c r="K900" s="100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</row>
    <row r="901" spans="1:26" ht="16.5" customHeight="1">
      <c r="A901" s="99"/>
      <c r="B901" s="100"/>
      <c r="C901" s="100"/>
      <c r="D901" s="100"/>
      <c r="E901" s="100"/>
      <c r="F901" s="100"/>
      <c r="G901" s="100"/>
      <c r="H901" s="100"/>
      <c r="I901" s="100"/>
      <c r="J901" s="100"/>
      <c r="K901" s="100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</row>
    <row r="902" spans="1:26" ht="16.5" customHeight="1">
      <c r="A902" s="99"/>
      <c r="B902" s="100"/>
      <c r="C902" s="100"/>
      <c r="D902" s="100"/>
      <c r="E902" s="100"/>
      <c r="F902" s="100"/>
      <c r="G902" s="100"/>
      <c r="H902" s="100"/>
      <c r="I902" s="100"/>
      <c r="J902" s="100"/>
      <c r="K902" s="100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</row>
    <row r="903" spans="1:26" ht="16.5" customHeight="1">
      <c r="A903" s="99"/>
      <c r="B903" s="100"/>
      <c r="C903" s="100"/>
      <c r="D903" s="100"/>
      <c r="E903" s="100"/>
      <c r="F903" s="100"/>
      <c r="G903" s="100"/>
      <c r="H903" s="100"/>
      <c r="I903" s="100"/>
      <c r="J903" s="100"/>
      <c r="K903" s="100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</row>
    <row r="904" spans="1:26" ht="16.5" customHeight="1">
      <c r="A904" s="99"/>
      <c r="B904" s="100"/>
      <c r="C904" s="100"/>
      <c r="D904" s="100"/>
      <c r="E904" s="100"/>
      <c r="F904" s="100"/>
      <c r="G904" s="100"/>
      <c r="H904" s="100"/>
      <c r="I904" s="100"/>
      <c r="J904" s="100"/>
      <c r="K904" s="100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</row>
    <row r="905" spans="1:26" ht="16.5" customHeight="1">
      <c r="A905" s="99"/>
      <c r="B905" s="100"/>
      <c r="C905" s="100"/>
      <c r="D905" s="100"/>
      <c r="E905" s="100"/>
      <c r="F905" s="100"/>
      <c r="G905" s="100"/>
      <c r="H905" s="100"/>
      <c r="I905" s="100"/>
      <c r="J905" s="100"/>
      <c r="K905" s="100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</row>
    <row r="906" spans="1:26" ht="16.5" customHeight="1">
      <c r="A906" s="99"/>
      <c r="B906" s="100"/>
      <c r="C906" s="100"/>
      <c r="D906" s="100"/>
      <c r="E906" s="100"/>
      <c r="F906" s="100"/>
      <c r="G906" s="100"/>
      <c r="H906" s="100"/>
      <c r="I906" s="100"/>
      <c r="J906" s="100"/>
      <c r="K906" s="100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</row>
    <row r="907" spans="1:26" ht="16.5" customHeight="1">
      <c r="A907" s="99"/>
      <c r="B907" s="100"/>
      <c r="C907" s="100"/>
      <c r="D907" s="100"/>
      <c r="E907" s="100"/>
      <c r="F907" s="100"/>
      <c r="G907" s="100"/>
      <c r="H907" s="100"/>
      <c r="I907" s="100"/>
      <c r="J907" s="100"/>
      <c r="K907" s="100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</row>
    <row r="908" spans="1:26" ht="16.5" customHeight="1">
      <c r="A908" s="99"/>
      <c r="B908" s="100"/>
      <c r="C908" s="100"/>
      <c r="D908" s="100"/>
      <c r="E908" s="100"/>
      <c r="F908" s="100"/>
      <c r="G908" s="100"/>
      <c r="H908" s="100"/>
      <c r="I908" s="100"/>
      <c r="J908" s="100"/>
      <c r="K908" s="100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</row>
    <row r="909" spans="1:26" ht="16.5" customHeight="1">
      <c r="A909" s="99"/>
      <c r="B909" s="100"/>
      <c r="C909" s="100"/>
      <c r="D909" s="100"/>
      <c r="E909" s="100"/>
      <c r="F909" s="100"/>
      <c r="G909" s="100"/>
      <c r="H909" s="100"/>
      <c r="I909" s="100"/>
      <c r="J909" s="100"/>
      <c r="K909" s="100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</row>
    <row r="910" spans="1:26" ht="16.5" customHeight="1">
      <c r="A910" s="99"/>
      <c r="B910" s="100"/>
      <c r="C910" s="100"/>
      <c r="D910" s="100"/>
      <c r="E910" s="100"/>
      <c r="F910" s="100"/>
      <c r="G910" s="100"/>
      <c r="H910" s="100"/>
      <c r="I910" s="100"/>
      <c r="J910" s="100"/>
      <c r="K910" s="100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</row>
    <row r="911" spans="1:26" ht="16.5" customHeight="1">
      <c r="A911" s="99"/>
      <c r="B911" s="100"/>
      <c r="C911" s="100"/>
      <c r="D911" s="100"/>
      <c r="E911" s="100"/>
      <c r="F911" s="100"/>
      <c r="G911" s="100"/>
      <c r="H911" s="100"/>
      <c r="I911" s="100"/>
      <c r="J911" s="100"/>
      <c r="K911" s="100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</row>
    <row r="912" spans="1:26" ht="16.5" customHeight="1">
      <c r="A912" s="99"/>
      <c r="B912" s="100"/>
      <c r="C912" s="100"/>
      <c r="D912" s="100"/>
      <c r="E912" s="100"/>
      <c r="F912" s="100"/>
      <c r="G912" s="100"/>
      <c r="H912" s="100"/>
      <c r="I912" s="100"/>
      <c r="J912" s="100"/>
      <c r="K912" s="100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</row>
    <row r="913" spans="1:26" ht="16.5" customHeight="1">
      <c r="A913" s="99"/>
      <c r="B913" s="100"/>
      <c r="C913" s="100"/>
      <c r="D913" s="100"/>
      <c r="E913" s="100"/>
      <c r="F913" s="100"/>
      <c r="G913" s="100"/>
      <c r="H913" s="100"/>
      <c r="I913" s="100"/>
      <c r="J913" s="100"/>
      <c r="K913" s="100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</row>
    <row r="914" spans="1:26" ht="16.5" customHeight="1">
      <c r="A914" s="99"/>
      <c r="B914" s="100"/>
      <c r="C914" s="100"/>
      <c r="D914" s="100"/>
      <c r="E914" s="100"/>
      <c r="F914" s="100"/>
      <c r="G914" s="100"/>
      <c r="H914" s="100"/>
      <c r="I914" s="100"/>
      <c r="J914" s="100"/>
      <c r="K914" s="100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</row>
    <row r="915" spans="1:26" ht="16.5" customHeight="1">
      <c r="A915" s="99"/>
      <c r="B915" s="100"/>
      <c r="C915" s="100"/>
      <c r="D915" s="100"/>
      <c r="E915" s="100"/>
      <c r="F915" s="100"/>
      <c r="G915" s="100"/>
      <c r="H915" s="100"/>
      <c r="I915" s="100"/>
      <c r="J915" s="100"/>
      <c r="K915" s="100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</row>
    <row r="916" spans="1:26" ht="16.5" customHeight="1">
      <c r="A916" s="99"/>
      <c r="B916" s="100"/>
      <c r="C916" s="100"/>
      <c r="D916" s="100"/>
      <c r="E916" s="100"/>
      <c r="F916" s="100"/>
      <c r="G916" s="100"/>
      <c r="H916" s="100"/>
      <c r="I916" s="100"/>
      <c r="J916" s="100"/>
      <c r="K916" s="100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</row>
    <row r="917" spans="1:26" ht="16.5" customHeight="1">
      <c r="A917" s="99"/>
      <c r="B917" s="100"/>
      <c r="C917" s="100"/>
      <c r="D917" s="100"/>
      <c r="E917" s="100"/>
      <c r="F917" s="100"/>
      <c r="G917" s="100"/>
      <c r="H917" s="100"/>
      <c r="I917" s="100"/>
      <c r="J917" s="100"/>
      <c r="K917" s="100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</row>
    <row r="918" spans="1:26" ht="16.5" customHeight="1">
      <c r="A918" s="99"/>
      <c r="B918" s="100"/>
      <c r="C918" s="100"/>
      <c r="D918" s="100"/>
      <c r="E918" s="100"/>
      <c r="F918" s="100"/>
      <c r="G918" s="100"/>
      <c r="H918" s="100"/>
      <c r="I918" s="100"/>
      <c r="J918" s="100"/>
      <c r="K918" s="100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</row>
    <row r="919" spans="1:26" ht="16.5" customHeight="1">
      <c r="A919" s="99"/>
      <c r="B919" s="100"/>
      <c r="C919" s="100"/>
      <c r="D919" s="100"/>
      <c r="E919" s="100"/>
      <c r="F919" s="100"/>
      <c r="G919" s="100"/>
      <c r="H919" s="100"/>
      <c r="I919" s="100"/>
      <c r="J919" s="100"/>
      <c r="K919" s="100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</row>
    <row r="920" spans="1:26" ht="16.5" customHeight="1">
      <c r="A920" s="99"/>
      <c r="B920" s="100"/>
      <c r="C920" s="100"/>
      <c r="D920" s="100"/>
      <c r="E920" s="100"/>
      <c r="F920" s="100"/>
      <c r="G920" s="100"/>
      <c r="H920" s="100"/>
      <c r="I920" s="100"/>
      <c r="J920" s="100"/>
      <c r="K920" s="100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</row>
    <row r="921" spans="1:26" ht="16.5" customHeight="1">
      <c r="A921" s="99"/>
      <c r="B921" s="100"/>
      <c r="C921" s="100"/>
      <c r="D921" s="100"/>
      <c r="E921" s="100"/>
      <c r="F921" s="100"/>
      <c r="G921" s="100"/>
      <c r="H921" s="100"/>
      <c r="I921" s="100"/>
      <c r="J921" s="100"/>
      <c r="K921" s="100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</row>
    <row r="922" spans="1:26" ht="16.5" customHeight="1">
      <c r="A922" s="99"/>
      <c r="B922" s="100"/>
      <c r="C922" s="100"/>
      <c r="D922" s="100"/>
      <c r="E922" s="100"/>
      <c r="F922" s="100"/>
      <c r="G922" s="100"/>
      <c r="H922" s="100"/>
      <c r="I922" s="100"/>
      <c r="J922" s="100"/>
      <c r="K922" s="100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</row>
    <row r="923" spans="1:26" ht="16.5" customHeight="1">
      <c r="A923" s="99"/>
      <c r="B923" s="100"/>
      <c r="C923" s="100"/>
      <c r="D923" s="100"/>
      <c r="E923" s="100"/>
      <c r="F923" s="100"/>
      <c r="G923" s="100"/>
      <c r="H923" s="100"/>
      <c r="I923" s="100"/>
      <c r="J923" s="100"/>
      <c r="K923" s="100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</row>
    <row r="924" spans="1:26" ht="16.5" customHeight="1">
      <c r="A924" s="99"/>
      <c r="B924" s="100"/>
      <c r="C924" s="100"/>
      <c r="D924" s="100"/>
      <c r="E924" s="100"/>
      <c r="F924" s="100"/>
      <c r="G924" s="100"/>
      <c r="H924" s="100"/>
      <c r="I924" s="100"/>
      <c r="J924" s="100"/>
      <c r="K924" s="100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</row>
    <row r="925" spans="1:26" ht="16.5" customHeight="1">
      <c r="A925" s="99"/>
      <c r="B925" s="100"/>
      <c r="C925" s="100"/>
      <c r="D925" s="100"/>
      <c r="E925" s="100"/>
      <c r="F925" s="100"/>
      <c r="G925" s="100"/>
      <c r="H925" s="100"/>
      <c r="I925" s="100"/>
      <c r="J925" s="100"/>
      <c r="K925" s="100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</row>
    <row r="926" spans="1:26" ht="16.5" customHeight="1">
      <c r="A926" s="99"/>
      <c r="B926" s="100"/>
      <c r="C926" s="100"/>
      <c r="D926" s="100"/>
      <c r="E926" s="100"/>
      <c r="F926" s="100"/>
      <c r="G926" s="100"/>
      <c r="H926" s="100"/>
      <c r="I926" s="100"/>
      <c r="J926" s="100"/>
      <c r="K926" s="100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</row>
    <row r="927" spans="1:26" ht="16.5" customHeight="1">
      <c r="A927" s="99"/>
      <c r="B927" s="100"/>
      <c r="C927" s="100"/>
      <c r="D927" s="100"/>
      <c r="E927" s="100"/>
      <c r="F927" s="100"/>
      <c r="G927" s="100"/>
      <c r="H927" s="100"/>
      <c r="I927" s="100"/>
      <c r="J927" s="100"/>
      <c r="K927" s="100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</row>
    <row r="928" spans="1:26" ht="16.5" customHeight="1">
      <c r="A928" s="99"/>
      <c r="B928" s="100"/>
      <c r="C928" s="100"/>
      <c r="D928" s="100"/>
      <c r="E928" s="100"/>
      <c r="F928" s="100"/>
      <c r="G928" s="100"/>
      <c r="H928" s="100"/>
      <c r="I928" s="100"/>
      <c r="J928" s="100"/>
      <c r="K928" s="100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</row>
    <row r="929" spans="1:26" ht="16.5" customHeight="1">
      <c r="A929" s="99"/>
      <c r="B929" s="100"/>
      <c r="C929" s="100"/>
      <c r="D929" s="100"/>
      <c r="E929" s="100"/>
      <c r="F929" s="100"/>
      <c r="G929" s="100"/>
      <c r="H929" s="100"/>
      <c r="I929" s="100"/>
      <c r="J929" s="100"/>
      <c r="K929" s="100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</row>
    <row r="930" spans="1:26" ht="16.5" customHeight="1">
      <c r="A930" s="99"/>
      <c r="B930" s="100"/>
      <c r="C930" s="100"/>
      <c r="D930" s="100"/>
      <c r="E930" s="100"/>
      <c r="F930" s="100"/>
      <c r="G930" s="100"/>
      <c r="H930" s="100"/>
      <c r="I930" s="100"/>
      <c r="J930" s="100"/>
      <c r="K930" s="100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</row>
    <row r="931" spans="1:26" ht="16.5" customHeight="1">
      <c r="A931" s="99"/>
      <c r="B931" s="100"/>
      <c r="C931" s="100"/>
      <c r="D931" s="100"/>
      <c r="E931" s="100"/>
      <c r="F931" s="100"/>
      <c r="G931" s="100"/>
      <c r="H931" s="100"/>
      <c r="I931" s="100"/>
      <c r="J931" s="100"/>
      <c r="K931" s="100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</row>
    <row r="932" spans="1:26" ht="16.5" customHeight="1">
      <c r="A932" s="99"/>
      <c r="B932" s="100"/>
      <c r="C932" s="100"/>
      <c r="D932" s="100"/>
      <c r="E932" s="100"/>
      <c r="F932" s="100"/>
      <c r="G932" s="100"/>
      <c r="H932" s="100"/>
      <c r="I932" s="100"/>
      <c r="J932" s="100"/>
      <c r="K932" s="100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</row>
    <row r="933" spans="1:26" ht="16.5" customHeight="1">
      <c r="A933" s="99"/>
      <c r="B933" s="100"/>
      <c r="C933" s="100"/>
      <c r="D933" s="100"/>
      <c r="E933" s="100"/>
      <c r="F933" s="100"/>
      <c r="G933" s="100"/>
      <c r="H933" s="100"/>
      <c r="I933" s="100"/>
      <c r="J933" s="100"/>
      <c r="K933" s="100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</row>
    <row r="934" spans="1:26" ht="16.5" customHeight="1">
      <c r="A934" s="99"/>
      <c r="B934" s="100"/>
      <c r="C934" s="100"/>
      <c r="D934" s="100"/>
      <c r="E934" s="100"/>
      <c r="F934" s="100"/>
      <c r="G934" s="100"/>
      <c r="H934" s="100"/>
      <c r="I934" s="100"/>
      <c r="J934" s="100"/>
      <c r="K934" s="100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</row>
    <row r="935" spans="1:26" ht="16.5" customHeight="1">
      <c r="A935" s="99"/>
      <c r="B935" s="100"/>
      <c r="C935" s="100"/>
      <c r="D935" s="100"/>
      <c r="E935" s="100"/>
      <c r="F935" s="100"/>
      <c r="G935" s="100"/>
      <c r="H935" s="100"/>
      <c r="I935" s="100"/>
      <c r="J935" s="100"/>
      <c r="K935" s="100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</row>
    <row r="936" spans="1:26" ht="16.5" customHeight="1">
      <c r="A936" s="99"/>
      <c r="B936" s="100"/>
      <c r="C936" s="100"/>
      <c r="D936" s="100"/>
      <c r="E936" s="100"/>
      <c r="F936" s="100"/>
      <c r="G936" s="100"/>
      <c r="H936" s="100"/>
      <c r="I936" s="100"/>
      <c r="J936" s="100"/>
      <c r="K936" s="100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</row>
    <row r="937" spans="1:26" ht="16.5" customHeight="1">
      <c r="A937" s="99"/>
      <c r="B937" s="100"/>
      <c r="C937" s="100"/>
      <c r="D937" s="100"/>
      <c r="E937" s="100"/>
      <c r="F937" s="100"/>
      <c r="G937" s="100"/>
      <c r="H937" s="100"/>
      <c r="I937" s="100"/>
      <c r="J937" s="100"/>
      <c r="K937" s="100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</row>
    <row r="938" spans="1:26" ht="16.5" customHeight="1">
      <c r="A938" s="99"/>
      <c r="B938" s="100"/>
      <c r="C938" s="100"/>
      <c r="D938" s="100"/>
      <c r="E938" s="100"/>
      <c r="F938" s="100"/>
      <c r="G938" s="100"/>
      <c r="H938" s="100"/>
      <c r="I938" s="100"/>
      <c r="J938" s="100"/>
      <c r="K938" s="100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</row>
    <row r="939" spans="1:26" ht="16.5" customHeight="1">
      <c r="A939" s="99"/>
      <c r="B939" s="100"/>
      <c r="C939" s="100"/>
      <c r="D939" s="100"/>
      <c r="E939" s="100"/>
      <c r="F939" s="100"/>
      <c r="G939" s="100"/>
      <c r="H939" s="100"/>
      <c r="I939" s="100"/>
      <c r="J939" s="100"/>
      <c r="K939" s="100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</row>
    <row r="940" spans="1:26" ht="16.5" customHeight="1">
      <c r="A940" s="99"/>
      <c r="B940" s="100"/>
      <c r="C940" s="100"/>
      <c r="D940" s="100"/>
      <c r="E940" s="100"/>
      <c r="F940" s="100"/>
      <c r="G940" s="100"/>
      <c r="H940" s="100"/>
      <c r="I940" s="100"/>
      <c r="J940" s="100"/>
      <c r="K940" s="100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</row>
    <row r="941" spans="1:26" ht="16.5" customHeight="1">
      <c r="A941" s="99"/>
      <c r="B941" s="100"/>
      <c r="C941" s="100"/>
      <c r="D941" s="100"/>
      <c r="E941" s="100"/>
      <c r="F941" s="100"/>
      <c r="G941" s="100"/>
      <c r="H941" s="100"/>
      <c r="I941" s="100"/>
      <c r="J941" s="100"/>
      <c r="K941" s="100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</row>
    <row r="942" spans="1:26" ht="16.5" customHeight="1">
      <c r="A942" s="99"/>
      <c r="B942" s="100"/>
      <c r="C942" s="100"/>
      <c r="D942" s="100"/>
      <c r="E942" s="100"/>
      <c r="F942" s="100"/>
      <c r="G942" s="100"/>
      <c r="H942" s="100"/>
      <c r="I942" s="100"/>
      <c r="J942" s="100"/>
      <c r="K942" s="100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</row>
    <row r="943" spans="1:26" ht="16.5" customHeight="1">
      <c r="A943" s="99"/>
      <c r="B943" s="100"/>
      <c r="C943" s="100"/>
      <c r="D943" s="100"/>
      <c r="E943" s="100"/>
      <c r="F943" s="100"/>
      <c r="G943" s="100"/>
      <c r="H943" s="100"/>
      <c r="I943" s="100"/>
      <c r="J943" s="100"/>
      <c r="K943" s="100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</row>
    <row r="944" spans="1:26" ht="16.5" customHeight="1">
      <c r="A944" s="99"/>
      <c r="B944" s="100"/>
      <c r="C944" s="100"/>
      <c r="D944" s="100"/>
      <c r="E944" s="100"/>
      <c r="F944" s="100"/>
      <c r="G944" s="100"/>
      <c r="H944" s="100"/>
      <c r="I944" s="100"/>
      <c r="J944" s="100"/>
      <c r="K944" s="100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</row>
    <row r="945" spans="1:26" ht="16.5" customHeight="1">
      <c r="A945" s="99"/>
      <c r="B945" s="100"/>
      <c r="C945" s="100"/>
      <c r="D945" s="100"/>
      <c r="E945" s="100"/>
      <c r="F945" s="100"/>
      <c r="G945" s="100"/>
      <c r="H945" s="100"/>
      <c r="I945" s="100"/>
      <c r="J945" s="100"/>
      <c r="K945" s="100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</row>
    <row r="946" spans="1:26" ht="16.5" customHeight="1">
      <c r="A946" s="99"/>
      <c r="B946" s="100"/>
      <c r="C946" s="100"/>
      <c r="D946" s="100"/>
      <c r="E946" s="100"/>
      <c r="F946" s="100"/>
      <c r="G946" s="100"/>
      <c r="H946" s="100"/>
      <c r="I946" s="100"/>
      <c r="J946" s="100"/>
      <c r="K946" s="100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</row>
    <row r="947" spans="1:26" ht="16.5" customHeight="1">
      <c r="A947" s="99"/>
      <c r="B947" s="100"/>
      <c r="C947" s="100"/>
      <c r="D947" s="100"/>
      <c r="E947" s="100"/>
      <c r="F947" s="100"/>
      <c r="G947" s="100"/>
      <c r="H947" s="100"/>
      <c r="I947" s="100"/>
      <c r="J947" s="100"/>
      <c r="K947" s="100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</row>
    <row r="948" spans="1:26" ht="16.5" customHeight="1">
      <c r="A948" s="99"/>
      <c r="B948" s="100"/>
      <c r="C948" s="100"/>
      <c r="D948" s="100"/>
      <c r="E948" s="100"/>
      <c r="F948" s="100"/>
      <c r="G948" s="100"/>
      <c r="H948" s="100"/>
      <c r="I948" s="100"/>
      <c r="J948" s="100"/>
      <c r="K948" s="100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</row>
    <row r="949" spans="1:26" ht="16.5" customHeight="1">
      <c r="A949" s="99"/>
      <c r="B949" s="100"/>
      <c r="C949" s="100"/>
      <c r="D949" s="100"/>
      <c r="E949" s="100"/>
      <c r="F949" s="100"/>
      <c r="G949" s="100"/>
      <c r="H949" s="100"/>
      <c r="I949" s="100"/>
      <c r="J949" s="100"/>
      <c r="K949" s="100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</row>
    <row r="950" spans="1:26" ht="16.5" customHeight="1">
      <c r="A950" s="99"/>
      <c r="B950" s="100"/>
      <c r="C950" s="100"/>
      <c r="D950" s="100"/>
      <c r="E950" s="100"/>
      <c r="F950" s="100"/>
      <c r="G950" s="100"/>
      <c r="H950" s="100"/>
      <c r="I950" s="100"/>
      <c r="J950" s="100"/>
      <c r="K950" s="100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</row>
    <row r="951" spans="1:26" ht="16.5" customHeight="1">
      <c r="A951" s="99"/>
      <c r="B951" s="100"/>
      <c r="C951" s="100"/>
      <c r="D951" s="100"/>
      <c r="E951" s="100"/>
      <c r="F951" s="100"/>
      <c r="G951" s="100"/>
      <c r="H951" s="100"/>
      <c r="I951" s="100"/>
      <c r="J951" s="100"/>
      <c r="K951" s="100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</row>
    <row r="952" spans="1:26" ht="16.5" customHeight="1">
      <c r="A952" s="99"/>
      <c r="B952" s="100"/>
      <c r="C952" s="100"/>
      <c r="D952" s="100"/>
      <c r="E952" s="100"/>
      <c r="F952" s="100"/>
      <c r="G952" s="100"/>
      <c r="H952" s="100"/>
      <c r="I952" s="100"/>
      <c r="J952" s="100"/>
      <c r="K952" s="100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</row>
    <row r="953" spans="1:26" ht="16.5" customHeight="1">
      <c r="A953" s="99"/>
      <c r="B953" s="100"/>
      <c r="C953" s="100"/>
      <c r="D953" s="100"/>
      <c r="E953" s="100"/>
      <c r="F953" s="100"/>
      <c r="G953" s="100"/>
      <c r="H953" s="100"/>
      <c r="I953" s="100"/>
      <c r="J953" s="100"/>
      <c r="K953" s="100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</row>
    <row r="954" spans="1:26" ht="16.5" customHeight="1">
      <c r="A954" s="99"/>
      <c r="B954" s="100"/>
      <c r="C954" s="100"/>
      <c r="D954" s="100"/>
      <c r="E954" s="100"/>
      <c r="F954" s="100"/>
      <c r="G954" s="100"/>
      <c r="H954" s="100"/>
      <c r="I954" s="100"/>
      <c r="J954" s="100"/>
      <c r="K954" s="100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</row>
    <row r="955" spans="1:26" ht="16.5" customHeight="1">
      <c r="A955" s="99"/>
      <c r="B955" s="100"/>
      <c r="C955" s="100"/>
      <c r="D955" s="100"/>
      <c r="E955" s="100"/>
      <c r="F955" s="100"/>
      <c r="G955" s="100"/>
      <c r="H955" s="100"/>
      <c r="I955" s="100"/>
      <c r="J955" s="100"/>
      <c r="K955" s="100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</row>
    <row r="956" spans="1:26" ht="16.5" customHeight="1">
      <c r="A956" s="99"/>
      <c r="B956" s="100"/>
      <c r="C956" s="100"/>
      <c r="D956" s="100"/>
      <c r="E956" s="100"/>
      <c r="F956" s="100"/>
      <c r="G956" s="100"/>
      <c r="H956" s="100"/>
      <c r="I956" s="100"/>
      <c r="J956" s="100"/>
      <c r="K956" s="100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</row>
    <row r="957" spans="1:26" ht="16.5" customHeight="1">
      <c r="A957" s="99"/>
      <c r="B957" s="100"/>
      <c r="C957" s="100"/>
      <c r="D957" s="100"/>
      <c r="E957" s="100"/>
      <c r="F957" s="100"/>
      <c r="G957" s="100"/>
      <c r="H957" s="100"/>
      <c r="I957" s="100"/>
      <c r="J957" s="100"/>
      <c r="K957" s="100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</row>
    <row r="958" spans="1:26" ht="16.5" customHeight="1">
      <c r="A958" s="99"/>
      <c r="B958" s="100"/>
      <c r="C958" s="100"/>
      <c r="D958" s="100"/>
      <c r="E958" s="100"/>
      <c r="F958" s="100"/>
      <c r="G958" s="100"/>
      <c r="H958" s="100"/>
      <c r="I958" s="100"/>
      <c r="J958" s="100"/>
      <c r="K958" s="100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</row>
    <row r="959" spans="1:26" ht="16.5" customHeight="1">
      <c r="A959" s="99"/>
      <c r="B959" s="100"/>
      <c r="C959" s="100"/>
      <c r="D959" s="100"/>
      <c r="E959" s="100"/>
      <c r="F959" s="100"/>
      <c r="G959" s="100"/>
      <c r="H959" s="100"/>
      <c r="I959" s="100"/>
      <c r="J959" s="100"/>
      <c r="K959" s="100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</row>
    <row r="960" spans="1:26" ht="16.5" customHeight="1">
      <c r="A960" s="99"/>
      <c r="B960" s="100"/>
      <c r="C960" s="100"/>
      <c r="D960" s="100"/>
      <c r="E960" s="100"/>
      <c r="F960" s="100"/>
      <c r="G960" s="100"/>
      <c r="H960" s="100"/>
      <c r="I960" s="100"/>
      <c r="J960" s="100"/>
      <c r="K960" s="100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</row>
    <row r="961" spans="1:26" ht="16.5" customHeight="1">
      <c r="A961" s="99"/>
      <c r="B961" s="100"/>
      <c r="C961" s="100"/>
      <c r="D961" s="100"/>
      <c r="E961" s="100"/>
      <c r="F961" s="100"/>
      <c r="G961" s="100"/>
      <c r="H961" s="100"/>
      <c r="I961" s="100"/>
      <c r="J961" s="100"/>
      <c r="K961" s="100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</row>
    <row r="962" spans="1:26" ht="16.5" customHeight="1">
      <c r="A962" s="99"/>
      <c r="B962" s="100"/>
      <c r="C962" s="100"/>
      <c r="D962" s="100"/>
      <c r="E962" s="100"/>
      <c r="F962" s="100"/>
      <c r="G962" s="100"/>
      <c r="H962" s="100"/>
      <c r="I962" s="100"/>
      <c r="J962" s="100"/>
      <c r="K962" s="100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</row>
    <row r="963" spans="1:26" ht="16.5" customHeight="1">
      <c r="A963" s="99"/>
      <c r="B963" s="100"/>
      <c r="C963" s="100"/>
      <c r="D963" s="100"/>
      <c r="E963" s="100"/>
      <c r="F963" s="100"/>
      <c r="G963" s="100"/>
      <c r="H963" s="100"/>
      <c r="I963" s="100"/>
      <c r="J963" s="100"/>
      <c r="K963" s="100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</row>
    <row r="964" spans="1:26" ht="16.5" customHeight="1">
      <c r="A964" s="99"/>
      <c r="B964" s="100"/>
      <c r="C964" s="100"/>
      <c r="D964" s="100"/>
      <c r="E964" s="100"/>
      <c r="F964" s="100"/>
      <c r="G964" s="100"/>
      <c r="H964" s="100"/>
      <c r="I964" s="100"/>
      <c r="J964" s="100"/>
      <c r="K964" s="100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</row>
    <row r="965" spans="1:26" ht="16.5" customHeight="1">
      <c r="A965" s="99"/>
      <c r="B965" s="100"/>
      <c r="C965" s="100"/>
      <c r="D965" s="100"/>
      <c r="E965" s="100"/>
      <c r="F965" s="100"/>
      <c r="G965" s="100"/>
      <c r="H965" s="100"/>
      <c r="I965" s="100"/>
      <c r="J965" s="100"/>
      <c r="K965" s="100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</row>
    <row r="966" spans="1:26" ht="16.5" customHeight="1">
      <c r="A966" s="99"/>
      <c r="B966" s="100"/>
      <c r="C966" s="100"/>
      <c r="D966" s="100"/>
      <c r="E966" s="100"/>
      <c r="F966" s="100"/>
      <c r="G966" s="100"/>
      <c r="H966" s="100"/>
      <c r="I966" s="100"/>
      <c r="J966" s="100"/>
      <c r="K966" s="100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</row>
    <row r="967" spans="1:26" ht="16.5" customHeight="1">
      <c r="A967" s="99"/>
      <c r="B967" s="100"/>
      <c r="C967" s="100"/>
      <c r="D967" s="100"/>
      <c r="E967" s="100"/>
      <c r="F967" s="100"/>
      <c r="G967" s="100"/>
      <c r="H967" s="100"/>
      <c r="I967" s="100"/>
      <c r="J967" s="100"/>
      <c r="K967" s="100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</row>
    <row r="968" spans="1:26" ht="16.5" customHeight="1">
      <c r="A968" s="99"/>
      <c r="B968" s="100"/>
      <c r="C968" s="100"/>
      <c r="D968" s="100"/>
      <c r="E968" s="100"/>
      <c r="F968" s="100"/>
      <c r="G968" s="100"/>
      <c r="H968" s="100"/>
      <c r="I968" s="100"/>
      <c r="J968" s="100"/>
      <c r="K968" s="100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</row>
    <row r="969" spans="1:26" ht="16.5" customHeight="1">
      <c r="A969" s="99"/>
      <c r="B969" s="100"/>
      <c r="C969" s="100"/>
      <c r="D969" s="100"/>
      <c r="E969" s="100"/>
      <c r="F969" s="100"/>
      <c r="G969" s="100"/>
      <c r="H969" s="100"/>
      <c r="I969" s="100"/>
      <c r="J969" s="100"/>
      <c r="K969" s="100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</row>
    <row r="970" spans="1:26" ht="16.5" customHeight="1">
      <c r="A970" s="99"/>
      <c r="B970" s="100"/>
      <c r="C970" s="100"/>
      <c r="D970" s="100"/>
      <c r="E970" s="100"/>
      <c r="F970" s="100"/>
      <c r="G970" s="100"/>
      <c r="H970" s="100"/>
      <c r="I970" s="100"/>
      <c r="J970" s="100"/>
      <c r="K970" s="100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</row>
    <row r="971" spans="1:26" ht="16.5" customHeight="1">
      <c r="A971" s="99"/>
      <c r="B971" s="100"/>
      <c r="C971" s="100"/>
      <c r="D971" s="100"/>
      <c r="E971" s="100"/>
      <c r="F971" s="100"/>
      <c r="G971" s="100"/>
      <c r="H971" s="100"/>
      <c r="I971" s="100"/>
      <c r="J971" s="100"/>
      <c r="K971" s="100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</row>
    <row r="972" spans="1:26" ht="16.5" customHeight="1">
      <c r="A972" s="99"/>
      <c r="B972" s="100"/>
      <c r="C972" s="100"/>
      <c r="D972" s="100"/>
      <c r="E972" s="100"/>
      <c r="F972" s="100"/>
      <c r="G972" s="100"/>
      <c r="H972" s="100"/>
      <c r="I972" s="100"/>
      <c r="J972" s="100"/>
      <c r="K972" s="100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</row>
    <row r="973" spans="1:26" ht="16.5" customHeight="1">
      <c r="A973" s="99"/>
      <c r="B973" s="100"/>
      <c r="C973" s="100"/>
      <c r="D973" s="100"/>
      <c r="E973" s="100"/>
      <c r="F973" s="100"/>
      <c r="G973" s="100"/>
      <c r="H973" s="100"/>
      <c r="I973" s="100"/>
      <c r="J973" s="100"/>
      <c r="K973" s="100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</row>
    <row r="974" spans="1:26" ht="16.5" customHeight="1">
      <c r="A974" s="99"/>
      <c r="B974" s="100"/>
      <c r="C974" s="100"/>
      <c r="D974" s="100"/>
      <c r="E974" s="100"/>
      <c r="F974" s="100"/>
      <c r="G974" s="100"/>
      <c r="H974" s="100"/>
      <c r="I974" s="100"/>
      <c r="J974" s="100"/>
      <c r="K974" s="100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</row>
    <row r="975" spans="1:26" ht="16.5" customHeight="1">
      <c r="A975" s="99"/>
      <c r="B975" s="100"/>
      <c r="C975" s="100"/>
      <c r="D975" s="100"/>
      <c r="E975" s="100"/>
      <c r="F975" s="100"/>
      <c r="G975" s="100"/>
      <c r="H975" s="100"/>
      <c r="I975" s="100"/>
      <c r="J975" s="100"/>
      <c r="K975" s="100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</row>
    <row r="976" spans="1:26" ht="16.5" customHeight="1">
      <c r="A976" s="99"/>
      <c r="B976" s="100"/>
      <c r="C976" s="100"/>
      <c r="D976" s="100"/>
      <c r="E976" s="100"/>
      <c r="F976" s="100"/>
      <c r="G976" s="100"/>
      <c r="H976" s="100"/>
      <c r="I976" s="100"/>
      <c r="J976" s="100"/>
      <c r="K976" s="100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</row>
    <row r="977" spans="1:26" ht="16.5" customHeight="1">
      <c r="A977" s="99"/>
      <c r="B977" s="100"/>
      <c r="C977" s="100"/>
      <c r="D977" s="100"/>
      <c r="E977" s="100"/>
      <c r="F977" s="100"/>
      <c r="G977" s="100"/>
      <c r="H977" s="100"/>
      <c r="I977" s="100"/>
      <c r="J977" s="100"/>
      <c r="K977" s="100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</row>
    <row r="978" spans="1:26" ht="16.5" customHeight="1">
      <c r="A978" s="99"/>
      <c r="B978" s="100"/>
      <c r="C978" s="100"/>
      <c r="D978" s="100"/>
      <c r="E978" s="100"/>
      <c r="F978" s="100"/>
      <c r="G978" s="100"/>
      <c r="H978" s="100"/>
      <c r="I978" s="100"/>
      <c r="J978" s="100"/>
      <c r="K978" s="100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</row>
    <row r="979" spans="1:26" ht="16.5" customHeight="1">
      <c r="A979" s="99"/>
      <c r="B979" s="100"/>
      <c r="C979" s="100"/>
      <c r="D979" s="100"/>
      <c r="E979" s="100"/>
      <c r="F979" s="100"/>
      <c r="G979" s="100"/>
      <c r="H979" s="100"/>
      <c r="I979" s="100"/>
      <c r="J979" s="100"/>
      <c r="K979" s="100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</row>
    <row r="980" spans="1:26" ht="16.5" customHeight="1">
      <c r="A980" s="99"/>
      <c r="B980" s="100"/>
      <c r="C980" s="100"/>
      <c r="D980" s="100"/>
      <c r="E980" s="100"/>
      <c r="F980" s="100"/>
      <c r="G980" s="100"/>
      <c r="H980" s="100"/>
      <c r="I980" s="100"/>
      <c r="J980" s="100"/>
      <c r="K980" s="100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</row>
    <row r="981" spans="1:26" ht="16.5" customHeight="1">
      <c r="A981" s="99"/>
      <c r="B981" s="100"/>
      <c r="C981" s="100"/>
      <c r="D981" s="100"/>
      <c r="E981" s="100"/>
      <c r="F981" s="100"/>
      <c r="G981" s="100"/>
      <c r="H981" s="100"/>
      <c r="I981" s="100"/>
      <c r="J981" s="100"/>
      <c r="K981" s="100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</row>
    <row r="982" spans="1:26" ht="16.5" customHeight="1">
      <c r="A982" s="99"/>
      <c r="B982" s="100"/>
      <c r="C982" s="100"/>
      <c r="D982" s="100"/>
      <c r="E982" s="100"/>
      <c r="F982" s="100"/>
      <c r="G982" s="100"/>
      <c r="H982" s="100"/>
      <c r="I982" s="100"/>
      <c r="J982" s="100"/>
      <c r="K982" s="100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</row>
    <row r="983" spans="1:26" ht="16.5" customHeight="1">
      <c r="A983" s="99"/>
      <c r="B983" s="100"/>
      <c r="C983" s="100"/>
      <c r="D983" s="100"/>
      <c r="E983" s="100"/>
      <c r="F983" s="100"/>
      <c r="G983" s="100"/>
      <c r="H983" s="100"/>
      <c r="I983" s="100"/>
      <c r="J983" s="100"/>
      <c r="K983" s="100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</row>
    <row r="984" spans="1:26" ht="16.5" customHeight="1">
      <c r="A984" s="99"/>
      <c r="B984" s="100"/>
      <c r="C984" s="100"/>
      <c r="D984" s="100"/>
      <c r="E984" s="100"/>
      <c r="F984" s="100"/>
      <c r="G984" s="100"/>
      <c r="H984" s="100"/>
      <c r="I984" s="100"/>
      <c r="J984" s="100"/>
      <c r="K984" s="100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</row>
    <row r="985" spans="1:26" ht="16.5" customHeight="1">
      <c r="A985" s="99"/>
      <c r="B985" s="100"/>
      <c r="C985" s="100"/>
      <c r="D985" s="100"/>
      <c r="E985" s="100"/>
      <c r="F985" s="100"/>
      <c r="G985" s="100"/>
      <c r="H985" s="100"/>
      <c r="I985" s="100"/>
      <c r="J985" s="100"/>
      <c r="K985" s="100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</row>
    <row r="986" spans="1:26" ht="16.5" customHeight="1">
      <c r="A986" s="99"/>
      <c r="B986" s="100"/>
      <c r="C986" s="100"/>
      <c r="D986" s="100"/>
      <c r="E986" s="100"/>
      <c r="F986" s="100"/>
      <c r="G986" s="100"/>
      <c r="H986" s="100"/>
      <c r="I986" s="100"/>
      <c r="J986" s="100"/>
      <c r="K986" s="100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</row>
    <row r="987" spans="1:26" ht="16.5" customHeight="1">
      <c r="A987" s="99"/>
      <c r="B987" s="100"/>
      <c r="C987" s="100"/>
      <c r="D987" s="100"/>
      <c r="E987" s="100"/>
      <c r="F987" s="100"/>
      <c r="G987" s="100"/>
      <c r="H987" s="100"/>
      <c r="I987" s="100"/>
      <c r="J987" s="100"/>
      <c r="K987" s="100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</row>
    <row r="988" spans="1:26" ht="16.5" customHeight="1">
      <c r="A988" s="99"/>
      <c r="B988" s="100"/>
      <c r="C988" s="100"/>
      <c r="D988" s="100"/>
      <c r="E988" s="100"/>
      <c r="F988" s="100"/>
      <c r="G988" s="100"/>
      <c r="H988" s="100"/>
      <c r="I988" s="100"/>
      <c r="J988" s="100"/>
      <c r="K988" s="100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</row>
    <row r="989" spans="1:26" ht="16.5" customHeight="1">
      <c r="A989" s="99"/>
      <c r="B989" s="100"/>
      <c r="C989" s="100"/>
      <c r="D989" s="100"/>
      <c r="E989" s="100"/>
      <c r="F989" s="100"/>
      <c r="G989" s="100"/>
      <c r="H989" s="100"/>
      <c r="I989" s="100"/>
      <c r="J989" s="100"/>
      <c r="K989" s="100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</row>
    <row r="990" spans="1:26" ht="16.5" customHeight="1">
      <c r="A990" s="99"/>
      <c r="B990" s="100"/>
      <c r="C990" s="100"/>
      <c r="D990" s="100"/>
      <c r="E990" s="100"/>
      <c r="F990" s="100"/>
      <c r="G990" s="100"/>
      <c r="H990" s="100"/>
      <c r="I990" s="100"/>
      <c r="J990" s="100"/>
      <c r="K990" s="100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</row>
    <row r="991" spans="1:26" ht="16.5" customHeight="1">
      <c r="A991" s="99"/>
      <c r="B991" s="100"/>
      <c r="C991" s="100"/>
      <c r="D991" s="100"/>
      <c r="E991" s="100"/>
      <c r="F991" s="100"/>
      <c r="G991" s="100"/>
      <c r="H991" s="100"/>
      <c r="I991" s="100"/>
      <c r="J991" s="100"/>
      <c r="K991" s="100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</row>
    <row r="992" spans="1:26" ht="16.5" customHeight="1">
      <c r="A992" s="99"/>
      <c r="B992" s="100"/>
      <c r="C992" s="100"/>
      <c r="D992" s="100"/>
      <c r="E992" s="100"/>
      <c r="F992" s="100"/>
      <c r="G992" s="100"/>
      <c r="H992" s="100"/>
      <c r="I992" s="100"/>
      <c r="J992" s="100"/>
      <c r="K992" s="100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</row>
    <row r="993" spans="1:26" ht="16.5" customHeight="1">
      <c r="A993" s="99"/>
      <c r="B993" s="100"/>
      <c r="C993" s="100"/>
      <c r="D993" s="100"/>
      <c r="E993" s="100"/>
      <c r="F993" s="100"/>
      <c r="G993" s="100"/>
      <c r="H993" s="100"/>
      <c r="I993" s="100"/>
      <c r="J993" s="100"/>
      <c r="K993" s="100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</row>
    <row r="994" spans="1:26" ht="16.5" customHeight="1">
      <c r="A994" s="99"/>
      <c r="B994" s="100"/>
      <c r="C994" s="100"/>
      <c r="D994" s="100"/>
      <c r="E994" s="100"/>
      <c r="F994" s="100"/>
      <c r="G994" s="100"/>
      <c r="H994" s="100"/>
      <c r="I994" s="100"/>
      <c r="J994" s="100"/>
      <c r="K994" s="100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</row>
    <row r="995" spans="1:26" ht="16.5" customHeight="1">
      <c r="A995" s="99"/>
      <c r="B995" s="100"/>
      <c r="C995" s="100"/>
      <c r="D995" s="100"/>
      <c r="E995" s="100"/>
      <c r="F995" s="100"/>
      <c r="G995" s="100"/>
      <c r="H995" s="100"/>
      <c r="I995" s="100"/>
      <c r="J995" s="100"/>
      <c r="K995" s="100"/>
      <c r="L995" s="98"/>
      <c r="M995" s="98"/>
      <c r="N995" s="98"/>
      <c r="O995" s="98"/>
      <c r="P995" s="98"/>
      <c r="Q995" s="98"/>
      <c r="R995" s="98"/>
      <c r="S995" s="98"/>
      <c r="T995" s="98"/>
      <c r="U995" s="98"/>
      <c r="V995" s="98"/>
      <c r="W995" s="98"/>
      <c r="X995" s="98"/>
      <c r="Y995" s="98"/>
      <c r="Z995" s="98"/>
    </row>
    <row r="996" spans="1:26" ht="16.5" customHeight="1">
      <c r="A996" s="99"/>
      <c r="B996" s="100"/>
      <c r="C996" s="100"/>
      <c r="D996" s="100"/>
      <c r="E996" s="100"/>
      <c r="F996" s="100"/>
      <c r="G996" s="100"/>
      <c r="H996" s="100"/>
      <c r="I996" s="100"/>
      <c r="J996" s="100"/>
      <c r="K996" s="100"/>
      <c r="L996" s="98"/>
      <c r="M996" s="98"/>
      <c r="N996" s="98"/>
      <c r="O996" s="98"/>
      <c r="P996" s="98"/>
      <c r="Q996" s="98"/>
      <c r="R996" s="98"/>
      <c r="S996" s="98"/>
      <c r="T996" s="98"/>
      <c r="U996" s="98"/>
      <c r="V996" s="98"/>
      <c r="W996" s="98"/>
      <c r="X996" s="98"/>
      <c r="Y996" s="98"/>
      <c r="Z996" s="98"/>
    </row>
    <row r="997" spans="1:26" ht="16.5" customHeight="1">
      <c r="A997" s="99"/>
      <c r="B997" s="100"/>
      <c r="C997" s="100"/>
      <c r="D997" s="100"/>
      <c r="E997" s="100"/>
      <c r="F997" s="100"/>
      <c r="G997" s="100"/>
      <c r="H997" s="100"/>
      <c r="I997" s="100"/>
      <c r="J997" s="100"/>
      <c r="K997" s="100"/>
      <c r="L997" s="98"/>
      <c r="M997" s="98"/>
      <c r="N997" s="98"/>
      <c r="O997" s="98"/>
      <c r="P997" s="98"/>
      <c r="Q997" s="98"/>
      <c r="R997" s="98"/>
      <c r="S997" s="98"/>
      <c r="T997" s="98"/>
      <c r="U997" s="98"/>
      <c r="V997" s="98"/>
      <c r="W997" s="98"/>
      <c r="X997" s="98"/>
      <c r="Y997" s="98"/>
      <c r="Z997" s="98"/>
    </row>
    <row r="998" spans="1:26" ht="16.5" customHeight="1">
      <c r="A998" s="99"/>
      <c r="B998" s="100"/>
      <c r="C998" s="100"/>
      <c r="D998" s="100"/>
      <c r="E998" s="100"/>
      <c r="F998" s="100"/>
      <c r="G998" s="100"/>
      <c r="H998" s="100"/>
      <c r="I998" s="100"/>
      <c r="J998" s="100"/>
      <c r="K998" s="100"/>
      <c r="L998" s="98"/>
      <c r="M998" s="98"/>
      <c r="N998" s="98"/>
      <c r="O998" s="98"/>
      <c r="P998" s="98"/>
      <c r="Q998" s="98"/>
      <c r="R998" s="98"/>
      <c r="S998" s="98"/>
      <c r="T998" s="98"/>
      <c r="U998" s="98"/>
      <c r="V998" s="98"/>
      <c r="W998" s="98"/>
      <c r="X998" s="98"/>
      <c r="Y998" s="98"/>
      <c r="Z998" s="98"/>
    </row>
    <row r="999" spans="1:26" ht="16.5" customHeight="1">
      <c r="A999" s="99"/>
      <c r="B999" s="100"/>
      <c r="C999" s="100"/>
      <c r="D999" s="100"/>
      <c r="E999" s="100"/>
      <c r="F999" s="100"/>
      <c r="G999" s="100"/>
      <c r="H999" s="100"/>
      <c r="I999" s="100"/>
      <c r="J999" s="100"/>
      <c r="K999" s="100"/>
      <c r="L999" s="98"/>
      <c r="M999" s="98"/>
      <c r="N999" s="98"/>
      <c r="O999" s="98"/>
      <c r="P999" s="98"/>
      <c r="Q999" s="98"/>
      <c r="R999" s="98"/>
      <c r="S999" s="98"/>
      <c r="T999" s="98"/>
      <c r="U999" s="98"/>
      <c r="V999" s="98"/>
      <c r="W999" s="98"/>
      <c r="X999" s="98"/>
      <c r="Y999" s="98"/>
      <c r="Z999" s="98"/>
    </row>
    <row r="1000" spans="1:26" ht="16.5" customHeight="1">
      <c r="A1000" s="99"/>
      <c r="B1000" s="100"/>
      <c r="C1000" s="100"/>
      <c r="D1000" s="100"/>
      <c r="E1000" s="100"/>
      <c r="F1000" s="100"/>
      <c r="G1000" s="100"/>
      <c r="H1000" s="100"/>
      <c r="I1000" s="100"/>
      <c r="J1000" s="100"/>
      <c r="K1000" s="100"/>
      <c r="L1000" s="98"/>
      <c r="M1000" s="98"/>
      <c r="N1000" s="98"/>
      <c r="O1000" s="98"/>
      <c r="P1000" s="98"/>
      <c r="Q1000" s="98"/>
      <c r="R1000" s="98"/>
      <c r="S1000" s="98"/>
      <c r="T1000" s="98"/>
      <c r="U1000" s="98"/>
      <c r="V1000" s="98"/>
      <c r="W1000" s="98"/>
      <c r="X1000" s="98"/>
      <c r="Y1000" s="98"/>
      <c r="Z1000" s="98"/>
    </row>
  </sheetData>
  <mergeCells count="2">
    <mergeCell ref="A1:K1"/>
    <mergeCell ref="B2:K2"/>
  </mergeCells>
  <phoneticPr fontId="12" type="noConversion"/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Z1000"/>
  <sheetViews>
    <sheetView workbookViewId="0">
      <pane ySplit="2" topLeftCell="A3" activePane="bottomLeft" state="frozen"/>
      <selection pane="bottomLeft" activeCell="B4" sqref="B4"/>
    </sheetView>
  </sheetViews>
  <sheetFormatPr defaultColWidth="11.25" defaultRowHeight="15" customHeight="1"/>
  <cols>
    <col min="1" max="1" width="10.625" customWidth="1"/>
    <col min="2" max="2" width="10.25" customWidth="1"/>
    <col min="3" max="3" width="99.375" customWidth="1"/>
    <col min="4" max="6" width="9" customWidth="1"/>
    <col min="7" max="26" width="8" customWidth="1"/>
  </cols>
  <sheetData>
    <row r="1" spans="1:26" ht="27.75" customHeight="1">
      <c r="A1" s="124" t="s">
        <v>441</v>
      </c>
      <c r="B1" s="117"/>
      <c r="C1" s="112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</row>
    <row r="2" spans="1:26" ht="16.5" customHeight="1">
      <c r="A2" s="102" t="s">
        <v>42</v>
      </c>
      <c r="B2" s="102" t="s">
        <v>442</v>
      </c>
      <c r="C2" s="103" t="s">
        <v>443</v>
      </c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</row>
    <row r="3" spans="1:26" ht="16.5" customHeight="1">
      <c r="A3" s="104" t="s">
        <v>444</v>
      </c>
      <c r="B3" s="104" t="s">
        <v>445</v>
      </c>
      <c r="C3" s="105" t="s">
        <v>446</v>
      </c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</row>
    <row r="4" spans="1:26" ht="16.5" customHeight="1">
      <c r="A4" s="104" t="s">
        <v>447</v>
      </c>
      <c r="B4" s="104" t="s">
        <v>448</v>
      </c>
      <c r="C4" s="105" t="s">
        <v>449</v>
      </c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</row>
    <row r="5" spans="1:26" ht="16.5" customHeight="1">
      <c r="A5" s="104"/>
      <c r="B5" s="104"/>
      <c r="C5" s="105" t="s">
        <v>450</v>
      </c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</row>
    <row r="6" spans="1:26" ht="16.5" customHeight="1">
      <c r="A6" s="106"/>
      <c r="B6" s="106"/>
      <c r="C6" s="105" t="s">
        <v>451</v>
      </c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</row>
    <row r="7" spans="1:26" ht="16.5" customHeight="1">
      <c r="A7" s="106"/>
      <c r="B7" s="106"/>
      <c r="C7" s="105" t="s">
        <v>452</v>
      </c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</row>
    <row r="8" spans="1:26" ht="16.5" customHeight="1">
      <c r="A8" s="104" t="s">
        <v>453</v>
      </c>
      <c r="B8" s="104" t="s">
        <v>454</v>
      </c>
      <c r="C8" s="105" t="s">
        <v>455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26" ht="16.5" customHeight="1">
      <c r="A9" s="104"/>
      <c r="B9" s="104"/>
      <c r="C9" s="105" t="s">
        <v>456</v>
      </c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26" ht="16.5" customHeight="1">
      <c r="A10" s="104"/>
      <c r="B10" s="104"/>
      <c r="C10" s="105" t="s">
        <v>457</v>
      </c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26" ht="16.5" customHeight="1">
      <c r="A11" s="104"/>
      <c r="B11" s="104"/>
      <c r="C11" s="105" t="s">
        <v>458</v>
      </c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26" ht="16.5" customHeight="1">
      <c r="A12" s="106"/>
      <c r="B12" s="106"/>
      <c r="C12" s="105" t="s">
        <v>459</v>
      </c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26" ht="16.5" customHeight="1">
      <c r="A13" s="104" t="s">
        <v>460</v>
      </c>
      <c r="B13" s="104" t="s">
        <v>461</v>
      </c>
      <c r="C13" s="105" t="s">
        <v>462</v>
      </c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</row>
    <row r="14" spans="1:26" ht="16.5" customHeight="1">
      <c r="A14" s="106"/>
      <c r="B14" s="106"/>
      <c r="C14" s="105" t="s">
        <v>463</v>
      </c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5" spans="1:26" ht="16.5" customHeight="1">
      <c r="A15" s="106"/>
      <c r="B15" s="106"/>
      <c r="C15" s="105" t="s">
        <v>464</v>
      </c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</row>
    <row r="16" spans="1:26" ht="16.5" customHeight="1">
      <c r="A16" s="106"/>
      <c r="B16" s="106"/>
      <c r="C16" s="105" t="s">
        <v>465</v>
      </c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</row>
    <row r="17" spans="1:26" ht="16.5" customHeight="1">
      <c r="A17" s="104" t="s">
        <v>466</v>
      </c>
      <c r="B17" s="104" t="s">
        <v>467</v>
      </c>
      <c r="C17" s="105" t="s">
        <v>468</v>
      </c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</row>
    <row r="18" spans="1:26" ht="16.5" customHeight="1">
      <c r="A18" s="106"/>
      <c r="B18" s="106"/>
      <c r="C18" s="105" t="s">
        <v>469</v>
      </c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</row>
    <row r="19" spans="1:26" ht="16.5" customHeight="1">
      <c r="A19" s="104" t="s">
        <v>470</v>
      </c>
      <c r="B19" s="104" t="s">
        <v>471</v>
      </c>
      <c r="C19" s="105" t="s">
        <v>472</v>
      </c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</row>
    <row r="20" spans="1:26" ht="16.5" customHeight="1">
      <c r="A20" s="106"/>
      <c r="B20" s="106"/>
      <c r="C20" s="105" t="s">
        <v>473</v>
      </c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</row>
    <row r="21" spans="1:26" ht="16.5" customHeight="1">
      <c r="A21" s="106"/>
      <c r="B21" s="106"/>
      <c r="C21" s="105" t="s">
        <v>474</v>
      </c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</row>
    <row r="22" spans="1:26" ht="16.5" customHeight="1">
      <c r="A22" s="106"/>
      <c r="B22" s="106"/>
      <c r="C22" s="105" t="s">
        <v>475</v>
      </c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</row>
    <row r="23" spans="1:26" ht="16.5" customHeight="1">
      <c r="A23" s="106"/>
      <c r="B23" s="106"/>
      <c r="C23" s="105" t="s">
        <v>476</v>
      </c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</row>
    <row r="24" spans="1:26" ht="16.5" customHeight="1">
      <c r="A24" s="106"/>
      <c r="B24" s="106"/>
      <c r="C24" s="105" t="s">
        <v>477</v>
      </c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</row>
    <row r="25" spans="1:26" ht="16.5" customHeight="1">
      <c r="A25" s="104" t="s">
        <v>478</v>
      </c>
      <c r="B25" s="104" t="s">
        <v>479</v>
      </c>
      <c r="C25" s="105" t="s">
        <v>480</v>
      </c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</row>
    <row r="26" spans="1:26" ht="16.5" customHeight="1">
      <c r="A26" s="106"/>
      <c r="B26" s="106"/>
      <c r="C26" s="105" t="s">
        <v>481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</row>
    <row r="27" spans="1:26" ht="16.5" customHeight="1">
      <c r="A27" s="106"/>
      <c r="B27" s="106"/>
      <c r="C27" s="105" t="s">
        <v>482</v>
      </c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</row>
    <row r="28" spans="1:26" ht="16.5" customHeight="1">
      <c r="A28" s="106" t="s">
        <v>483</v>
      </c>
      <c r="B28" s="106" t="s">
        <v>484</v>
      </c>
      <c r="C28" s="107" t="s">
        <v>485</v>
      </c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</row>
    <row r="29" spans="1:26" ht="16.5" customHeight="1">
      <c r="A29" s="106" t="s">
        <v>486</v>
      </c>
      <c r="B29" s="106" t="s">
        <v>487</v>
      </c>
      <c r="C29" s="107" t="s">
        <v>488</v>
      </c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</row>
    <row r="30" spans="1:26" ht="16.5" customHeight="1">
      <c r="A30" s="106"/>
      <c r="B30" s="106"/>
      <c r="C30" s="107" t="s">
        <v>489</v>
      </c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</row>
    <row r="31" spans="1:26" ht="16.5" customHeight="1">
      <c r="A31" s="106"/>
      <c r="B31" s="106"/>
      <c r="C31" s="107" t="s">
        <v>490</v>
      </c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</row>
    <row r="32" spans="1:26" ht="16.5" customHeight="1">
      <c r="A32" s="106"/>
      <c r="B32" s="106"/>
      <c r="C32" s="107" t="s">
        <v>491</v>
      </c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</row>
    <row r="33" spans="1:26" ht="16.5" customHeight="1">
      <c r="A33" s="106" t="s">
        <v>492</v>
      </c>
      <c r="B33" s="106" t="s">
        <v>493</v>
      </c>
      <c r="C33" s="107" t="s">
        <v>494</v>
      </c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</row>
    <row r="34" spans="1:26" ht="33.75" customHeight="1">
      <c r="A34" s="106" t="s">
        <v>495</v>
      </c>
      <c r="B34" s="106" t="s">
        <v>496</v>
      </c>
      <c r="C34" s="107" t="s">
        <v>497</v>
      </c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</row>
    <row r="35" spans="1:26" ht="16.5" customHeight="1">
      <c r="A35" s="106" t="s">
        <v>498</v>
      </c>
      <c r="B35" s="106" t="s">
        <v>499</v>
      </c>
      <c r="C35" s="107" t="s">
        <v>500</v>
      </c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</row>
    <row r="36" spans="1:26" ht="16.5" customHeight="1">
      <c r="A36" s="106"/>
      <c r="B36" s="106" t="s">
        <v>501</v>
      </c>
      <c r="C36" s="107" t="s">
        <v>502</v>
      </c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</row>
    <row r="37" spans="1:26" ht="16.5" customHeight="1">
      <c r="A37" s="106"/>
      <c r="B37" s="106"/>
      <c r="C37" s="107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</row>
    <row r="38" spans="1:26" ht="16.5" customHeight="1">
      <c r="A38" s="106"/>
      <c r="B38" s="106"/>
      <c r="C38" s="107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ht="16.5" customHeight="1">
      <c r="A39" s="106"/>
      <c r="B39" s="106"/>
      <c r="C39" s="107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ht="16.5" customHeight="1">
      <c r="A40" s="106"/>
      <c r="B40" s="106"/>
      <c r="C40" s="107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ht="16.5" customHeight="1">
      <c r="A41" s="106"/>
      <c r="B41" s="106"/>
      <c r="C41" s="107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16.5" customHeight="1">
      <c r="A42" s="106"/>
      <c r="B42" s="106"/>
      <c r="C42" s="107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</row>
    <row r="43" spans="1:26" ht="16.5" customHeight="1">
      <c r="A43" s="106"/>
      <c r="B43" s="106"/>
      <c r="C43" s="107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26" ht="16.5" customHeight="1">
      <c r="A44" s="106"/>
      <c r="B44" s="106"/>
      <c r="C44" s="107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</row>
    <row r="45" spans="1:26" ht="16.5" customHeight="1">
      <c r="A45" s="106"/>
      <c r="B45" s="106"/>
      <c r="C45" s="107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</row>
    <row r="46" spans="1:26" ht="16.5" customHeight="1">
      <c r="A46" s="106"/>
      <c r="B46" s="106"/>
      <c r="C46" s="107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</row>
    <row r="47" spans="1:26" ht="16.5" customHeight="1">
      <c r="A47" s="106"/>
      <c r="B47" s="106"/>
      <c r="C47" s="107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</row>
    <row r="48" spans="1:26" ht="16.5" customHeight="1">
      <c r="A48" s="106"/>
      <c r="B48" s="106"/>
      <c r="C48" s="107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</row>
    <row r="49" spans="1:26" ht="16.5" customHeight="1">
      <c r="A49" s="106"/>
      <c r="B49" s="106"/>
      <c r="C49" s="107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</row>
    <row r="50" spans="1:26" ht="16.5" customHeight="1">
      <c r="A50" s="106"/>
      <c r="B50" s="106"/>
      <c r="C50" s="107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</row>
    <row r="51" spans="1:26" ht="16.5" customHeight="1">
      <c r="A51" s="106"/>
      <c r="B51" s="106"/>
      <c r="C51" s="107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</row>
    <row r="52" spans="1:26" ht="16.5" customHeight="1">
      <c r="A52" s="106"/>
      <c r="B52" s="106"/>
      <c r="C52" s="107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</row>
    <row r="53" spans="1:26" ht="16.5" customHeight="1">
      <c r="A53" s="106"/>
      <c r="B53" s="106"/>
      <c r="C53" s="107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</row>
    <row r="54" spans="1:26" ht="16.5" customHeight="1">
      <c r="A54" s="106"/>
      <c r="B54" s="106"/>
      <c r="C54" s="107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</row>
    <row r="55" spans="1:26" ht="16.5" customHeight="1">
      <c r="A55" s="106"/>
      <c r="B55" s="106"/>
      <c r="C55" s="107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</row>
    <row r="56" spans="1:26" ht="16.5" customHeight="1">
      <c r="A56" s="106"/>
      <c r="B56" s="106"/>
      <c r="C56" s="107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</row>
    <row r="57" spans="1:26" ht="16.5" customHeight="1">
      <c r="A57" s="106"/>
      <c r="B57" s="106"/>
      <c r="C57" s="107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</row>
    <row r="58" spans="1:26" ht="16.5" customHeight="1">
      <c r="A58" s="106"/>
      <c r="B58" s="106"/>
      <c r="C58" s="107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</row>
    <row r="59" spans="1:26" ht="16.5" customHeight="1">
      <c r="A59" s="106"/>
      <c r="B59" s="106"/>
      <c r="C59" s="107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</row>
    <row r="60" spans="1:26" ht="16.5" customHeight="1">
      <c r="A60" s="106"/>
      <c r="B60" s="106"/>
      <c r="C60" s="107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26" ht="16.5" customHeight="1">
      <c r="A61" s="106"/>
      <c r="B61" s="106"/>
      <c r="C61" s="107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</row>
    <row r="62" spans="1:26" ht="16.5" customHeight="1">
      <c r="A62" s="106"/>
      <c r="B62" s="106"/>
      <c r="C62" s="107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</row>
    <row r="63" spans="1:26" ht="16.5" customHeight="1">
      <c r="A63" s="106"/>
      <c r="B63" s="106"/>
      <c r="C63" s="107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</row>
    <row r="64" spans="1:26" ht="16.5" customHeight="1">
      <c r="A64" s="106"/>
      <c r="B64" s="106"/>
      <c r="C64" s="107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</row>
    <row r="65" spans="1:26" ht="16.5" customHeight="1">
      <c r="A65" s="106"/>
      <c r="B65" s="106"/>
      <c r="C65" s="107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</row>
    <row r="66" spans="1:26" ht="16.5" customHeight="1">
      <c r="A66" s="106"/>
      <c r="B66" s="106"/>
      <c r="C66" s="107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</row>
    <row r="67" spans="1:26" ht="16.5" customHeight="1">
      <c r="A67" s="106"/>
      <c r="B67" s="106"/>
      <c r="C67" s="107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</row>
    <row r="68" spans="1:26" ht="16.5" customHeight="1">
      <c r="A68" s="106"/>
      <c r="B68" s="106"/>
      <c r="C68" s="107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</row>
    <row r="69" spans="1:26" ht="16.5" customHeight="1">
      <c r="A69" s="106"/>
      <c r="B69" s="106"/>
      <c r="C69" s="107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</row>
    <row r="70" spans="1:26" ht="16.5" customHeight="1">
      <c r="A70" s="106"/>
      <c r="B70" s="106"/>
      <c r="C70" s="107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</row>
    <row r="71" spans="1:26" ht="16.5" customHeight="1">
      <c r="A71" s="106"/>
      <c r="B71" s="106"/>
      <c r="C71" s="107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</row>
    <row r="72" spans="1:26" ht="16.5" customHeight="1">
      <c r="A72" s="106"/>
      <c r="B72" s="106"/>
      <c r="C72" s="107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</row>
    <row r="73" spans="1:26" ht="16.5" customHeight="1">
      <c r="A73" s="106"/>
      <c r="B73" s="106"/>
      <c r="C73" s="107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</row>
    <row r="74" spans="1:26" ht="16.5" customHeight="1">
      <c r="A74" s="106"/>
      <c r="B74" s="106"/>
      <c r="C74" s="107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</row>
    <row r="75" spans="1:26" ht="16.5" customHeight="1">
      <c r="A75" s="106"/>
      <c r="B75" s="106"/>
      <c r="C75" s="107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</row>
    <row r="76" spans="1:26" ht="16.5" customHeight="1">
      <c r="A76" s="106"/>
      <c r="B76" s="106"/>
      <c r="C76" s="107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</row>
    <row r="77" spans="1:26" ht="16.5" customHeight="1">
      <c r="A77" s="106"/>
      <c r="B77" s="106"/>
      <c r="C77" s="107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</row>
    <row r="78" spans="1:26" ht="16.5" customHeight="1">
      <c r="A78" s="106"/>
      <c r="B78" s="106"/>
      <c r="C78" s="107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</row>
    <row r="79" spans="1:26" ht="16.5" customHeight="1">
      <c r="A79" s="106"/>
      <c r="B79" s="106"/>
      <c r="C79" s="107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</row>
    <row r="80" spans="1:26" ht="16.5" customHeight="1">
      <c r="A80" s="106"/>
      <c r="B80" s="106"/>
      <c r="C80" s="107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</row>
    <row r="81" spans="1:26" ht="16.5" customHeight="1">
      <c r="A81" s="106"/>
      <c r="B81" s="106"/>
      <c r="C81" s="107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</row>
    <row r="82" spans="1:26" ht="16.5" customHeight="1">
      <c r="A82" s="106"/>
      <c r="B82" s="106"/>
      <c r="C82" s="107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</row>
    <row r="83" spans="1:26" ht="16.5" customHeight="1">
      <c r="A83" s="106"/>
      <c r="B83" s="106"/>
      <c r="C83" s="107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</row>
    <row r="84" spans="1:26" ht="16.5" customHeight="1">
      <c r="A84" s="106"/>
      <c r="B84" s="106"/>
      <c r="C84" s="107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</row>
    <row r="85" spans="1:26" ht="16.5" customHeight="1">
      <c r="A85" s="106"/>
      <c r="B85" s="106"/>
      <c r="C85" s="107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</row>
    <row r="86" spans="1:26" ht="16.5" customHeight="1">
      <c r="A86" s="106"/>
      <c r="B86" s="106"/>
      <c r="C86" s="107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</row>
    <row r="87" spans="1:26" ht="16.5" customHeight="1">
      <c r="A87" s="106"/>
      <c r="B87" s="106"/>
      <c r="C87" s="107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</row>
    <row r="88" spans="1:26" ht="16.5" customHeight="1">
      <c r="A88" s="106"/>
      <c r="B88" s="106"/>
      <c r="C88" s="107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</row>
    <row r="89" spans="1:26" ht="16.5" customHeight="1">
      <c r="A89" s="106"/>
      <c r="B89" s="106"/>
      <c r="C89" s="107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</row>
    <row r="90" spans="1:26" ht="16.5" customHeight="1">
      <c r="A90" s="106"/>
      <c r="B90" s="106"/>
      <c r="C90" s="107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</row>
    <row r="91" spans="1:26" ht="16.5" customHeight="1">
      <c r="A91" s="106"/>
      <c r="B91" s="106"/>
      <c r="C91" s="107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</row>
    <row r="92" spans="1:26" ht="16.5" customHeight="1">
      <c r="A92" s="106"/>
      <c r="B92" s="106"/>
      <c r="C92" s="107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</row>
    <row r="93" spans="1:26" ht="16.5" customHeight="1">
      <c r="A93" s="106"/>
      <c r="B93" s="106"/>
      <c r="C93" s="107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</row>
    <row r="94" spans="1:26" ht="16.5" customHeight="1">
      <c r="A94" s="106"/>
      <c r="B94" s="106"/>
      <c r="C94" s="107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</row>
    <row r="95" spans="1:26" ht="16.5" customHeight="1">
      <c r="A95" s="106"/>
      <c r="B95" s="106"/>
      <c r="C95" s="107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</row>
    <row r="96" spans="1:26" ht="16.5" customHeight="1">
      <c r="A96" s="106"/>
      <c r="B96" s="106"/>
      <c r="C96" s="107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</row>
    <row r="97" spans="1:26" ht="16.5" customHeight="1">
      <c r="A97" s="106"/>
      <c r="B97" s="106"/>
      <c r="C97" s="107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</row>
    <row r="98" spans="1:26" ht="16.5" customHeight="1">
      <c r="A98" s="106"/>
      <c r="B98" s="106"/>
      <c r="C98" s="107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</row>
    <row r="99" spans="1:26" ht="16.5" customHeight="1">
      <c r="A99" s="106"/>
      <c r="B99" s="106"/>
      <c r="C99" s="107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26" ht="16.5" customHeight="1">
      <c r="A100" s="106"/>
      <c r="B100" s="106"/>
      <c r="C100" s="107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</row>
    <row r="101" spans="1:26" ht="16.5" customHeight="1">
      <c r="A101" s="106"/>
      <c r="B101" s="106"/>
      <c r="C101" s="107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</row>
    <row r="102" spans="1:26" ht="16.5" customHeight="1">
      <c r="A102" s="106"/>
      <c r="B102" s="106"/>
      <c r="C102" s="107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</row>
    <row r="103" spans="1:26" ht="16.5" customHeight="1">
      <c r="A103" s="106"/>
      <c r="B103" s="106"/>
      <c r="C103" s="107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</row>
    <row r="104" spans="1:26" ht="16.5" customHeight="1">
      <c r="A104" s="106"/>
      <c r="B104" s="106"/>
      <c r="C104" s="107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</row>
    <row r="105" spans="1:26" ht="16.5" customHeight="1">
      <c r="A105" s="106"/>
      <c r="B105" s="106"/>
      <c r="C105" s="107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</row>
    <row r="106" spans="1:26" ht="16.5" customHeight="1">
      <c r="A106" s="106"/>
      <c r="B106" s="106"/>
      <c r="C106" s="107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</row>
    <row r="107" spans="1:26" ht="16.5" customHeight="1">
      <c r="A107" s="106"/>
      <c r="B107" s="106"/>
      <c r="C107" s="107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</row>
    <row r="108" spans="1:26" ht="16.5" customHeight="1">
      <c r="A108" s="106"/>
      <c r="B108" s="106"/>
      <c r="C108" s="107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</row>
    <row r="109" spans="1:26" ht="16.5" customHeight="1">
      <c r="A109" s="106"/>
      <c r="B109" s="106"/>
      <c r="C109" s="107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</row>
    <row r="110" spans="1:26" ht="16.5" customHeight="1">
      <c r="A110" s="106"/>
      <c r="B110" s="106"/>
      <c r="C110" s="107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</row>
    <row r="111" spans="1:26" ht="16.5" customHeight="1">
      <c r="A111" s="106"/>
      <c r="B111" s="106"/>
      <c r="C111" s="107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</row>
    <row r="112" spans="1:26" ht="16.5" customHeight="1">
      <c r="A112" s="106"/>
      <c r="B112" s="106"/>
      <c r="C112" s="107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</row>
    <row r="113" spans="1:26" ht="16.5" customHeight="1">
      <c r="A113" s="106"/>
      <c r="B113" s="106"/>
      <c r="C113" s="107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</row>
    <row r="114" spans="1:26" ht="16.5" customHeight="1">
      <c r="A114" s="106"/>
      <c r="B114" s="106"/>
      <c r="C114" s="107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</row>
    <row r="115" spans="1:26" ht="16.5" customHeight="1">
      <c r="A115" s="106"/>
      <c r="B115" s="106"/>
      <c r="C115" s="107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</row>
    <row r="116" spans="1:26" ht="16.5" customHeight="1">
      <c r="A116" s="106"/>
      <c r="B116" s="106"/>
      <c r="C116" s="107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</row>
    <row r="117" spans="1:26" ht="16.5" customHeight="1">
      <c r="A117" s="106"/>
      <c r="B117" s="106"/>
      <c r="C117" s="107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</row>
    <row r="118" spans="1:26" ht="16.5" customHeight="1">
      <c r="A118" s="106"/>
      <c r="B118" s="106"/>
      <c r="C118" s="107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</row>
    <row r="119" spans="1:26" ht="16.5" customHeight="1">
      <c r="A119" s="106"/>
      <c r="B119" s="106"/>
      <c r="C119" s="107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</row>
    <row r="120" spans="1:26" ht="16.5" customHeight="1">
      <c r="A120" s="106"/>
      <c r="B120" s="106"/>
      <c r="C120" s="107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</row>
    <row r="121" spans="1:26" ht="16.5" customHeight="1">
      <c r="A121" s="106"/>
      <c r="B121" s="106"/>
      <c r="C121" s="107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</row>
    <row r="122" spans="1:26" ht="16.5" customHeight="1">
      <c r="A122" s="106"/>
      <c r="B122" s="106"/>
      <c r="C122" s="107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</row>
    <row r="123" spans="1:26" ht="16.5" customHeight="1">
      <c r="A123" s="106"/>
      <c r="B123" s="106"/>
      <c r="C123" s="107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</row>
    <row r="124" spans="1:26" ht="16.5" customHeight="1">
      <c r="A124" s="106"/>
      <c r="B124" s="106"/>
      <c r="C124" s="107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</row>
    <row r="125" spans="1:26" ht="16.5" customHeight="1">
      <c r="A125" s="106"/>
      <c r="B125" s="106"/>
      <c r="C125" s="107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</row>
    <row r="126" spans="1:26" ht="16.5" customHeight="1">
      <c r="A126" s="106"/>
      <c r="B126" s="106"/>
      <c r="C126" s="107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</row>
    <row r="127" spans="1:26" ht="16.5" customHeight="1">
      <c r="A127" s="106"/>
      <c r="B127" s="106"/>
      <c r="C127" s="107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</row>
    <row r="128" spans="1:26" ht="16.5" customHeight="1">
      <c r="A128" s="106"/>
      <c r="B128" s="106"/>
      <c r="C128" s="107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</row>
    <row r="129" spans="1:26" ht="16.5" customHeight="1">
      <c r="A129" s="106"/>
      <c r="B129" s="106"/>
      <c r="C129" s="107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</row>
    <row r="130" spans="1:26" ht="16.5" customHeight="1">
      <c r="A130" s="106"/>
      <c r="B130" s="106"/>
      <c r="C130" s="107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</row>
    <row r="131" spans="1:26" ht="16.5" customHeight="1">
      <c r="A131" s="106"/>
      <c r="B131" s="106"/>
      <c r="C131" s="107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</row>
    <row r="132" spans="1:26" ht="16.5" customHeight="1">
      <c r="A132" s="106"/>
      <c r="B132" s="106"/>
      <c r="C132" s="107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</row>
    <row r="133" spans="1:26" ht="16.5" customHeight="1">
      <c r="A133" s="106"/>
      <c r="B133" s="106"/>
      <c r="C133" s="107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</row>
    <row r="134" spans="1:26" ht="16.5" customHeight="1">
      <c r="A134" s="106"/>
      <c r="B134" s="106"/>
      <c r="C134" s="107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</row>
    <row r="135" spans="1:26" ht="16.5" customHeight="1">
      <c r="A135" s="106"/>
      <c r="B135" s="106"/>
      <c r="C135" s="107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</row>
    <row r="136" spans="1:26" ht="16.5" customHeight="1">
      <c r="A136" s="106"/>
      <c r="B136" s="106"/>
      <c r="C136" s="107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</row>
    <row r="137" spans="1:26" ht="16.5" customHeight="1">
      <c r="A137" s="106"/>
      <c r="B137" s="106"/>
      <c r="C137" s="107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</row>
    <row r="138" spans="1:26" ht="16.5" customHeight="1">
      <c r="A138" s="106"/>
      <c r="B138" s="106"/>
      <c r="C138" s="107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</row>
    <row r="139" spans="1:26" ht="16.5" customHeight="1">
      <c r="A139" s="106"/>
      <c r="B139" s="106"/>
      <c r="C139" s="107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</row>
    <row r="140" spans="1:26" ht="16.5" customHeight="1">
      <c r="A140" s="106"/>
      <c r="B140" s="106"/>
      <c r="C140" s="107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</row>
    <row r="141" spans="1:26" ht="16.5" customHeight="1">
      <c r="A141" s="106"/>
      <c r="B141" s="106"/>
      <c r="C141" s="107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</row>
    <row r="142" spans="1:26" ht="16.5" customHeight="1">
      <c r="A142" s="106"/>
      <c r="B142" s="106"/>
      <c r="C142" s="107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</row>
    <row r="143" spans="1:26" ht="16.5" customHeight="1">
      <c r="A143" s="106"/>
      <c r="B143" s="106"/>
      <c r="C143" s="107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</row>
    <row r="144" spans="1:26" ht="16.5" customHeight="1">
      <c r="A144" s="106"/>
      <c r="B144" s="106"/>
      <c r="C144" s="107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</row>
    <row r="145" spans="1:26" ht="16.5" customHeight="1">
      <c r="A145" s="106"/>
      <c r="B145" s="106"/>
      <c r="C145" s="107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</row>
    <row r="146" spans="1:26" ht="16.5" customHeight="1">
      <c r="A146" s="106"/>
      <c r="B146" s="106"/>
      <c r="C146" s="107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</row>
    <row r="147" spans="1:26" ht="16.5" customHeight="1">
      <c r="A147" s="106"/>
      <c r="B147" s="106"/>
      <c r="C147" s="107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</row>
    <row r="148" spans="1:26" ht="16.5" customHeight="1">
      <c r="A148" s="106"/>
      <c r="B148" s="106"/>
      <c r="C148" s="107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</row>
    <row r="149" spans="1:26" ht="16.5" customHeight="1">
      <c r="A149" s="106"/>
      <c r="B149" s="106"/>
      <c r="C149" s="107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</row>
    <row r="150" spans="1:26" ht="16.5" customHeight="1">
      <c r="A150" s="106"/>
      <c r="B150" s="106"/>
      <c r="C150" s="107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</row>
    <row r="151" spans="1:26" ht="16.5" customHeight="1">
      <c r="A151" s="106"/>
      <c r="B151" s="106"/>
      <c r="C151" s="107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</row>
    <row r="152" spans="1:26" ht="16.5" customHeight="1">
      <c r="A152" s="106"/>
      <c r="B152" s="106"/>
      <c r="C152" s="107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</row>
    <row r="153" spans="1:26" ht="16.5" customHeight="1">
      <c r="A153" s="106"/>
      <c r="B153" s="106"/>
      <c r="C153" s="107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</row>
    <row r="154" spans="1:26" ht="16.5" customHeight="1">
      <c r="A154" s="106"/>
      <c r="B154" s="106"/>
      <c r="C154" s="107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</row>
    <row r="155" spans="1:26" ht="16.5" customHeight="1">
      <c r="A155" s="106"/>
      <c r="B155" s="106"/>
      <c r="C155" s="107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</row>
    <row r="156" spans="1:26" ht="16.5" customHeight="1">
      <c r="A156" s="106"/>
      <c r="B156" s="106"/>
      <c r="C156" s="107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</row>
    <row r="157" spans="1:26" ht="16.5" customHeight="1">
      <c r="A157" s="106"/>
      <c r="B157" s="106"/>
      <c r="C157" s="107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</row>
    <row r="158" spans="1:26" ht="16.5" customHeight="1">
      <c r="A158" s="106"/>
      <c r="B158" s="106"/>
      <c r="C158" s="107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</row>
    <row r="159" spans="1:26" ht="16.5" customHeight="1">
      <c r="A159" s="106"/>
      <c r="B159" s="106"/>
      <c r="C159" s="107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</row>
    <row r="160" spans="1:26" ht="16.5" customHeight="1">
      <c r="A160" s="106"/>
      <c r="B160" s="106"/>
      <c r="C160" s="107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</row>
    <row r="161" spans="1:26" ht="16.5" customHeight="1">
      <c r="A161" s="106"/>
      <c r="B161" s="106"/>
      <c r="C161" s="107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</row>
    <row r="162" spans="1:26" ht="16.5" customHeight="1">
      <c r="A162" s="106"/>
      <c r="B162" s="106"/>
      <c r="C162" s="107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</row>
    <row r="163" spans="1:26" ht="16.5" customHeight="1">
      <c r="A163" s="106"/>
      <c r="B163" s="106"/>
      <c r="C163" s="107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</row>
    <row r="164" spans="1:26" ht="16.5" customHeight="1">
      <c r="A164" s="106"/>
      <c r="B164" s="106"/>
      <c r="C164" s="107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</row>
    <row r="165" spans="1:26" ht="16.5" customHeight="1">
      <c r="A165" s="106"/>
      <c r="B165" s="106"/>
      <c r="C165" s="107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</row>
    <row r="166" spans="1:26" ht="16.5" customHeight="1">
      <c r="A166" s="106"/>
      <c r="B166" s="106"/>
      <c r="C166" s="107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</row>
    <row r="167" spans="1:26" ht="16.5" customHeight="1">
      <c r="A167" s="106"/>
      <c r="B167" s="106"/>
      <c r="C167" s="107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</row>
    <row r="168" spans="1:26" ht="16.5" customHeight="1">
      <c r="A168" s="106"/>
      <c r="B168" s="106"/>
      <c r="C168" s="107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</row>
    <row r="169" spans="1:26" ht="16.5" customHeight="1">
      <c r="A169" s="106"/>
      <c r="B169" s="106"/>
      <c r="C169" s="107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</row>
    <row r="170" spans="1:26" ht="16.5" customHeight="1">
      <c r="A170" s="106"/>
      <c r="B170" s="106"/>
      <c r="C170" s="107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</row>
    <row r="171" spans="1:26" ht="16.5" customHeight="1">
      <c r="A171" s="106"/>
      <c r="B171" s="106"/>
      <c r="C171" s="107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</row>
    <row r="172" spans="1:26" ht="16.5" customHeight="1">
      <c r="A172" s="106"/>
      <c r="B172" s="106"/>
      <c r="C172" s="107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</row>
    <row r="173" spans="1:26" ht="16.5" customHeight="1">
      <c r="A173" s="106"/>
      <c r="B173" s="106"/>
      <c r="C173" s="107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</row>
    <row r="174" spans="1:26" ht="16.5" customHeight="1">
      <c r="A174" s="106"/>
      <c r="B174" s="106"/>
      <c r="C174" s="107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</row>
    <row r="175" spans="1:26" ht="16.5" customHeight="1">
      <c r="A175" s="106"/>
      <c r="B175" s="106"/>
      <c r="C175" s="107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</row>
    <row r="176" spans="1:26" ht="16.5" customHeight="1">
      <c r="A176" s="106"/>
      <c r="B176" s="106"/>
      <c r="C176" s="107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</row>
    <row r="177" spans="1:26" ht="16.5" customHeight="1">
      <c r="A177" s="106"/>
      <c r="B177" s="106"/>
      <c r="C177" s="107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</row>
    <row r="178" spans="1:26" ht="16.5" customHeight="1">
      <c r="A178" s="106"/>
      <c r="B178" s="106"/>
      <c r="C178" s="107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</row>
    <row r="179" spans="1:26" ht="16.5" customHeight="1">
      <c r="A179" s="106"/>
      <c r="B179" s="106"/>
      <c r="C179" s="107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</row>
    <row r="180" spans="1:26" ht="16.5" customHeight="1">
      <c r="A180" s="106"/>
      <c r="B180" s="106"/>
      <c r="C180" s="107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</row>
    <row r="181" spans="1:26" ht="16.5" customHeight="1">
      <c r="A181" s="106"/>
      <c r="B181" s="106"/>
      <c r="C181" s="107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</row>
    <row r="182" spans="1:26" ht="16.5" customHeight="1">
      <c r="A182" s="106"/>
      <c r="B182" s="106"/>
      <c r="C182" s="107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</row>
    <row r="183" spans="1:26" ht="16.5" customHeight="1">
      <c r="A183" s="106"/>
      <c r="B183" s="106"/>
      <c r="C183" s="107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</row>
    <row r="184" spans="1:26" ht="16.5" customHeight="1">
      <c r="A184" s="106"/>
      <c r="B184" s="106"/>
      <c r="C184" s="107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</row>
    <row r="185" spans="1:26" ht="16.5" customHeight="1">
      <c r="A185" s="106"/>
      <c r="B185" s="106"/>
      <c r="C185" s="107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</row>
    <row r="186" spans="1:26" ht="16.5" customHeight="1">
      <c r="A186" s="106"/>
      <c r="B186" s="106"/>
      <c r="C186" s="107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</row>
    <row r="187" spans="1:26" ht="16.5" customHeight="1">
      <c r="A187" s="106"/>
      <c r="B187" s="106"/>
      <c r="C187" s="107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</row>
    <row r="188" spans="1:26" ht="16.5" customHeight="1">
      <c r="A188" s="106"/>
      <c r="B188" s="106"/>
      <c r="C188" s="107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</row>
    <row r="189" spans="1:26" ht="16.5" customHeight="1">
      <c r="A189" s="106"/>
      <c r="B189" s="106"/>
      <c r="C189" s="107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</row>
    <row r="190" spans="1:26" ht="16.5" customHeight="1">
      <c r="A190" s="106"/>
      <c r="B190" s="106"/>
      <c r="C190" s="107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</row>
    <row r="191" spans="1:26" ht="16.5" customHeight="1">
      <c r="A191" s="106"/>
      <c r="B191" s="106"/>
      <c r="C191" s="107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</row>
    <row r="192" spans="1:26" ht="16.5" customHeight="1">
      <c r="A192" s="106"/>
      <c r="B192" s="106"/>
      <c r="C192" s="107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</row>
    <row r="193" spans="1:26" ht="16.5" customHeight="1">
      <c r="A193" s="106"/>
      <c r="B193" s="106"/>
      <c r="C193" s="107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</row>
    <row r="194" spans="1:26" ht="16.5" customHeight="1">
      <c r="A194" s="106"/>
      <c r="B194" s="106"/>
      <c r="C194" s="107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</row>
    <row r="195" spans="1:26" ht="16.5" customHeight="1">
      <c r="A195" s="106"/>
      <c r="B195" s="106"/>
      <c r="C195" s="107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</row>
    <row r="196" spans="1:26" ht="16.5" customHeight="1">
      <c r="A196" s="106"/>
      <c r="B196" s="106"/>
      <c r="C196" s="107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</row>
    <row r="197" spans="1:26" ht="16.5" customHeight="1">
      <c r="A197" s="106"/>
      <c r="B197" s="106"/>
      <c r="C197" s="107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</row>
    <row r="198" spans="1:26" ht="16.5" customHeight="1">
      <c r="A198" s="106"/>
      <c r="B198" s="106"/>
      <c r="C198" s="107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</row>
    <row r="199" spans="1:26" ht="16.5" customHeight="1">
      <c r="A199" s="106"/>
      <c r="B199" s="106"/>
      <c r="C199" s="107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</row>
    <row r="200" spans="1:26" ht="16.5" customHeight="1">
      <c r="A200" s="106"/>
      <c r="B200" s="106"/>
      <c r="C200" s="107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</row>
    <row r="201" spans="1:26" ht="16.5" customHeight="1">
      <c r="A201" s="106"/>
      <c r="B201" s="106"/>
      <c r="C201" s="107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</row>
    <row r="202" spans="1:26" ht="16.5" customHeight="1">
      <c r="A202" s="106"/>
      <c r="B202" s="106"/>
      <c r="C202" s="107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</row>
    <row r="203" spans="1:26" ht="16.5" customHeight="1">
      <c r="A203" s="106"/>
      <c r="B203" s="106"/>
      <c r="C203" s="107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</row>
    <row r="204" spans="1:26" ht="16.5" customHeight="1">
      <c r="A204" s="106"/>
      <c r="B204" s="106"/>
      <c r="C204" s="107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</row>
    <row r="205" spans="1:26" ht="16.5" customHeight="1">
      <c r="A205" s="106"/>
      <c r="B205" s="106"/>
      <c r="C205" s="107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</row>
    <row r="206" spans="1:26" ht="16.5" customHeight="1">
      <c r="A206" s="106"/>
      <c r="B206" s="106"/>
      <c r="C206" s="107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</row>
    <row r="207" spans="1:26" ht="16.5" customHeight="1">
      <c r="A207" s="106"/>
      <c r="B207" s="106"/>
      <c r="C207" s="107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</row>
    <row r="208" spans="1:26" ht="16.5" customHeight="1">
      <c r="A208" s="106"/>
      <c r="B208" s="106"/>
      <c r="C208" s="107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</row>
    <row r="209" spans="1:26" ht="16.5" customHeight="1">
      <c r="A209" s="106"/>
      <c r="B209" s="106"/>
      <c r="C209" s="107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</row>
    <row r="210" spans="1:26" ht="16.5" customHeight="1">
      <c r="A210" s="106"/>
      <c r="B210" s="106"/>
      <c r="C210" s="107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</row>
    <row r="211" spans="1:26" ht="16.5" customHeight="1">
      <c r="A211" s="106"/>
      <c r="B211" s="106"/>
      <c r="C211" s="107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</row>
    <row r="212" spans="1:26" ht="16.5" customHeight="1">
      <c r="A212" s="106"/>
      <c r="B212" s="106"/>
      <c r="C212" s="107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</row>
    <row r="213" spans="1:26" ht="16.5" customHeight="1">
      <c r="A213" s="106"/>
      <c r="B213" s="106"/>
      <c r="C213" s="107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</row>
    <row r="214" spans="1:26" ht="16.5" customHeight="1">
      <c r="A214" s="106"/>
      <c r="B214" s="106"/>
      <c r="C214" s="107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</row>
    <row r="215" spans="1:26" ht="16.5" customHeight="1">
      <c r="A215" s="106"/>
      <c r="B215" s="106"/>
      <c r="C215" s="107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</row>
    <row r="216" spans="1:26" ht="16.5" customHeight="1">
      <c r="A216" s="106"/>
      <c r="B216" s="106"/>
      <c r="C216" s="107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</row>
    <row r="217" spans="1:26" ht="16.5" customHeight="1">
      <c r="A217" s="106"/>
      <c r="B217" s="106"/>
      <c r="C217" s="107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</row>
    <row r="218" spans="1:26" ht="16.5" customHeight="1">
      <c r="A218" s="106"/>
      <c r="B218" s="106"/>
      <c r="C218" s="107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</row>
    <row r="219" spans="1:26" ht="16.5" customHeight="1">
      <c r="A219" s="106"/>
      <c r="B219" s="106"/>
      <c r="C219" s="107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</row>
    <row r="220" spans="1:26" ht="16.5" customHeight="1">
      <c r="A220" s="106"/>
      <c r="B220" s="106"/>
      <c r="C220" s="107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</row>
    <row r="221" spans="1:26" ht="16.5" customHeight="1">
      <c r="A221" s="106"/>
      <c r="B221" s="106"/>
      <c r="C221" s="107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</row>
    <row r="222" spans="1:26" ht="16.5" customHeight="1">
      <c r="A222" s="106"/>
      <c r="B222" s="106"/>
      <c r="C222" s="107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</row>
    <row r="223" spans="1:26" ht="16.5" customHeight="1">
      <c r="A223" s="106"/>
      <c r="B223" s="106"/>
      <c r="C223" s="107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</row>
    <row r="224" spans="1:26" ht="16.5" customHeight="1">
      <c r="A224" s="106"/>
      <c r="B224" s="106"/>
      <c r="C224" s="107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</row>
    <row r="225" spans="1:26" ht="16.5" customHeight="1">
      <c r="A225" s="106"/>
      <c r="B225" s="106"/>
      <c r="C225" s="107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</row>
    <row r="226" spans="1:26" ht="16.5" customHeight="1">
      <c r="A226" s="106"/>
      <c r="B226" s="106"/>
      <c r="C226" s="107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</row>
    <row r="227" spans="1:26" ht="16.5" customHeight="1">
      <c r="A227" s="106"/>
      <c r="B227" s="106"/>
      <c r="C227" s="107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</row>
    <row r="228" spans="1:26" ht="16.5" customHeight="1">
      <c r="A228" s="106"/>
      <c r="B228" s="106"/>
      <c r="C228" s="107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</row>
    <row r="229" spans="1:26" ht="16.5" customHeight="1">
      <c r="A229" s="106"/>
      <c r="B229" s="106"/>
      <c r="C229" s="107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</row>
    <row r="230" spans="1:26" ht="16.5" customHeight="1">
      <c r="A230" s="106"/>
      <c r="B230" s="106"/>
      <c r="C230" s="107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</row>
    <row r="231" spans="1:26" ht="16.5" customHeight="1">
      <c r="A231" s="106"/>
      <c r="B231" s="106"/>
      <c r="C231" s="107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</row>
    <row r="232" spans="1:26" ht="16.5" customHeight="1">
      <c r="A232" s="106"/>
      <c r="B232" s="106"/>
      <c r="C232" s="107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</row>
    <row r="233" spans="1:26" ht="16.5" customHeight="1">
      <c r="A233" s="106"/>
      <c r="B233" s="106"/>
      <c r="C233" s="107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</row>
    <row r="234" spans="1:26" ht="16.5" customHeight="1">
      <c r="A234" s="106"/>
      <c r="B234" s="106"/>
      <c r="C234" s="107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</row>
    <row r="235" spans="1:26" ht="16.5" customHeight="1">
      <c r="A235" s="106"/>
      <c r="B235" s="106"/>
      <c r="C235" s="107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</row>
    <row r="236" spans="1:26" ht="16.5" customHeight="1">
      <c r="A236" s="106"/>
      <c r="B236" s="106"/>
      <c r="C236" s="107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</row>
    <row r="237" spans="1:26" ht="16.5" customHeight="1">
      <c r="A237" s="106"/>
      <c r="B237" s="106"/>
      <c r="C237" s="107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</row>
    <row r="238" spans="1:26" ht="16.5" customHeight="1">
      <c r="A238" s="106"/>
      <c r="B238" s="106"/>
      <c r="C238" s="107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</row>
    <row r="239" spans="1:26" ht="16.5" customHeight="1">
      <c r="A239" s="106"/>
      <c r="B239" s="106"/>
      <c r="C239" s="107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</row>
    <row r="240" spans="1:26" ht="16.5" customHeight="1">
      <c r="A240" s="106"/>
      <c r="B240" s="106"/>
      <c r="C240" s="107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</row>
    <row r="241" spans="1:26" ht="16.5" customHeight="1">
      <c r="A241" s="106"/>
      <c r="B241" s="106"/>
      <c r="C241" s="107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</row>
    <row r="242" spans="1:26" ht="16.5" customHeight="1">
      <c r="A242" s="106"/>
      <c r="B242" s="106"/>
      <c r="C242" s="107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</row>
    <row r="243" spans="1:26" ht="16.5" customHeight="1">
      <c r="A243" s="106"/>
      <c r="B243" s="106"/>
      <c r="C243" s="107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</row>
    <row r="244" spans="1:26" ht="16.5" customHeight="1">
      <c r="A244" s="106"/>
      <c r="B244" s="106"/>
      <c r="C244" s="107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</row>
    <row r="245" spans="1:26" ht="16.5" customHeight="1">
      <c r="A245" s="106"/>
      <c r="B245" s="106"/>
      <c r="C245" s="107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</row>
    <row r="246" spans="1:26" ht="16.5" customHeight="1">
      <c r="A246" s="106"/>
      <c r="B246" s="106"/>
      <c r="C246" s="107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</row>
    <row r="247" spans="1:26" ht="16.5" customHeight="1">
      <c r="A247" s="106"/>
      <c r="B247" s="106"/>
      <c r="C247" s="107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</row>
    <row r="248" spans="1:26" ht="16.5" customHeight="1">
      <c r="A248" s="106"/>
      <c r="B248" s="106"/>
      <c r="C248" s="107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</row>
    <row r="249" spans="1:26" ht="16.5" customHeight="1">
      <c r="A249" s="106"/>
      <c r="B249" s="106"/>
      <c r="C249" s="107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</row>
    <row r="250" spans="1:26" ht="16.5" customHeight="1">
      <c r="A250" s="106"/>
      <c r="B250" s="106"/>
      <c r="C250" s="107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</row>
    <row r="251" spans="1:26" ht="16.5" customHeight="1">
      <c r="A251" s="106"/>
      <c r="B251" s="106"/>
      <c r="C251" s="107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</row>
    <row r="252" spans="1:26" ht="16.5" customHeight="1">
      <c r="A252" s="106"/>
      <c r="B252" s="106"/>
      <c r="C252" s="107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</row>
    <row r="253" spans="1:26" ht="16.5" customHeight="1">
      <c r="A253" s="106"/>
      <c r="B253" s="106"/>
      <c r="C253" s="107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</row>
    <row r="254" spans="1:26" ht="16.5" customHeight="1">
      <c r="A254" s="106"/>
      <c r="B254" s="106"/>
      <c r="C254" s="107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</row>
    <row r="255" spans="1:26" ht="16.5" customHeight="1">
      <c r="A255" s="106"/>
      <c r="B255" s="106"/>
      <c r="C255" s="107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</row>
    <row r="256" spans="1:26" ht="16.5" customHeight="1">
      <c r="A256" s="106"/>
      <c r="B256" s="106"/>
      <c r="C256" s="107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</row>
    <row r="257" spans="1:26" ht="16.5" customHeight="1">
      <c r="A257" s="106"/>
      <c r="B257" s="106"/>
      <c r="C257" s="107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</row>
    <row r="258" spans="1:26" ht="16.5" customHeight="1">
      <c r="A258" s="106"/>
      <c r="B258" s="106"/>
      <c r="C258" s="107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</row>
    <row r="259" spans="1:26" ht="16.5" customHeight="1">
      <c r="A259" s="106"/>
      <c r="B259" s="106"/>
      <c r="C259" s="107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</row>
    <row r="260" spans="1:26" ht="16.5" customHeight="1">
      <c r="A260" s="106"/>
      <c r="B260" s="106"/>
      <c r="C260" s="107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</row>
    <row r="261" spans="1:26" ht="16.5" customHeight="1">
      <c r="A261" s="106"/>
      <c r="B261" s="106"/>
      <c r="C261" s="107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</row>
    <row r="262" spans="1:26" ht="16.5" customHeight="1">
      <c r="A262" s="106"/>
      <c r="B262" s="106"/>
      <c r="C262" s="107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</row>
    <row r="263" spans="1:26" ht="16.5" customHeight="1">
      <c r="A263" s="106"/>
      <c r="B263" s="106"/>
      <c r="C263" s="107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</row>
    <row r="264" spans="1:26" ht="16.5" customHeight="1">
      <c r="A264" s="106"/>
      <c r="B264" s="106"/>
      <c r="C264" s="107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</row>
    <row r="265" spans="1:26" ht="16.5" customHeight="1">
      <c r="A265" s="106"/>
      <c r="B265" s="106"/>
      <c r="C265" s="107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</row>
    <row r="266" spans="1:26" ht="16.5" customHeight="1">
      <c r="A266" s="106"/>
      <c r="B266" s="106"/>
      <c r="C266" s="107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</row>
    <row r="267" spans="1:26" ht="16.5" customHeight="1">
      <c r="A267" s="106"/>
      <c r="B267" s="106"/>
      <c r="C267" s="107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</row>
    <row r="268" spans="1:26" ht="16.5" customHeight="1">
      <c r="A268" s="106"/>
      <c r="B268" s="106"/>
      <c r="C268" s="107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</row>
    <row r="269" spans="1:26" ht="16.5" customHeight="1">
      <c r="A269" s="106"/>
      <c r="B269" s="106"/>
      <c r="C269" s="107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</row>
    <row r="270" spans="1:26" ht="16.5" customHeight="1">
      <c r="A270" s="106"/>
      <c r="B270" s="106"/>
      <c r="C270" s="107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</row>
    <row r="271" spans="1:26" ht="16.5" customHeight="1">
      <c r="A271" s="106"/>
      <c r="B271" s="106"/>
      <c r="C271" s="107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</row>
    <row r="272" spans="1:26" ht="16.5" customHeight="1">
      <c r="A272" s="106"/>
      <c r="B272" s="106"/>
      <c r="C272" s="107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</row>
    <row r="273" spans="1:26" ht="16.5" customHeight="1">
      <c r="A273" s="106"/>
      <c r="B273" s="106"/>
      <c r="C273" s="107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</row>
    <row r="274" spans="1:26" ht="16.5" customHeight="1">
      <c r="A274" s="106"/>
      <c r="B274" s="106"/>
      <c r="C274" s="107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</row>
    <row r="275" spans="1:26" ht="16.5" customHeight="1">
      <c r="A275" s="106"/>
      <c r="B275" s="106"/>
      <c r="C275" s="107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</row>
    <row r="276" spans="1:26" ht="16.5" customHeight="1">
      <c r="A276" s="106"/>
      <c r="B276" s="106"/>
      <c r="C276" s="107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</row>
    <row r="277" spans="1:26" ht="16.5" customHeight="1">
      <c r="A277" s="106"/>
      <c r="B277" s="106"/>
      <c r="C277" s="107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</row>
    <row r="278" spans="1:26" ht="16.5" customHeight="1">
      <c r="A278" s="106"/>
      <c r="B278" s="106"/>
      <c r="C278" s="107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</row>
    <row r="279" spans="1:26" ht="16.5" customHeight="1">
      <c r="A279" s="106"/>
      <c r="B279" s="106"/>
      <c r="C279" s="107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</row>
    <row r="280" spans="1:26" ht="16.5" customHeight="1">
      <c r="A280" s="106"/>
      <c r="B280" s="106"/>
      <c r="C280" s="107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</row>
    <row r="281" spans="1:26" ht="16.5" customHeight="1">
      <c r="A281" s="106"/>
      <c r="B281" s="106"/>
      <c r="C281" s="107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</row>
    <row r="282" spans="1:26" ht="16.5" customHeight="1">
      <c r="A282" s="106"/>
      <c r="B282" s="106"/>
      <c r="C282" s="107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</row>
    <row r="283" spans="1:26" ht="16.5" customHeight="1">
      <c r="A283" s="106"/>
      <c r="B283" s="106"/>
      <c r="C283" s="107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</row>
    <row r="284" spans="1:26" ht="16.5" customHeight="1">
      <c r="A284" s="106"/>
      <c r="B284" s="106"/>
      <c r="C284" s="107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</row>
    <row r="285" spans="1:26" ht="16.5" customHeight="1">
      <c r="A285" s="106"/>
      <c r="B285" s="106"/>
      <c r="C285" s="107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</row>
    <row r="286" spans="1:26" ht="16.5" customHeight="1">
      <c r="A286" s="106"/>
      <c r="B286" s="106"/>
      <c r="C286" s="107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</row>
    <row r="287" spans="1:26" ht="16.5" customHeight="1">
      <c r="A287" s="106"/>
      <c r="B287" s="106"/>
      <c r="C287" s="107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</row>
    <row r="288" spans="1:26" ht="16.5" customHeight="1">
      <c r="A288" s="106"/>
      <c r="B288" s="106"/>
      <c r="C288" s="107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</row>
    <row r="289" spans="1:26" ht="16.5" customHeight="1">
      <c r="A289" s="106"/>
      <c r="B289" s="106"/>
      <c r="C289" s="107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</row>
    <row r="290" spans="1:26" ht="16.5" customHeight="1">
      <c r="A290" s="106"/>
      <c r="B290" s="106"/>
      <c r="C290" s="107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</row>
    <row r="291" spans="1:26" ht="16.5" customHeight="1">
      <c r="A291" s="106"/>
      <c r="B291" s="106"/>
      <c r="C291" s="107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</row>
    <row r="292" spans="1:26" ht="16.5" customHeight="1">
      <c r="A292" s="106"/>
      <c r="B292" s="106"/>
      <c r="C292" s="107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</row>
    <row r="293" spans="1:26" ht="16.5" customHeight="1">
      <c r="A293" s="106"/>
      <c r="B293" s="106"/>
      <c r="C293" s="107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</row>
    <row r="294" spans="1:26" ht="16.5" customHeight="1">
      <c r="A294" s="106"/>
      <c r="B294" s="106"/>
      <c r="C294" s="107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</row>
    <row r="295" spans="1:26" ht="16.5" customHeight="1">
      <c r="A295" s="106"/>
      <c r="B295" s="106"/>
      <c r="C295" s="107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</row>
    <row r="296" spans="1:26" ht="16.5" customHeight="1">
      <c r="A296" s="106"/>
      <c r="B296" s="106"/>
      <c r="C296" s="107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</row>
    <row r="297" spans="1:26" ht="16.5" customHeight="1">
      <c r="A297" s="106"/>
      <c r="B297" s="106"/>
      <c r="C297" s="107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</row>
    <row r="298" spans="1:26" ht="16.5" customHeight="1">
      <c r="A298" s="106"/>
      <c r="B298" s="106"/>
      <c r="C298" s="107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</row>
    <row r="299" spans="1:26" ht="16.5" customHeight="1">
      <c r="A299" s="106"/>
      <c r="B299" s="106"/>
      <c r="C299" s="107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</row>
    <row r="300" spans="1:26" ht="16.5" customHeight="1">
      <c r="A300" s="106"/>
      <c r="B300" s="106"/>
      <c r="C300" s="107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</row>
    <row r="301" spans="1:26" ht="16.5" customHeight="1">
      <c r="A301" s="106"/>
      <c r="B301" s="106"/>
      <c r="C301" s="107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</row>
    <row r="302" spans="1:26" ht="16.5" customHeight="1">
      <c r="A302" s="106"/>
      <c r="B302" s="106"/>
      <c r="C302" s="107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</row>
    <row r="303" spans="1:26" ht="16.5" customHeight="1">
      <c r="A303" s="106"/>
      <c r="B303" s="106"/>
      <c r="C303" s="107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</row>
    <row r="304" spans="1:26" ht="16.5" customHeight="1">
      <c r="A304" s="106"/>
      <c r="B304" s="106"/>
      <c r="C304" s="107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</row>
    <row r="305" spans="1:26" ht="16.5" customHeight="1">
      <c r="A305" s="106"/>
      <c r="B305" s="106"/>
      <c r="C305" s="107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</row>
    <row r="306" spans="1:26" ht="16.5" customHeight="1">
      <c r="A306" s="106"/>
      <c r="B306" s="106"/>
      <c r="C306" s="107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</row>
    <row r="307" spans="1:26" ht="16.5" customHeight="1">
      <c r="A307" s="106"/>
      <c r="B307" s="106"/>
      <c r="C307" s="107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</row>
    <row r="308" spans="1:26" ht="16.5" customHeight="1">
      <c r="A308" s="106"/>
      <c r="B308" s="106"/>
      <c r="C308" s="107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</row>
    <row r="309" spans="1:26" ht="16.5" customHeight="1">
      <c r="A309" s="106"/>
      <c r="B309" s="106"/>
      <c r="C309" s="107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</row>
    <row r="310" spans="1:26" ht="16.5" customHeight="1">
      <c r="A310" s="106"/>
      <c r="B310" s="106"/>
      <c r="C310" s="107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</row>
    <row r="311" spans="1:26" ht="16.5" customHeight="1">
      <c r="A311" s="106"/>
      <c r="B311" s="106"/>
      <c r="C311" s="107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</row>
    <row r="312" spans="1:26" ht="16.5" customHeight="1">
      <c r="A312" s="106"/>
      <c r="B312" s="106"/>
      <c r="C312" s="107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</row>
    <row r="313" spans="1:26" ht="16.5" customHeight="1">
      <c r="A313" s="106"/>
      <c r="B313" s="106"/>
      <c r="C313" s="107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</row>
    <row r="314" spans="1:26" ht="16.5" customHeight="1">
      <c r="A314" s="106"/>
      <c r="B314" s="106"/>
      <c r="C314" s="107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</row>
    <row r="315" spans="1:26" ht="16.5" customHeight="1">
      <c r="A315" s="106"/>
      <c r="B315" s="106"/>
      <c r="C315" s="107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</row>
    <row r="316" spans="1:26" ht="16.5" customHeight="1">
      <c r="A316" s="106"/>
      <c r="B316" s="106"/>
      <c r="C316" s="107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</row>
    <row r="317" spans="1:26" ht="16.5" customHeight="1">
      <c r="A317" s="106"/>
      <c r="B317" s="106"/>
      <c r="C317" s="107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</row>
    <row r="318" spans="1:26" ht="16.5" customHeight="1">
      <c r="A318" s="106"/>
      <c r="B318" s="106"/>
      <c r="C318" s="107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</row>
    <row r="319" spans="1:26" ht="16.5" customHeight="1">
      <c r="A319" s="106"/>
      <c r="B319" s="106"/>
      <c r="C319" s="107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</row>
    <row r="320" spans="1:26" ht="16.5" customHeight="1">
      <c r="A320" s="106"/>
      <c r="B320" s="106"/>
      <c r="C320" s="107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</row>
    <row r="321" spans="1:26" ht="16.5" customHeight="1">
      <c r="A321" s="106"/>
      <c r="B321" s="106"/>
      <c r="C321" s="107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</row>
    <row r="322" spans="1:26" ht="16.5" customHeight="1">
      <c r="A322" s="106"/>
      <c r="B322" s="106"/>
      <c r="C322" s="107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</row>
    <row r="323" spans="1:26" ht="16.5" customHeight="1">
      <c r="A323" s="106"/>
      <c r="B323" s="106"/>
      <c r="C323" s="107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</row>
    <row r="324" spans="1:26" ht="16.5" customHeight="1">
      <c r="A324" s="106"/>
      <c r="B324" s="106"/>
      <c r="C324" s="107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</row>
    <row r="325" spans="1:26" ht="16.5" customHeight="1">
      <c r="A325" s="106"/>
      <c r="B325" s="106"/>
      <c r="C325" s="107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</row>
    <row r="326" spans="1:26" ht="16.5" customHeight="1">
      <c r="A326" s="106"/>
      <c r="B326" s="106"/>
      <c r="C326" s="107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</row>
    <row r="327" spans="1:26" ht="16.5" customHeight="1">
      <c r="A327" s="106"/>
      <c r="B327" s="106"/>
      <c r="C327" s="107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</row>
    <row r="328" spans="1:26" ht="16.5" customHeight="1">
      <c r="A328" s="106"/>
      <c r="B328" s="106"/>
      <c r="C328" s="107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</row>
    <row r="329" spans="1:26" ht="16.5" customHeight="1">
      <c r="A329" s="106"/>
      <c r="B329" s="106"/>
      <c r="C329" s="107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</row>
    <row r="330" spans="1:26" ht="16.5" customHeight="1">
      <c r="A330" s="106"/>
      <c r="B330" s="106"/>
      <c r="C330" s="107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</row>
    <row r="331" spans="1:26" ht="16.5" customHeight="1">
      <c r="A331" s="106"/>
      <c r="B331" s="106"/>
      <c r="C331" s="107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</row>
    <row r="332" spans="1:26" ht="16.5" customHeight="1">
      <c r="A332" s="106"/>
      <c r="B332" s="106"/>
      <c r="C332" s="107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</row>
    <row r="333" spans="1:26" ht="16.5" customHeight="1">
      <c r="A333" s="106"/>
      <c r="B333" s="106"/>
      <c r="C333" s="107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</row>
    <row r="334" spans="1:26" ht="16.5" customHeight="1">
      <c r="A334" s="106"/>
      <c r="B334" s="106"/>
      <c r="C334" s="107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</row>
    <row r="335" spans="1:26" ht="16.5" customHeight="1">
      <c r="A335" s="106"/>
      <c r="B335" s="106"/>
      <c r="C335" s="107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</row>
    <row r="336" spans="1:26" ht="16.5" customHeight="1">
      <c r="A336" s="106"/>
      <c r="B336" s="106"/>
      <c r="C336" s="107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</row>
    <row r="337" spans="1:26" ht="16.5" customHeight="1">
      <c r="A337" s="106"/>
      <c r="B337" s="106"/>
      <c r="C337" s="107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</row>
    <row r="338" spans="1:26" ht="16.5" customHeight="1">
      <c r="A338" s="106"/>
      <c r="B338" s="106"/>
      <c r="C338" s="107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</row>
    <row r="339" spans="1:26" ht="16.5" customHeight="1">
      <c r="A339" s="106"/>
      <c r="B339" s="106"/>
      <c r="C339" s="107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</row>
    <row r="340" spans="1:26" ht="16.5" customHeight="1">
      <c r="A340" s="106"/>
      <c r="B340" s="106"/>
      <c r="C340" s="107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</row>
    <row r="341" spans="1:26" ht="16.5" customHeight="1">
      <c r="A341" s="106"/>
      <c r="B341" s="106"/>
      <c r="C341" s="107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</row>
    <row r="342" spans="1:26" ht="16.5" customHeight="1">
      <c r="A342" s="106"/>
      <c r="B342" s="106"/>
      <c r="C342" s="107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</row>
    <row r="343" spans="1:26" ht="16.5" customHeight="1">
      <c r="A343" s="106"/>
      <c r="B343" s="106"/>
      <c r="C343" s="107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</row>
    <row r="344" spans="1:26" ht="16.5" customHeight="1">
      <c r="A344" s="106"/>
      <c r="B344" s="106"/>
      <c r="C344" s="107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</row>
    <row r="345" spans="1:26" ht="16.5" customHeight="1">
      <c r="A345" s="106"/>
      <c r="B345" s="106"/>
      <c r="C345" s="107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</row>
    <row r="346" spans="1:26" ht="16.5" customHeight="1">
      <c r="A346" s="106"/>
      <c r="B346" s="106"/>
      <c r="C346" s="107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</row>
    <row r="347" spans="1:26" ht="16.5" customHeight="1">
      <c r="A347" s="106"/>
      <c r="B347" s="106"/>
      <c r="C347" s="107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</row>
    <row r="348" spans="1:26" ht="16.5" customHeight="1">
      <c r="A348" s="106"/>
      <c r="B348" s="106"/>
      <c r="C348" s="107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</row>
    <row r="349" spans="1:26" ht="16.5" customHeight="1">
      <c r="A349" s="106"/>
      <c r="B349" s="106"/>
      <c r="C349" s="107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</row>
    <row r="350" spans="1:26" ht="16.5" customHeight="1">
      <c r="A350" s="106"/>
      <c r="B350" s="106"/>
      <c r="C350" s="107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</row>
    <row r="351" spans="1:26" ht="16.5" customHeight="1">
      <c r="A351" s="106"/>
      <c r="B351" s="106"/>
      <c r="C351" s="107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</row>
    <row r="352" spans="1:26" ht="16.5" customHeight="1">
      <c r="A352" s="106"/>
      <c r="B352" s="106"/>
      <c r="C352" s="107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</row>
    <row r="353" spans="1:26" ht="16.5" customHeight="1">
      <c r="A353" s="106"/>
      <c r="B353" s="106"/>
      <c r="C353" s="107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</row>
    <row r="354" spans="1:26" ht="16.5" customHeight="1">
      <c r="A354" s="106"/>
      <c r="B354" s="106"/>
      <c r="C354" s="107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</row>
    <row r="355" spans="1:26" ht="16.5" customHeight="1">
      <c r="A355" s="106"/>
      <c r="B355" s="106"/>
      <c r="C355" s="107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</row>
    <row r="356" spans="1:26" ht="16.5" customHeight="1">
      <c r="A356" s="106"/>
      <c r="B356" s="106"/>
      <c r="C356" s="107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</row>
    <row r="357" spans="1:26" ht="16.5" customHeight="1">
      <c r="A357" s="106"/>
      <c r="B357" s="106"/>
      <c r="C357" s="107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</row>
    <row r="358" spans="1:26" ht="16.5" customHeight="1">
      <c r="A358" s="106"/>
      <c r="B358" s="106"/>
      <c r="C358" s="107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</row>
    <row r="359" spans="1:26" ht="16.5" customHeight="1">
      <c r="A359" s="106"/>
      <c r="B359" s="106"/>
      <c r="C359" s="107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</row>
    <row r="360" spans="1:26" ht="16.5" customHeight="1">
      <c r="A360" s="106"/>
      <c r="B360" s="106"/>
      <c r="C360" s="107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</row>
    <row r="361" spans="1:26" ht="16.5" customHeight="1">
      <c r="A361" s="106"/>
      <c r="B361" s="106"/>
      <c r="C361" s="107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</row>
    <row r="362" spans="1:26" ht="16.5" customHeight="1">
      <c r="A362" s="106"/>
      <c r="B362" s="106"/>
      <c r="C362" s="107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</row>
    <row r="363" spans="1:26" ht="16.5" customHeight="1">
      <c r="A363" s="106"/>
      <c r="B363" s="106"/>
      <c r="C363" s="107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</row>
    <row r="364" spans="1:26" ht="16.5" customHeight="1">
      <c r="A364" s="106"/>
      <c r="B364" s="106"/>
      <c r="C364" s="107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</row>
    <row r="365" spans="1:26" ht="16.5" customHeight="1">
      <c r="A365" s="106"/>
      <c r="B365" s="106"/>
      <c r="C365" s="107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</row>
    <row r="366" spans="1:26" ht="16.5" customHeight="1">
      <c r="A366" s="106"/>
      <c r="B366" s="106"/>
      <c r="C366" s="107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</row>
    <row r="367" spans="1:26" ht="16.5" customHeight="1">
      <c r="A367" s="106"/>
      <c r="B367" s="106"/>
      <c r="C367" s="107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</row>
    <row r="368" spans="1:26" ht="16.5" customHeight="1">
      <c r="A368" s="106"/>
      <c r="B368" s="106"/>
      <c r="C368" s="107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</row>
    <row r="369" spans="1:26" ht="16.5" customHeight="1">
      <c r="A369" s="106"/>
      <c r="B369" s="106"/>
      <c r="C369" s="107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</row>
    <row r="370" spans="1:26" ht="16.5" customHeight="1">
      <c r="A370" s="106"/>
      <c r="B370" s="106"/>
      <c r="C370" s="107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</row>
    <row r="371" spans="1:26" ht="16.5" customHeight="1">
      <c r="A371" s="106"/>
      <c r="B371" s="106"/>
      <c r="C371" s="107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</row>
    <row r="372" spans="1:26" ht="16.5" customHeight="1">
      <c r="A372" s="106"/>
      <c r="B372" s="106"/>
      <c r="C372" s="107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</row>
    <row r="373" spans="1:26" ht="16.5" customHeight="1">
      <c r="A373" s="106"/>
      <c r="B373" s="106"/>
      <c r="C373" s="107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</row>
    <row r="374" spans="1:26" ht="16.5" customHeight="1">
      <c r="A374" s="106"/>
      <c r="B374" s="106"/>
      <c r="C374" s="107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</row>
    <row r="375" spans="1:26" ht="16.5" customHeight="1">
      <c r="A375" s="106"/>
      <c r="B375" s="106"/>
      <c r="C375" s="107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</row>
    <row r="376" spans="1:26" ht="16.5" customHeight="1">
      <c r="A376" s="106"/>
      <c r="B376" s="106"/>
      <c r="C376" s="107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</row>
    <row r="377" spans="1:26" ht="16.5" customHeight="1">
      <c r="A377" s="106"/>
      <c r="B377" s="106"/>
      <c r="C377" s="107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</row>
    <row r="378" spans="1:26" ht="16.5" customHeight="1">
      <c r="A378" s="106"/>
      <c r="B378" s="106"/>
      <c r="C378" s="107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</row>
    <row r="379" spans="1:26" ht="16.5" customHeight="1">
      <c r="A379" s="106"/>
      <c r="B379" s="106"/>
      <c r="C379" s="107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</row>
    <row r="380" spans="1:26" ht="16.5" customHeight="1">
      <c r="A380" s="106"/>
      <c r="B380" s="106"/>
      <c r="C380" s="107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</row>
    <row r="381" spans="1:26" ht="16.5" customHeight="1">
      <c r="A381" s="106"/>
      <c r="B381" s="106"/>
      <c r="C381" s="107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</row>
    <row r="382" spans="1:26" ht="16.5" customHeight="1">
      <c r="A382" s="106"/>
      <c r="B382" s="106"/>
      <c r="C382" s="107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</row>
    <row r="383" spans="1:26" ht="16.5" customHeight="1">
      <c r="A383" s="106"/>
      <c r="B383" s="106"/>
      <c r="C383" s="107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</row>
    <row r="384" spans="1:26" ht="16.5" customHeight="1">
      <c r="A384" s="106"/>
      <c r="B384" s="106"/>
      <c r="C384" s="107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</row>
    <row r="385" spans="1:26" ht="16.5" customHeight="1">
      <c r="A385" s="106"/>
      <c r="B385" s="106"/>
      <c r="C385" s="107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</row>
    <row r="386" spans="1:26" ht="16.5" customHeight="1">
      <c r="A386" s="106"/>
      <c r="B386" s="106"/>
      <c r="C386" s="107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</row>
    <row r="387" spans="1:26" ht="16.5" customHeight="1">
      <c r="A387" s="106"/>
      <c r="B387" s="106"/>
      <c r="C387" s="107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</row>
    <row r="388" spans="1:26" ht="16.5" customHeight="1">
      <c r="A388" s="106"/>
      <c r="B388" s="106"/>
      <c r="C388" s="107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</row>
    <row r="389" spans="1:26" ht="16.5" customHeight="1">
      <c r="A389" s="106"/>
      <c r="B389" s="106"/>
      <c r="C389" s="107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</row>
    <row r="390" spans="1:26" ht="16.5" customHeight="1">
      <c r="A390" s="106"/>
      <c r="B390" s="106"/>
      <c r="C390" s="107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</row>
    <row r="391" spans="1:26" ht="16.5" customHeight="1">
      <c r="A391" s="106"/>
      <c r="B391" s="106"/>
      <c r="C391" s="107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</row>
    <row r="392" spans="1:26" ht="16.5" customHeight="1">
      <c r="A392" s="106"/>
      <c r="B392" s="106"/>
      <c r="C392" s="107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</row>
    <row r="393" spans="1:26" ht="16.5" customHeight="1">
      <c r="A393" s="106"/>
      <c r="B393" s="106"/>
      <c r="C393" s="107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</row>
    <row r="394" spans="1:26" ht="16.5" customHeight="1">
      <c r="A394" s="106"/>
      <c r="B394" s="106"/>
      <c r="C394" s="107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</row>
    <row r="395" spans="1:26" ht="16.5" customHeight="1">
      <c r="A395" s="106"/>
      <c r="B395" s="106"/>
      <c r="C395" s="107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</row>
    <row r="396" spans="1:26" ht="16.5" customHeight="1">
      <c r="A396" s="106"/>
      <c r="B396" s="106"/>
      <c r="C396" s="107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</row>
    <row r="397" spans="1:26" ht="16.5" customHeight="1">
      <c r="A397" s="106"/>
      <c r="B397" s="106"/>
      <c r="C397" s="107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</row>
    <row r="398" spans="1:26" ht="16.5" customHeight="1">
      <c r="A398" s="106"/>
      <c r="B398" s="106"/>
      <c r="C398" s="107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</row>
    <row r="399" spans="1:26" ht="16.5" customHeight="1">
      <c r="A399" s="106"/>
      <c r="B399" s="106"/>
      <c r="C399" s="107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</row>
    <row r="400" spans="1:26" ht="16.5" customHeight="1">
      <c r="A400" s="106"/>
      <c r="B400" s="106"/>
      <c r="C400" s="107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</row>
    <row r="401" spans="1:26" ht="16.5" customHeight="1">
      <c r="A401" s="106"/>
      <c r="B401" s="106"/>
      <c r="C401" s="107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</row>
    <row r="402" spans="1:26" ht="16.5" customHeight="1">
      <c r="A402" s="106"/>
      <c r="B402" s="106"/>
      <c r="C402" s="107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1"/>
      <c r="W402" s="101"/>
      <c r="X402" s="101"/>
      <c r="Y402" s="101"/>
      <c r="Z402" s="101"/>
    </row>
    <row r="403" spans="1:26" ht="16.5" customHeight="1">
      <c r="A403" s="106"/>
      <c r="B403" s="106"/>
      <c r="C403" s="107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1"/>
      <c r="W403" s="101"/>
      <c r="X403" s="101"/>
      <c r="Y403" s="101"/>
      <c r="Z403" s="101"/>
    </row>
    <row r="404" spans="1:26" ht="16.5" customHeight="1">
      <c r="A404" s="106"/>
      <c r="B404" s="106"/>
      <c r="C404" s="107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1"/>
      <c r="W404" s="101"/>
      <c r="X404" s="101"/>
      <c r="Y404" s="101"/>
      <c r="Z404" s="101"/>
    </row>
    <row r="405" spans="1:26" ht="16.5" customHeight="1">
      <c r="A405" s="106"/>
      <c r="B405" s="106"/>
      <c r="C405" s="107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1"/>
      <c r="W405" s="101"/>
      <c r="X405" s="101"/>
      <c r="Y405" s="101"/>
      <c r="Z405" s="101"/>
    </row>
    <row r="406" spans="1:26" ht="16.5" customHeight="1">
      <c r="A406" s="106"/>
      <c r="B406" s="106"/>
      <c r="C406" s="107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1"/>
      <c r="W406" s="101"/>
      <c r="X406" s="101"/>
      <c r="Y406" s="101"/>
      <c r="Z406" s="101"/>
    </row>
    <row r="407" spans="1:26" ht="16.5" customHeight="1">
      <c r="A407" s="106"/>
      <c r="B407" s="106"/>
      <c r="C407" s="107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1"/>
      <c r="W407" s="101"/>
      <c r="X407" s="101"/>
      <c r="Y407" s="101"/>
      <c r="Z407" s="101"/>
    </row>
    <row r="408" spans="1:26" ht="16.5" customHeight="1">
      <c r="A408" s="106"/>
      <c r="B408" s="106"/>
      <c r="C408" s="107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1"/>
      <c r="W408" s="101"/>
      <c r="X408" s="101"/>
      <c r="Y408" s="101"/>
      <c r="Z408" s="101"/>
    </row>
    <row r="409" spans="1:26" ht="16.5" customHeight="1">
      <c r="A409" s="106"/>
      <c r="B409" s="106"/>
      <c r="C409" s="107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1"/>
      <c r="W409" s="101"/>
      <c r="X409" s="101"/>
      <c r="Y409" s="101"/>
      <c r="Z409" s="101"/>
    </row>
    <row r="410" spans="1:26" ht="16.5" customHeight="1">
      <c r="A410" s="106"/>
      <c r="B410" s="106"/>
      <c r="C410" s="107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1"/>
      <c r="W410" s="101"/>
      <c r="X410" s="101"/>
      <c r="Y410" s="101"/>
      <c r="Z410" s="101"/>
    </row>
    <row r="411" spans="1:26" ht="16.5" customHeight="1">
      <c r="A411" s="106"/>
      <c r="B411" s="106"/>
      <c r="C411" s="107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</row>
    <row r="412" spans="1:26" ht="16.5" customHeight="1">
      <c r="A412" s="106"/>
      <c r="B412" s="106"/>
      <c r="C412" s="107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1"/>
      <c r="W412" s="101"/>
      <c r="X412" s="101"/>
      <c r="Y412" s="101"/>
      <c r="Z412" s="101"/>
    </row>
    <row r="413" spans="1:26" ht="16.5" customHeight="1">
      <c r="A413" s="106"/>
      <c r="B413" s="106"/>
      <c r="C413" s="107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1"/>
      <c r="W413" s="101"/>
      <c r="X413" s="101"/>
      <c r="Y413" s="101"/>
      <c r="Z413" s="101"/>
    </row>
    <row r="414" spans="1:26" ht="16.5" customHeight="1">
      <c r="A414" s="106"/>
      <c r="B414" s="106"/>
      <c r="C414" s="107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</row>
    <row r="415" spans="1:26" ht="16.5" customHeight="1">
      <c r="A415" s="106"/>
      <c r="B415" s="106"/>
      <c r="C415" s="107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  <c r="V415" s="101"/>
      <c r="W415" s="101"/>
      <c r="X415" s="101"/>
      <c r="Y415" s="101"/>
      <c r="Z415" s="101"/>
    </row>
    <row r="416" spans="1:26" ht="16.5" customHeight="1">
      <c r="A416" s="106"/>
      <c r="B416" s="106"/>
      <c r="C416" s="107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  <c r="V416" s="101"/>
      <c r="W416" s="101"/>
      <c r="X416" s="101"/>
      <c r="Y416" s="101"/>
      <c r="Z416" s="101"/>
    </row>
    <row r="417" spans="1:26" ht="16.5" customHeight="1">
      <c r="A417" s="106"/>
      <c r="B417" s="106"/>
      <c r="C417" s="107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  <c r="V417" s="101"/>
      <c r="W417" s="101"/>
      <c r="X417" s="101"/>
      <c r="Y417" s="101"/>
      <c r="Z417" s="101"/>
    </row>
    <row r="418" spans="1:26" ht="16.5" customHeight="1">
      <c r="A418" s="106"/>
      <c r="B418" s="106"/>
      <c r="C418" s="107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  <c r="V418" s="101"/>
      <c r="W418" s="101"/>
      <c r="X418" s="101"/>
      <c r="Y418" s="101"/>
      <c r="Z418" s="101"/>
    </row>
    <row r="419" spans="1:26" ht="16.5" customHeight="1">
      <c r="A419" s="106"/>
      <c r="B419" s="106"/>
      <c r="C419" s="107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  <c r="V419" s="101"/>
      <c r="W419" s="101"/>
      <c r="X419" s="101"/>
      <c r="Y419" s="101"/>
      <c r="Z419" s="101"/>
    </row>
    <row r="420" spans="1:26" ht="16.5" customHeight="1">
      <c r="A420" s="106"/>
      <c r="B420" s="106"/>
      <c r="C420" s="107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  <c r="V420" s="101"/>
      <c r="W420" s="101"/>
      <c r="X420" s="101"/>
      <c r="Y420" s="101"/>
      <c r="Z420" s="101"/>
    </row>
    <row r="421" spans="1:26" ht="16.5" customHeight="1">
      <c r="A421" s="106"/>
      <c r="B421" s="106"/>
      <c r="C421" s="107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  <c r="V421" s="101"/>
      <c r="W421" s="101"/>
      <c r="X421" s="101"/>
      <c r="Y421" s="101"/>
      <c r="Z421" s="101"/>
    </row>
    <row r="422" spans="1:26" ht="16.5" customHeight="1">
      <c r="A422" s="106"/>
      <c r="B422" s="106"/>
      <c r="C422" s="107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  <c r="V422" s="101"/>
      <c r="W422" s="101"/>
      <c r="X422" s="101"/>
      <c r="Y422" s="101"/>
      <c r="Z422" s="101"/>
    </row>
    <row r="423" spans="1:26" ht="16.5" customHeight="1">
      <c r="A423" s="106"/>
      <c r="B423" s="106"/>
      <c r="C423" s="107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  <c r="V423" s="101"/>
      <c r="W423" s="101"/>
      <c r="X423" s="101"/>
      <c r="Y423" s="101"/>
      <c r="Z423" s="101"/>
    </row>
    <row r="424" spans="1:26" ht="16.5" customHeight="1">
      <c r="A424" s="106"/>
      <c r="B424" s="106"/>
      <c r="C424" s="107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  <c r="V424" s="101"/>
      <c r="W424" s="101"/>
      <c r="X424" s="101"/>
      <c r="Y424" s="101"/>
      <c r="Z424" s="101"/>
    </row>
    <row r="425" spans="1:26" ht="16.5" customHeight="1">
      <c r="A425" s="106"/>
      <c r="B425" s="106"/>
      <c r="C425" s="107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  <c r="V425" s="101"/>
      <c r="W425" s="101"/>
      <c r="X425" s="101"/>
      <c r="Y425" s="101"/>
      <c r="Z425" s="101"/>
    </row>
    <row r="426" spans="1:26" ht="16.5" customHeight="1">
      <c r="A426" s="106"/>
      <c r="B426" s="106"/>
      <c r="C426" s="107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  <c r="V426" s="101"/>
      <c r="W426" s="101"/>
      <c r="X426" s="101"/>
      <c r="Y426" s="101"/>
      <c r="Z426" s="101"/>
    </row>
    <row r="427" spans="1:26" ht="16.5" customHeight="1">
      <c r="A427" s="106"/>
      <c r="B427" s="106"/>
      <c r="C427" s="107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  <c r="V427" s="101"/>
      <c r="W427" s="101"/>
      <c r="X427" s="101"/>
      <c r="Y427" s="101"/>
      <c r="Z427" s="101"/>
    </row>
    <row r="428" spans="1:26" ht="16.5" customHeight="1">
      <c r="A428" s="106"/>
      <c r="B428" s="106"/>
      <c r="C428" s="107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</row>
    <row r="429" spans="1:26" ht="16.5" customHeight="1">
      <c r="A429" s="106"/>
      <c r="B429" s="106"/>
      <c r="C429" s="107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  <c r="V429" s="101"/>
      <c r="W429" s="101"/>
      <c r="X429" s="101"/>
      <c r="Y429" s="101"/>
      <c r="Z429" s="101"/>
    </row>
    <row r="430" spans="1:26" ht="16.5" customHeight="1">
      <c r="A430" s="106"/>
      <c r="B430" s="106"/>
      <c r="C430" s="107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  <c r="V430" s="101"/>
      <c r="W430" s="101"/>
      <c r="X430" s="101"/>
      <c r="Y430" s="101"/>
      <c r="Z430" s="101"/>
    </row>
    <row r="431" spans="1:26" ht="16.5" customHeight="1">
      <c r="A431" s="106"/>
      <c r="B431" s="106"/>
      <c r="C431" s="107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  <c r="V431" s="101"/>
      <c r="W431" s="101"/>
      <c r="X431" s="101"/>
      <c r="Y431" s="101"/>
      <c r="Z431" s="101"/>
    </row>
    <row r="432" spans="1:26" ht="16.5" customHeight="1">
      <c r="A432" s="106"/>
      <c r="B432" s="106"/>
      <c r="C432" s="107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  <c r="V432" s="101"/>
      <c r="W432" s="101"/>
      <c r="X432" s="101"/>
      <c r="Y432" s="101"/>
      <c r="Z432" s="101"/>
    </row>
    <row r="433" spans="1:26" ht="16.5" customHeight="1">
      <c r="A433" s="106"/>
      <c r="B433" s="106"/>
      <c r="C433" s="107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  <c r="V433" s="101"/>
      <c r="W433" s="101"/>
      <c r="X433" s="101"/>
      <c r="Y433" s="101"/>
      <c r="Z433" s="101"/>
    </row>
    <row r="434" spans="1:26" ht="16.5" customHeight="1">
      <c r="A434" s="106"/>
      <c r="B434" s="106"/>
      <c r="C434" s="107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  <c r="V434" s="101"/>
      <c r="W434" s="101"/>
      <c r="X434" s="101"/>
      <c r="Y434" s="101"/>
      <c r="Z434" s="101"/>
    </row>
    <row r="435" spans="1:26" ht="16.5" customHeight="1">
      <c r="A435" s="106"/>
      <c r="B435" s="106"/>
      <c r="C435" s="107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  <c r="V435" s="101"/>
      <c r="W435" s="101"/>
      <c r="X435" s="101"/>
      <c r="Y435" s="101"/>
      <c r="Z435" s="101"/>
    </row>
    <row r="436" spans="1:26" ht="16.5" customHeight="1">
      <c r="A436" s="106"/>
      <c r="B436" s="106"/>
      <c r="C436" s="107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</row>
    <row r="437" spans="1:26" ht="16.5" customHeight="1">
      <c r="A437" s="106"/>
      <c r="B437" s="106"/>
      <c r="C437" s="107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</row>
    <row r="438" spans="1:26" ht="16.5" customHeight="1">
      <c r="A438" s="106"/>
      <c r="B438" s="106"/>
      <c r="C438" s="107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</row>
    <row r="439" spans="1:26" ht="16.5" customHeight="1">
      <c r="A439" s="106"/>
      <c r="B439" s="106"/>
      <c r="C439" s="107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</row>
    <row r="440" spans="1:26" ht="16.5" customHeight="1">
      <c r="A440" s="106"/>
      <c r="B440" s="106"/>
      <c r="C440" s="107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  <c r="V440" s="101"/>
      <c r="W440" s="101"/>
      <c r="X440" s="101"/>
      <c r="Y440" s="101"/>
      <c r="Z440" s="101"/>
    </row>
    <row r="441" spans="1:26" ht="16.5" customHeight="1">
      <c r="A441" s="106"/>
      <c r="B441" s="106"/>
      <c r="C441" s="107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</row>
    <row r="442" spans="1:26" ht="16.5" customHeight="1">
      <c r="A442" s="106"/>
      <c r="B442" s="106"/>
      <c r="C442" s="107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</row>
    <row r="443" spans="1:26" ht="16.5" customHeight="1">
      <c r="A443" s="106"/>
      <c r="B443" s="106"/>
      <c r="C443" s="107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</row>
    <row r="444" spans="1:26" ht="16.5" customHeight="1">
      <c r="A444" s="106"/>
      <c r="B444" s="106"/>
      <c r="C444" s="107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</row>
    <row r="445" spans="1:26" ht="16.5" customHeight="1">
      <c r="A445" s="106"/>
      <c r="B445" s="106"/>
      <c r="C445" s="107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</row>
    <row r="446" spans="1:26" ht="16.5" customHeight="1">
      <c r="A446" s="106"/>
      <c r="B446" s="106"/>
      <c r="C446" s="107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</row>
    <row r="447" spans="1:26" ht="16.5" customHeight="1">
      <c r="A447" s="106"/>
      <c r="B447" s="106"/>
      <c r="C447" s="107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</row>
    <row r="448" spans="1:26" ht="16.5" customHeight="1">
      <c r="A448" s="106"/>
      <c r="B448" s="106"/>
      <c r="C448" s="107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</row>
    <row r="449" spans="1:26" ht="16.5" customHeight="1">
      <c r="A449" s="106"/>
      <c r="B449" s="106"/>
      <c r="C449" s="107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</row>
    <row r="450" spans="1:26" ht="16.5" customHeight="1">
      <c r="A450" s="106"/>
      <c r="B450" s="106"/>
      <c r="C450" s="107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</row>
    <row r="451" spans="1:26" ht="16.5" customHeight="1">
      <c r="A451" s="106"/>
      <c r="B451" s="106"/>
      <c r="C451" s="107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</row>
    <row r="452" spans="1:26" ht="16.5" customHeight="1">
      <c r="A452" s="106"/>
      <c r="B452" s="106"/>
      <c r="C452" s="107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</row>
    <row r="453" spans="1:26" ht="16.5" customHeight="1">
      <c r="A453" s="106"/>
      <c r="B453" s="106"/>
      <c r="C453" s="107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</row>
    <row r="454" spans="1:26" ht="16.5" customHeight="1">
      <c r="A454" s="106"/>
      <c r="B454" s="106"/>
      <c r="C454" s="107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</row>
    <row r="455" spans="1:26" ht="16.5" customHeight="1">
      <c r="A455" s="106"/>
      <c r="B455" s="106"/>
      <c r="C455" s="107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</row>
    <row r="456" spans="1:26" ht="16.5" customHeight="1">
      <c r="A456" s="106"/>
      <c r="B456" s="106"/>
      <c r="C456" s="107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</row>
    <row r="457" spans="1:26" ht="16.5" customHeight="1">
      <c r="A457" s="106"/>
      <c r="B457" s="106"/>
      <c r="C457" s="107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</row>
    <row r="458" spans="1:26" ht="16.5" customHeight="1">
      <c r="A458" s="106"/>
      <c r="B458" s="106"/>
      <c r="C458" s="107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</row>
    <row r="459" spans="1:26" ht="16.5" customHeight="1">
      <c r="A459" s="106"/>
      <c r="B459" s="106"/>
      <c r="C459" s="107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</row>
    <row r="460" spans="1:26" ht="16.5" customHeight="1">
      <c r="A460" s="106"/>
      <c r="B460" s="106"/>
      <c r="C460" s="107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</row>
    <row r="461" spans="1:26" ht="16.5" customHeight="1">
      <c r="A461" s="106"/>
      <c r="B461" s="106"/>
      <c r="C461" s="107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</row>
    <row r="462" spans="1:26" ht="16.5" customHeight="1">
      <c r="A462" s="106"/>
      <c r="B462" s="106"/>
      <c r="C462" s="107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</row>
    <row r="463" spans="1:26" ht="16.5" customHeight="1">
      <c r="A463" s="106"/>
      <c r="B463" s="106"/>
      <c r="C463" s="107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</row>
    <row r="464" spans="1:26" ht="16.5" customHeight="1">
      <c r="A464" s="106"/>
      <c r="B464" s="106"/>
      <c r="C464" s="107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</row>
    <row r="465" spans="1:26" ht="16.5" customHeight="1">
      <c r="A465" s="106"/>
      <c r="B465" s="106"/>
      <c r="C465" s="107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</row>
    <row r="466" spans="1:26" ht="16.5" customHeight="1">
      <c r="A466" s="106"/>
      <c r="B466" s="106"/>
      <c r="C466" s="107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</row>
    <row r="467" spans="1:26" ht="16.5" customHeight="1">
      <c r="A467" s="106"/>
      <c r="B467" s="106"/>
      <c r="C467" s="107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</row>
    <row r="468" spans="1:26" ht="16.5" customHeight="1">
      <c r="A468" s="106"/>
      <c r="B468" s="106"/>
      <c r="C468" s="107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</row>
    <row r="469" spans="1:26" ht="16.5" customHeight="1">
      <c r="A469" s="106"/>
      <c r="B469" s="106"/>
      <c r="C469" s="107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</row>
    <row r="470" spans="1:26" ht="16.5" customHeight="1">
      <c r="A470" s="106"/>
      <c r="B470" s="106"/>
      <c r="C470" s="107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</row>
    <row r="471" spans="1:26" ht="16.5" customHeight="1">
      <c r="A471" s="106"/>
      <c r="B471" s="106"/>
      <c r="C471" s="107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</row>
    <row r="472" spans="1:26" ht="16.5" customHeight="1">
      <c r="A472" s="106"/>
      <c r="B472" s="106"/>
      <c r="C472" s="107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</row>
    <row r="473" spans="1:26" ht="16.5" customHeight="1">
      <c r="A473" s="106"/>
      <c r="B473" s="106"/>
      <c r="C473" s="107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</row>
    <row r="474" spans="1:26" ht="16.5" customHeight="1">
      <c r="A474" s="106"/>
      <c r="B474" s="106"/>
      <c r="C474" s="107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</row>
    <row r="475" spans="1:26" ht="16.5" customHeight="1">
      <c r="A475" s="106"/>
      <c r="B475" s="106"/>
      <c r="C475" s="107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</row>
    <row r="476" spans="1:26" ht="16.5" customHeight="1">
      <c r="A476" s="106"/>
      <c r="B476" s="106"/>
      <c r="C476" s="107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</row>
    <row r="477" spans="1:26" ht="16.5" customHeight="1">
      <c r="A477" s="106"/>
      <c r="B477" s="106"/>
      <c r="C477" s="107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</row>
    <row r="478" spans="1:26" ht="16.5" customHeight="1">
      <c r="A478" s="106"/>
      <c r="B478" s="106"/>
      <c r="C478" s="107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</row>
    <row r="479" spans="1:26" ht="16.5" customHeight="1">
      <c r="A479" s="106"/>
      <c r="B479" s="106"/>
      <c r="C479" s="107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</row>
    <row r="480" spans="1:26" ht="16.5" customHeight="1">
      <c r="A480" s="106"/>
      <c r="B480" s="106"/>
      <c r="C480" s="107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</row>
    <row r="481" spans="1:26" ht="16.5" customHeight="1">
      <c r="A481" s="106"/>
      <c r="B481" s="106"/>
      <c r="C481" s="107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</row>
    <row r="482" spans="1:26" ht="16.5" customHeight="1">
      <c r="A482" s="106"/>
      <c r="B482" s="106"/>
      <c r="C482" s="107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</row>
    <row r="483" spans="1:26" ht="16.5" customHeight="1">
      <c r="A483" s="106"/>
      <c r="B483" s="106"/>
      <c r="C483" s="107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</row>
    <row r="484" spans="1:26" ht="16.5" customHeight="1">
      <c r="A484" s="106"/>
      <c r="B484" s="106"/>
      <c r="C484" s="107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</row>
    <row r="485" spans="1:26" ht="16.5" customHeight="1">
      <c r="A485" s="106"/>
      <c r="B485" s="106"/>
      <c r="C485" s="107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</row>
    <row r="486" spans="1:26" ht="16.5" customHeight="1">
      <c r="A486" s="106"/>
      <c r="B486" s="106"/>
      <c r="C486" s="107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</row>
    <row r="487" spans="1:26" ht="16.5" customHeight="1">
      <c r="A487" s="106"/>
      <c r="B487" s="106"/>
      <c r="C487" s="107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</row>
    <row r="488" spans="1:26" ht="16.5" customHeight="1">
      <c r="A488" s="106"/>
      <c r="B488" s="106"/>
      <c r="C488" s="107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</row>
    <row r="489" spans="1:26" ht="16.5" customHeight="1">
      <c r="A489" s="106"/>
      <c r="B489" s="106"/>
      <c r="C489" s="107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</row>
    <row r="490" spans="1:26" ht="16.5" customHeight="1">
      <c r="A490" s="106"/>
      <c r="B490" s="106"/>
      <c r="C490" s="107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</row>
    <row r="491" spans="1:26" ht="16.5" customHeight="1">
      <c r="A491" s="106"/>
      <c r="B491" s="106"/>
      <c r="C491" s="107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</row>
    <row r="492" spans="1:26" ht="16.5" customHeight="1">
      <c r="A492" s="106"/>
      <c r="B492" s="106"/>
      <c r="C492" s="107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</row>
    <row r="493" spans="1:26" ht="16.5" customHeight="1">
      <c r="A493" s="106"/>
      <c r="B493" s="106"/>
      <c r="C493" s="107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</row>
    <row r="494" spans="1:26" ht="16.5" customHeight="1">
      <c r="A494" s="106"/>
      <c r="B494" s="106"/>
      <c r="C494" s="107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</row>
    <row r="495" spans="1:26" ht="16.5" customHeight="1">
      <c r="A495" s="106"/>
      <c r="B495" s="106"/>
      <c r="C495" s="107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</row>
    <row r="496" spans="1:26" ht="16.5" customHeight="1">
      <c r="A496" s="106"/>
      <c r="B496" s="106"/>
      <c r="C496" s="107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</row>
    <row r="497" spans="1:26" ht="16.5" customHeight="1">
      <c r="A497" s="106"/>
      <c r="B497" s="106"/>
      <c r="C497" s="107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</row>
    <row r="498" spans="1:26" ht="16.5" customHeight="1">
      <c r="A498" s="106"/>
      <c r="B498" s="106"/>
      <c r="C498" s="107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</row>
    <row r="499" spans="1:26" ht="16.5" customHeight="1">
      <c r="A499" s="106"/>
      <c r="B499" s="106"/>
      <c r="C499" s="107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</row>
    <row r="500" spans="1:26" ht="16.5" customHeight="1">
      <c r="A500" s="106"/>
      <c r="B500" s="106"/>
      <c r="C500" s="107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</row>
    <row r="501" spans="1:26" ht="16.5" customHeight="1">
      <c r="A501" s="106"/>
      <c r="B501" s="106"/>
      <c r="C501" s="107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</row>
    <row r="502" spans="1:26" ht="16.5" customHeight="1">
      <c r="A502" s="106"/>
      <c r="B502" s="106"/>
      <c r="C502" s="107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</row>
    <row r="503" spans="1:26" ht="16.5" customHeight="1">
      <c r="A503" s="106"/>
      <c r="B503" s="106"/>
      <c r="C503" s="107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</row>
    <row r="504" spans="1:26" ht="16.5" customHeight="1">
      <c r="A504" s="106"/>
      <c r="B504" s="106"/>
      <c r="C504" s="107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</row>
    <row r="505" spans="1:26" ht="16.5" customHeight="1">
      <c r="A505" s="106"/>
      <c r="B505" s="106"/>
      <c r="C505" s="107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</row>
    <row r="506" spans="1:26" ht="16.5" customHeight="1">
      <c r="A506" s="106"/>
      <c r="B506" s="106"/>
      <c r="C506" s="107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</row>
    <row r="507" spans="1:26" ht="16.5" customHeight="1">
      <c r="A507" s="106"/>
      <c r="B507" s="106"/>
      <c r="C507" s="107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</row>
    <row r="508" spans="1:26" ht="16.5" customHeight="1">
      <c r="A508" s="106"/>
      <c r="B508" s="106"/>
      <c r="C508" s="107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</row>
    <row r="509" spans="1:26" ht="16.5" customHeight="1">
      <c r="A509" s="106"/>
      <c r="B509" s="106"/>
      <c r="C509" s="107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</row>
    <row r="510" spans="1:26" ht="16.5" customHeight="1">
      <c r="A510" s="106"/>
      <c r="B510" s="106"/>
      <c r="C510" s="107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</row>
    <row r="511" spans="1:26" ht="16.5" customHeight="1">
      <c r="A511" s="106"/>
      <c r="B511" s="106"/>
      <c r="C511" s="107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</row>
    <row r="512" spans="1:26" ht="16.5" customHeight="1">
      <c r="A512" s="106"/>
      <c r="B512" s="106"/>
      <c r="C512" s="107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</row>
    <row r="513" spans="1:26" ht="16.5" customHeight="1">
      <c r="A513" s="106"/>
      <c r="B513" s="106"/>
      <c r="C513" s="107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</row>
    <row r="514" spans="1:26" ht="16.5" customHeight="1">
      <c r="A514" s="106"/>
      <c r="B514" s="106"/>
      <c r="C514" s="107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</row>
    <row r="515" spans="1:26" ht="16.5" customHeight="1">
      <c r="A515" s="106"/>
      <c r="B515" s="106"/>
      <c r="C515" s="107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</row>
    <row r="516" spans="1:26" ht="16.5" customHeight="1">
      <c r="A516" s="106"/>
      <c r="B516" s="106"/>
      <c r="C516" s="107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</row>
    <row r="517" spans="1:26" ht="16.5" customHeight="1">
      <c r="A517" s="106"/>
      <c r="B517" s="106"/>
      <c r="C517" s="107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</row>
    <row r="518" spans="1:26" ht="16.5" customHeight="1">
      <c r="A518" s="106"/>
      <c r="B518" s="106"/>
      <c r="C518" s="107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</row>
    <row r="519" spans="1:26" ht="16.5" customHeight="1">
      <c r="A519" s="106"/>
      <c r="B519" s="106"/>
      <c r="C519" s="107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</row>
    <row r="520" spans="1:26" ht="16.5" customHeight="1">
      <c r="A520" s="106"/>
      <c r="B520" s="106"/>
      <c r="C520" s="107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</row>
    <row r="521" spans="1:26" ht="16.5" customHeight="1">
      <c r="A521" s="106"/>
      <c r="B521" s="106"/>
      <c r="C521" s="107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</row>
    <row r="522" spans="1:26" ht="16.5" customHeight="1">
      <c r="A522" s="106"/>
      <c r="B522" s="106"/>
      <c r="C522" s="107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</row>
    <row r="523" spans="1:26" ht="16.5" customHeight="1">
      <c r="A523" s="106"/>
      <c r="B523" s="106"/>
      <c r="C523" s="107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</row>
    <row r="524" spans="1:26" ht="16.5" customHeight="1">
      <c r="A524" s="106"/>
      <c r="B524" s="106"/>
      <c r="C524" s="107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</row>
    <row r="525" spans="1:26" ht="16.5" customHeight="1">
      <c r="A525" s="106"/>
      <c r="B525" s="106"/>
      <c r="C525" s="107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</row>
    <row r="526" spans="1:26" ht="16.5" customHeight="1">
      <c r="A526" s="106"/>
      <c r="B526" s="106"/>
      <c r="C526" s="107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</row>
    <row r="527" spans="1:26" ht="16.5" customHeight="1">
      <c r="A527" s="106"/>
      <c r="B527" s="106"/>
      <c r="C527" s="107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</row>
    <row r="528" spans="1:26" ht="16.5" customHeight="1">
      <c r="A528" s="106"/>
      <c r="B528" s="106"/>
      <c r="C528" s="107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</row>
    <row r="529" spans="1:26" ht="16.5" customHeight="1">
      <c r="A529" s="106"/>
      <c r="B529" s="106"/>
      <c r="C529" s="107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</row>
    <row r="530" spans="1:26" ht="16.5" customHeight="1">
      <c r="A530" s="106"/>
      <c r="B530" s="106"/>
      <c r="C530" s="107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</row>
    <row r="531" spans="1:26" ht="16.5" customHeight="1">
      <c r="A531" s="106"/>
      <c r="B531" s="106"/>
      <c r="C531" s="107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</row>
    <row r="532" spans="1:26" ht="16.5" customHeight="1">
      <c r="A532" s="106"/>
      <c r="B532" s="106"/>
      <c r="C532" s="107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</row>
    <row r="533" spans="1:26" ht="16.5" customHeight="1">
      <c r="A533" s="106"/>
      <c r="B533" s="106"/>
      <c r="C533" s="107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</row>
    <row r="534" spans="1:26" ht="16.5" customHeight="1">
      <c r="A534" s="106"/>
      <c r="B534" s="106"/>
      <c r="C534" s="107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</row>
    <row r="535" spans="1:26" ht="16.5" customHeight="1">
      <c r="A535" s="106"/>
      <c r="B535" s="106"/>
      <c r="C535" s="107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</row>
    <row r="536" spans="1:26" ht="16.5" customHeight="1">
      <c r="A536" s="106"/>
      <c r="B536" s="106"/>
      <c r="C536" s="107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</row>
    <row r="537" spans="1:26" ht="16.5" customHeight="1">
      <c r="A537" s="106"/>
      <c r="B537" s="106"/>
      <c r="C537" s="107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</row>
    <row r="538" spans="1:26" ht="16.5" customHeight="1">
      <c r="A538" s="106"/>
      <c r="B538" s="106"/>
      <c r="C538" s="107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</row>
    <row r="539" spans="1:26" ht="16.5" customHeight="1">
      <c r="A539" s="106"/>
      <c r="B539" s="106"/>
      <c r="C539" s="107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</row>
    <row r="540" spans="1:26" ht="16.5" customHeight="1">
      <c r="A540" s="106"/>
      <c r="B540" s="106"/>
      <c r="C540" s="107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</row>
    <row r="541" spans="1:26" ht="16.5" customHeight="1">
      <c r="A541" s="106"/>
      <c r="B541" s="106"/>
      <c r="C541" s="107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</row>
    <row r="542" spans="1:26" ht="16.5" customHeight="1">
      <c r="A542" s="106"/>
      <c r="B542" s="106"/>
      <c r="C542" s="107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</row>
    <row r="543" spans="1:26" ht="16.5" customHeight="1">
      <c r="A543" s="106"/>
      <c r="B543" s="106"/>
      <c r="C543" s="107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</row>
    <row r="544" spans="1:26" ht="16.5" customHeight="1">
      <c r="A544" s="106"/>
      <c r="B544" s="106"/>
      <c r="C544" s="107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</row>
    <row r="545" spans="1:26" ht="16.5" customHeight="1">
      <c r="A545" s="106"/>
      <c r="B545" s="106"/>
      <c r="C545" s="107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  <c r="V545" s="101"/>
      <c r="W545" s="101"/>
      <c r="X545" s="101"/>
      <c r="Y545" s="101"/>
      <c r="Z545" s="101"/>
    </row>
    <row r="546" spans="1:26" ht="16.5" customHeight="1">
      <c r="A546" s="106"/>
      <c r="B546" s="106"/>
      <c r="C546" s="107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  <c r="V546" s="101"/>
      <c r="W546" s="101"/>
      <c r="X546" s="101"/>
      <c r="Y546" s="101"/>
      <c r="Z546" s="101"/>
    </row>
    <row r="547" spans="1:26" ht="16.5" customHeight="1">
      <c r="A547" s="106"/>
      <c r="B547" s="106"/>
      <c r="C547" s="107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</row>
    <row r="548" spans="1:26" ht="16.5" customHeight="1">
      <c r="A548" s="106"/>
      <c r="B548" s="106"/>
      <c r="C548" s="107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  <c r="V548" s="101"/>
      <c r="W548" s="101"/>
      <c r="X548" s="101"/>
      <c r="Y548" s="101"/>
      <c r="Z548" s="101"/>
    </row>
    <row r="549" spans="1:26" ht="16.5" customHeight="1">
      <c r="A549" s="106"/>
      <c r="B549" s="106"/>
      <c r="C549" s="107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  <c r="V549" s="101"/>
      <c r="W549" s="101"/>
      <c r="X549" s="101"/>
      <c r="Y549" s="101"/>
      <c r="Z549" s="101"/>
    </row>
    <row r="550" spans="1:26" ht="16.5" customHeight="1">
      <c r="A550" s="106"/>
      <c r="B550" s="106"/>
      <c r="C550" s="107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  <c r="V550" s="101"/>
      <c r="W550" s="101"/>
      <c r="X550" s="101"/>
      <c r="Y550" s="101"/>
      <c r="Z550" s="101"/>
    </row>
    <row r="551" spans="1:26" ht="16.5" customHeight="1">
      <c r="A551" s="106"/>
      <c r="B551" s="106"/>
      <c r="C551" s="107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  <c r="V551" s="101"/>
      <c r="W551" s="101"/>
      <c r="X551" s="101"/>
      <c r="Y551" s="101"/>
      <c r="Z551" s="101"/>
    </row>
    <row r="552" spans="1:26" ht="16.5" customHeight="1">
      <c r="A552" s="106"/>
      <c r="B552" s="106"/>
      <c r="C552" s="107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  <c r="V552" s="101"/>
      <c r="W552" s="101"/>
      <c r="X552" s="101"/>
      <c r="Y552" s="101"/>
      <c r="Z552" s="101"/>
    </row>
    <row r="553" spans="1:26" ht="16.5" customHeight="1">
      <c r="A553" s="106"/>
      <c r="B553" s="106"/>
      <c r="C553" s="107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  <c r="V553" s="101"/>
      <c r="W553" s="101"/>
      <c r="X553" s="101"/>
      <c r="Y553" s="101"/>
      <c r="Z553" s="101"/>
    </row>
    <row r="554" spans="1:26" ht="16.5" customHeight="1">
      <c r="A554" s="106"/>
      <c r="B554" s="106"/>
      <c r="C554" s="107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  <c r="V554" s="101"/>
      <c r="W554" s="101"/>
      <c r="X554" s="101"/>
      <c r="Y554" s="101"/>
      <c r="Z554" s="101"/>
    </row>
    <row r="555" spans="1:26" ht="16.5" customHeight="1">
      <c r="A555" s="106"/>
      <c r="B555" s="106"/>
      <c r="C555" s="107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  <c r="V555" s="101"/>
      <c r="W555" s="101"/>
      <c r="X555" s="101"/>
      <c r="Y555" s="101"/>
      <c r="Z555" s="101"/>
    </row>
    <row r="556" spans="1:26" ht="16.5" customHeight="1">
      <c r="A556" s="106"/>
      <c r="B556" s="106"/>
      <c r="C556" s="107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  <c r="V556" s="101"/>
      <c r="W556" s="101"/>
      <c r="X556" s="101"/>
      <c r="Y556" s="101"/>
      <c r="Z556" s="101"/>
    </row>
    <row r="557" spans="1:26" ht="16.5" customHeight="1">
      <c r="A557" s="106"/>
      <c r="B557" s="106"/>
      <c r="C557" s="107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  <c r="V557" s="101"/>
      <c r="W557" s="101"/>
      <c r="X557" s="101"/>
      <c r="Y557" s="101"/>
      <c r="Z557" s="101"/>
    </row>
    <row r="558" spans="1:26" ht="16.5" customHeight="1">
      <c r="A558" s="106"/>
      <c r="B558" s="106"/>
      <c r="C558" s="107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  <c r="V558" s="101"/>
      <c r="W558" s="101"/>
      <c r="X558" s="101"/>
      <c r="Y558" s="101"/>
      <c r="Z558" s="101"/>
    </row>
    <row r="559" spans="1:26" ht="16.5" customHeight="1">
      <c r="A559" s="106"/>
      <c r="B559" s="106"/>
      <c r="C559" s="107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  <c r="V559" s="101"/>
      <c r="W559" s="101"/>
      <c r="X559" s="101"/>
      <c r="Y559" s="101"/>
      <c r="Z559" s="101"/>
    </row>
    <row r="560" spans="1:26" ht="16.5" customHeight="1">
      <c r="A560" s="106"/>
      <c r="B560" s="106"/>
      <c r="C560" s="107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  <c r="V560" s="101"/>
      <c r="W560" s="101"/>
      <c r="X560" s="101"/>
      <c r="Y560" s="101"/>
      <c r="Z560" s="101"/>
    </row>
    <row r="561" spans="1:26" ht="16.5" customHeight="1">
      <c r="A561" s="106"/>
      <c r="B561" s="106"/>
      <c r="C561" s="107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  <c r="V561" s="101"/>
      <c r="W561" s="101"/>
      <c r="X561" s="101"/>
      <c r="Y561" s="101"/>
      <c r="Z561" s="101"/>
    </row>
    <row r="562" spans="1:26" ht="16.5" customHeight="1">
      <c r="A562" s="106"/>
      <c r="B562" s="106"/>
      <c r="C562" s="107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  <c r="V562" s="101"/>
      <c r="W562" s="101"/>
      <c r="X562" s="101"/>
      <c r="Y562" s="101"/>
      <c r="Z562" s="101"/>
    </row>
    <row r="563" spans="1:26" ht="16.5" customHeight="1">
      <c r="A563" s="106"/>
      <c r="B563" s="106"/>
      <c r="C563" s="107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  <c r="V563" s="101"/>
      <c r="W563" s="101"/>
      <c r="X563" s="101"/>
      <c r="Y563" s="101"/>
      <c r="Z563" s="101"/>
    </row>
    <row r="564" spans="1:26" ht="16.5" customHeight="1">
      <c r="A564" s="106"/>
      <c r="B564" s="106"/>
      <c r="C564" s="107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</row>
    <row r="565" spans="1:26" ht="16.5" customHeight="1">
      <c r="A565" s="106"/>
      <c r="B565" s="106"/>
      <c r="C565" s="107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  <c r="V565" s="101"/>
      <c r="W565" s="101"/>
      <c r="X565" s="101"/>
      <c r="Y565" s="101"/>
      <c r="Z565" s="101"/>
    </row>
    <row r="566" spans="1:26" ht="16.5" customHeight="1">
      <c r="A566" s="106"/>
      <c r="B566" s="106"/>
      <c r="C566" s="107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  <c r="V566" s="101"/>
      <c r="W566" s="101"/>
      <c r="X566" s="101"/>
      <c r="Y566" s="101"/>
      <c r="Z566" s="101"/>
    </row>
    <row r="567" spans="1:26" ht="16.5" customHeight="1">
      <c r="A567" s="106"/>
      <c r="B567" s="106"/>
      <c r="C567" s="107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  <c r="V567" s="101"/>
      <c r="W567" s="101"/>
      <c r="X567" s="101"/>
      <c r="Y567" s="101"/>
      <c r="Z567" s="101"/>
    </row>
    <row r="568" spans="1:26" ht="16.5" customHeight="1">
      <c r="A568" s="106"/>
      <c r="B568" s="106"/>
      <c r="C568" s="107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  <c r="V568" s="101"/>
      <c r="W568" s="101"/>
      <c r="X568" s="101"/>
      <c r="Y568" s="101"/>
      <c r="Z568" s="101"/>
    </row>
    <row r="569" spans="1:26" ht="16.5" customHeight="1">
      <c r="A569" s="106"/>
      <c r="B569" s="106"/>
      <c r="C569" s="107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  <c r="V569" s="101"/>
      <c r="W569" s="101"/>
      <c r="X569" s="101"/>
      <c r="Y569" s="101"/>
      <c r="Z569" s="101"/>
    </row>
    <row r="570" spans="1:26" ht="16.5" customHeight="1">
      <c r="A570" s="106"/>
      <c r="B570" s="106"/>
      <c r="C570" s="107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  <c r="V570" s="101"/>
      <c r="W570" s="101"/>
      <c r="X570" s="101"/>
      <c r="Y570" s="101"/>
      <c r="Z570" s="101"/>
    </row>
    <row r="571" spans="1:26" ht="16.5" customHeight="1">
      <c r="A571" s="106"/>
      <c r="B571" s="106"/>
      <c r="C571" s="107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  <c r="V571" s="101"/>
      <c r="W571" s="101"/>
      <c r="X571" s="101"/>
      <c r="Y571" s="101"/>
      <c r="Z571" s="101"/>
    </row>
    <row r="572" spans="1:26" ht="16.5" customHeight="1">
      <c r="A572" s="106"/>
      <c r="B572" s="106"/>
      <c r="C572" s="107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  <c r="V572" s="101"/>
      <c r="W572" s="101"/>
      <c r="X572" s="101"/>
      <c r="Y572" s="101"/>
      <c r="Z572" s="101"/>
    </row>
    <row r="573" spans="1:26" ht="16.5" customHeight="1">
      <c r="A573" s="106"/>
      <c r="B573" s="106"/>
      <c r="C573" s="107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  <c r="V573" s="101"/>
      <c r="W573" s="101"/>
      <c r="X573" s="101"/>
      <c r="Y573" s="101"/>
      <c r="Z573" s="101"/>
    </row>
    <row r="574" spans="1:26" ht="16.5" customHeight="1">
      <c r="A574" s="106"/>
      <c r="B574" s="106"/>
      <c r="C574" s="107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  <c r="V574" s="101"/>
      <c r="W574" s="101"/>
      <c r="X574" s="101"/>
      <c r="Y574" s="101"/>
      <c r="Z574" s="101"/>
    </row>
    <row r="575" spans="1:26" ht="16.5" customHeight="1">
      <c r="A575" s="106"/>
      <c r="B575" s="106"/>
      <c r="C575" s="107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  <c r="V575" s="101"/>
      <c r="W575" s="101"/>
      <c r="X575" s="101"/>
      <c r="Y575" s="101"/>
      <c r="Z575" s="101"/>
    </row>
    <row r="576" spans="1:26" ht="16.5" customHeight="1">
      <c r="A576" s="106"/>
      <c r="B576" s="106"/>
      <c r="C576" s="107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  <c r="V576" s="101"/>
      <c r="W576" s="101"/>
      <c r="X576" s="101"/>
      <c r="Y576" s="101"/>
      <c r="Z576" s="101"/>
    </row>
    <row r="577" spans="1:26" ht="16.5" customHeight="1">
      <c r="A577" s="106"/>
      <c r="B577" s="106"/>
      <c r="C577" s="107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  <c r="V577" s="101"/>
      <c r="W577" s="101"/>
      <c r="X577" s="101"/>
      <c r="Y577" s="101"/>
      <c r="Z577" s="101"/>
    </row>
    <row r="578" spans="1:26" ht="16.5" customHeight="1">
      <c r="A578" s="106"/>
      <c r="B578" s="106"/>
      <c r="C578" s="107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  <c r="V578" s="101"/>
      <c r="W578" s="101"/>
      <c r="X578" s="101"/>
      <c r="Y578" s="101"/>
      <c r="Z578" s="101"/>
    </row>
    <row r="579" spans="1:26" ht="16.5" customHeight="1">
      <c r="A579" s="106"/>
      <c r="B579" s="106"/>
      <c r="C579" s="107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  <c r="V579" s="101"/>
      <c r="W579" s="101"/>
      <c r="X579" s="101"/>
      <c r="Y579" s="101"/>
      <c r="Z579" s="101"/>
    </row>
    <row r="580" spans="1:26" ht="16.5" customHeight="1">
      <c r="A580" s="106"/>
      <c r="B580" s="106"/>
      <c r="C580" s="107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  <c r="V580" s="101"/>
      <c r="W580" s="101"/>
      <c r="X580" s="101"/>
      <c r="Y580" s="101"/>
      <c r="Z580" s="101"/>
    </row>
    <row r="581" spans="1:26" ht="16.5" customHeight="1">
      <c r="A581" s="106"/>
      <c r="B581" s="106"/>
      <c r="C581" s="107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</row>
    <row r="582" spans="1:26" ht="16.5" customHeight="1">
      <c r="A582" s="106"/>
      <c r="B582" s="106"/>
      <c r="C582" s="107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  <c r="V582" s="101"/>
      <c r="W582" s="101"/>
      <c r="X582" s="101"/>
      <c r="Y582" s="101"/>
      <c r="Z582" s="101"/>
    </row>
    <row r="583" spans="1:26" ht="16.5" customHeight="1">
      <c r="A583" s="106"/>
      <c r="B583" s="106"/>
      <c r="C583" s="107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  <c r="V583" s="101"/>
      <c r="W583" s="101"/>
      <c r="X583" s="101"/>
      <c r="Y583" s="101"/>
      <c r="Z583" s="101"/>
    </row>
    <row r="584" spans="1:26" ht="16.5" customHeight="1">
      <c r="A584" s="106"/>
      <c r="B584" s="106"/>
      <c r="C584" s="107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  <c r="V584" s="101"/>
      <c r="W584" s="101"/>
      <c r="X584" s="101"/>
      <c r="Y584" s="101"/>
      <c r="Z584" s="101"/>
    </row>
    <row r="585" spans="1:26" ht="16.5" customHeight="1">
      <c r="A585" s="106"/>
      <c r="B585" s="106"/>
      <c r="C585" s="107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  <c r="V585" s="101"/>
      <c r="W585" s="101"/>
      <c r="X585" s="101"/>
      <c r="Y585" s="101"/>
      <c r="Z585" s="101"/>
    </row>
    <row r="586" spans="1:26" ht="16.5" customHeight="1">
      <c r="A586" s="106"/>
      <c r="B586" s="106"/>
      <c r="C586" s="107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  <c r="V586" s="101"/>
      <c r="W586" s="101"/>
      <c r="X586" s="101"/>
      <c r="Y586" s="101"/>
      <c r="Z586" s="101"/>
    </row>
    <row r="587" spans="1:26" ht="16.5" customHeight="1">
      <c r="A587" s="106"/>
      <c r="B587" s="106"/>
      <c r="C587" s="107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  <c r="V587" s="101"/>
      <c r="W587" s="101"/>
      <c r="X587" s="101"/>
      <c r="Y587" s="101"/>
      <c r="Z587" s="101"/>
    </row>
    <row r="588" spans="1:26" ht="16.5" customHeight="1">
      <c r="A588" s="106"/>
      <c r="B588" s="106"/>
      <c r="C588" s="107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  <c r="V588" s="101"/>
      <c r="W588" s="101"/>
      <c r="X588" s="101"/>
      <c r="Y588" s="101"/>
      <c r="Z588" s="101"/>
    </row>
    <row r="589" spans="1:26" ht="16.5" customHeight="1">
      <c r="A589" s="106"/>
      <c r="B589" s="106"/>
      <c r="C589" s="107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  <c r="V589" s="101"/>
      <c r="W589" s="101"/>
      <c r="X589" s="101"/>
      <c r="Y589" s="101"/>
      <c r="Z589" s="101"/>
    </row>
    <row r="590" spans="1:26" ht="16.5" customHeight="1">
      <c r="A590" s="106"/>
      <c r="B590" s="106"/>
      <c r="C590" s="107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  <c r="V590" s="101"/>
      <c r="W590" s="101"/>
      <c r="X590" s="101"/>
      <c r="Y590" s="101"/>
      <c r="Z590" s="101"/>
    </row>
    <row r="591" spans="1:26" ht="16.5" customHeight="1">
      <c r="A591" s="106"/>
      <c r="B591" s="106"/>
      <c r="C591" s="107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  <c r="V591" s="101"/>
      <c r="W591" s="101"/>
      <c r="X591" s="101"/>
      <c r="Y591" s="101"/>
      <c r="Z591" s="101"/>
    </row>
    <row r="592" spans="1:26" ht="16.5" customHeight="1">
      <c r="A592" s="106"/>
      <c r="B592" s="106"/>
      <c r="C592" s="107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  <c r="V592" s="101"/>
      <c r="W592" s="101"/>
      <c r="X592" s="101"/>
      <c r="Y592" s="101"/>
      <c r="Z592" s="101"/>
    </row>
    <row r="593" spans="1:26" ht="16.5" customHeight="1">
      <c r="A593" s="106"/>
      <c r="B593" s="106"/>
      <c r="C593" s="107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  <c r="V593" s="101"/>
      <c r="W593" s="101"/>
      <c r="X593" s="101"/>
      <c r="Y593" s="101"/>
      <c r="Z593" s="101"/>
    </row>
    <row r="594" spans="1:26" ht="16.5" customHeight="1">
      <c r="A594" s="106"/>
      <c r="B594" s="106"/>
      <c r="C594" s="107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  <c r="V594" s="101"/>
      <c r="W594" s="101"/>
      <c r="X594" s="101"/>
      <c r="Y594" s="101"/>
      <c r="Z594" s="101"/>
    </row>
    <row r="595" spans="1:26" ht="16.5" customHeight="1">
      <c r="A595" s="106"/>
      <c r="B595" s="106"/>
      <c r="C595" s="107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  <c r="V595" s="101"/>
      <c r="W595" s="101"/>
      <c r="X595" s="101"/>
      <c r="Y595" s="101"/>
      <c r="Z595" s="101"/>
    </row>
    <row r="596" spans="1:26" ht="16.5" customHeight="1">
      <c r="A596" s="106"/>
      <c r="B596" s="106"/>
      <c r="C596" s="107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  <c r="V596" s="101"/>
      <c r="W596" s="101"/>
      <c r="X596" s="101"/>
      <c r="Y596" s="101"/>
      <c r="Z596" s="101"/>
    </row>
    <row r="597" spans="1:26" ht="16.5" customHeight="1">
      <c r="A597" s="106"/>
      <c r="B597" s="106"/>
      <c r="C597" s="107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  <c r="V597" s="101"/>
      <c r="W597" s="101"/>
      <c r="X597" s="101"/>
      <c r="Y597" s="101"/>
      <c r="Z597" s="101"/>
    </row>
    <row r="598" spans="1:26" ht="16.5" customHeight="1">
      <c r="A598" s="106"/>
      <c r="B598" s="106"/>
      <c r="C598" s="107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</row>
    <row r="599" spans="1:26" ht="16.5" customHeight="1">
      <c r="A599" s="106"/>
      <c r="B599" s="106"/>
      <c r="C599" s="107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  <c r="V599" s="101"/>
      <c r="W599" s="101"/>
      <c r="X599" s="101"/>
      <c r="Y599" s="101"/>
      <c r="Z599" s="101"/>
    </row>
    <row r="600" spans="1:26" ht="16.5" customHeight="1">
      <c r="A600" s="106"/>
      <c r="B600" s="106"/>
      <c r="C600" s="107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  <c r="V600" s="101"/>
      <c r="W600" s="101"/>
      <c r="X600" s="101"/>
      <c r="Y600" s="101"/>
      <c r="Z600" s="101"/>
    </row>
    <row r="601" spans="1:26" ht="16.5" customHeight="1">
      <c r="A601" s="106"/>
      <c r="B601" s="106"/>
      <c r="C601" s="107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  <c r="V601" s="101"/>
      <c r="W601" s="101"/>
      <c r="X601" s="101"/>
      <c r="Y601" s="101"/>
      <c r="Z601" s="101"/>
    </row>
    <row r="602" spans="1:26" ht="16.5" customHeight="1">
      <c r="A602" s="106"/>
      <c r="B602" s="106"/>
      <c r="C602" s="107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  <c r="V602" s="101"/>
      <c r="W602" s="101"/>
      <c r="X602" s="101"/>
      <c r="Y602" s="101"/>
      <c r="Z602" s="101"/>
    </row>
    <row r="603" spans="1:26" ht="16.5" customHeight="1">
      <c r="A603" s="106"/>
      <c r="B603" s="106"/>
      <c r="C603" s="107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  <c r="V603" s="101"/>
      <c r="W603" s="101"/>
      <c r="X603" s="101"/>
      <c r="Y603" s="101"/>
      <c r="Z603" s="101"/>
    </row>
    <row r="604" spans="1:26" ht="16.5" customHeight="1">
      <c r="A604" s="106"/>
      <c r="B604" s="106"/>
      <c r="C604" s="107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  <c r="V604" s="101"/>
      <c r="W604" s="101"/>
      <c r="X604" s="101"/>
      <c r="Y604" s="101"/>
      <c r="Z604" s="101"/>
    </row>
    <row r="605" spans="1:26" ht="16.5" customHeight="1">
      <c r="A605" s="106"/>
      <c r="B605" s="106"/>
      <c r="C605" s="107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  <c r="V605" s="101"/>
      <c r="W605" s="101"/>
      <c r="X605" s="101"/>
      <c r="Y605" s="101"/>
      <c r="Z605" s="101"/>
    </row>
    <row r="606" spans="1:26" ht="16.5" customHeight="1">
      <c r="A606" s="106"/>
      <c r="B606" s="106"/>
      <c r="C606" s="107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  <c r="V606" s="101"/>
      <c r="W606" s="101"/>
      <c r="X606" s="101"/>
      <c r="Y606" s="101"/>
      <c r="Z606" s="101"/>
    </row>
    <row r="607" spans="1:26" ht="16.5" customHeight="1">
      <c r="A607" s="106"/>
      <c r="B607" s="106"/>
      <c r="C607" s="107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  <c r="V607" s="101"/>
      <c r="W607" s="101"/>
      <c r="X607" s="101"/>
      <c r="Y607" s="101"/>
      <c r="Z607" s="101"/>
    </row>
    <row r="608" spans="1:26" ht="16.5" customHeight="1">
      <c r="A608" s="106"/>
      <c r="B608" s="106"/>
      <c r="C608" s="107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  <c r="V608" s="101"/>
      <c r="W608" s="101"/>
      <c r="X608" s="101"/>
      <c r="Y608" s="101"/>
      <c r="Z608" s="101"/>
    </row>
    <row r="609" spans="1:26" ht="16.5" customHeight="1">
      <c r="A609" s="106"/>
      <c r="B609" s="106"/>
      <c r="C609" s="107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</row>
    <row r="610" spans="1:26" ht="16.5" customHeight="1">
      <c r="A610" s="106"/>
      <c r="B610" s="106"/>
      <c r="C610" s="107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</row>
    <row r="611" spans="1:26" ht="16.5" customHeight="1">
      <c r="A611" s="106"/>
      <c r="B611" s="106"/>
      <c r="C611" s="107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</row>
    <row r="612" spans="1:26" ht="16.5" customHeight="1">
      <c r="A612" s="106"/>
      <c r="B612" s="106"/>
      <c r="C612" s="107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</row>
    <row r="613" spans="1:26" ht="16.5" customHeight="1">
      <c r="A613" s="106"/>
      <c r="B613" s="106"/>
      <c r="C613" s="107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</row>
    <row r="614" spans="1:26" ht="16.5" customHeight="1">
      <c r="A614" s="106"/>
      <c r="B614" s="106"/>
      <c r="C614" s="107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</row>
    <row r="615" spans="1:26" ht="16.5" customHeight="1">
      <c r="A615" s="106"/>
      <c r="B615" s="106"/>
      <c r="C615" s="107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</row>
    <row r="616" spans="1:26" ht="16.5" customHeight="1">
      <c r="A616" s="106"/>
      <c r="B616" s="106"/>
      <c r="C616" s="107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</row>
    <row r="617" spans="1:26" ht="16.5" customHeight="1">
      <c r="A617" s="106"/>
      <c r="B617" s="106"/>
      <c r="C617" s="107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  <c r="V617" s="101"/>
      <c r="W617" s="101"/>
      <c r="X617" s="101"/>
      <c r="Y617" s="101"/>
      <c r="Z617" s="101"/>
    </row>
    <row r="618" spans="1:26" ht="16.5" customHeight="1">
      <c r="A618" s="106"/>
      <c r="B618" s="106"/>
      <c r="C618" s="107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  <c r="V618" s="101"/>
      <c r="W618" s="101"/>
      <c r="X618" s="101"/>
      <c r="Y618" s="101"/>
      <c r="Z618" s="101"/>
    </row>
    <row r="619" spans="1:26" ht="16.5" customHeight="1">
      <c r="A619" s="106"/>
      <c r="B619" s="106"/>
      <c r="C619" s="107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  <c r="V619" s="101"/>
      <c r="W619" s="101"/>
      <c r="X619" s="101"/>
      <c r="Y619" s="101"/>
      <c r="Z619" s="101"/>
    </row>
    <row r="620" spans="1:26" ht="16.5" customHeight="1">
      <c r="A620" s="106"/>
      <c r="B620" s="106"/>
      <c r="C620" s="107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  <c r="V620" s="101"/>
      <c r="W620" s="101"/>
      <c r="X620" s="101"/>
      <c r="Y620" s="101"/>
      <c r="Z620" s="101"/>
    </row>
    <row r="621" spans="1:26" ht="16.5" customHeight="1">
      <c r="A621" s="106"/>
      <c r="B621" s="106"/>
      <c r="C621" s="107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  <c r="V621" s="101"/>
      <c r="W621" s="101"/>
      <c r="X621" s="101"/>
      <c r="Y621" s="101"/>
      <c r="Z621" s="101"/>
    </row>
    <row r="622" spans="1:26" ht="16.5" customHeight="1">
      <c r="A622" s="106"/>
      <c r="B622" s="106"/>
      <c r="C622" s="107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  <c r="V622" s="101"/>
      <c r="W622" s="101"/>
      <c r="X622" s="101"/>
      <c r="Y622" s="101"/>
      <c r="Z622" s="101"/>
    </row>
    <row r="623" spans="1:26" ht="16.5" customHeight="1">
      <c r="A623" s="106"/>
      <c r="B623" s="106"/>
      <c r="C623" s="107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  <c r="V623" s="101"/>
      <c r="W623" s="101"/>
      <c r="X623" s="101"/>
      <c r="Y623" s="101"/>
      <c r="Z623" s="101"/>
    </row>
    <row r="624" spans="1:26" ht="16.5" customHeight="1">
      <c r="A624" s="106"/>
      <c r="B624" s="106"/>
      <c r="C624" s="107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  <c r="V624" s="101"/>
      <c r="W624" s="101"/>
      <c r="X624" s="101"/>
      <c r="Y624" s="101"/>
      <c r="Z624" s="101"/>
    </row>
    <row r="625" spans="1:26" ht="16.5" customHeight="1">
      <c r="A625" s="106"/>
      <c r="B625" s="106"/>
      <c r="C625" s="107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</row>
    <row r="626" spans="1:26" ht="16.5" customHeight="1">
      <c r="A626" s="106"/>
      <c r="B626" s="106"/>
      <c r="C626" s="107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</row>
    <row r="627" spans="1:26" ht="16.5" customHeight="1">
      <c r="A627" s="106"/>
      <c r="B627" s="106"/>
      <c r="C627" s="107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</row>
    <row r="628" spans="1:26" ht="16.5" customHeight="1">
      <c r="A628" s="106"/>
      <c r="B628" s="106"/>
      <c r="C628" s="107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</row>
    <row r="629" spans="1:26" ht="16.5" customHeight="1">
      <c r="A629" s="106"/>
      <c r="B629" s="106"/>
      <c r="C629" s="107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</row>
    <row r="630" spans="1:26" ht="16.5" customHeight="1">
      <c r="A630" s="106"/>
      <c r="B630" s="106"/>
      <c r="C630" s="107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</row>
    <row r="631" spans="1:26" ht="16.5" customHeight="1">
      <c r="A631" s="106"/>
      <c r="B631" s="106"/>
      <c r="C631" s="107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</row>
    <row r="632" spans="1:26" ht="16.5" customHeight="1">
      <c r="A632" s="106"/>
      <c r="B632" s="106"/>
      <c r="C632" s="107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</row>
    <row r="633" spans="1:26" ht="16.5" customHeight="1">
      <c r="A633" s="106"/>
      <c r="B633" s="106"/>
      <c r="C633" s="107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  <c r="V633" s="101"/>
      <c r="W633" s="101"/>
      <c r="X633" s="101"/>
      <c r="Y633" s="101"/>
      <c r="Z633" s="101"/>
    </row>
    <row r="634" spans="1:26" ht="16.5" customHeight="1">
      <c r="A634" s="106"/>
      <c r="B634" s="106"/>
      <c r="C634" s="107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  <c r="V634" s="101"/>
      <c r="W634" s="101"/>
      <c r="X634" s="101"/>
      <c r="Y634" s="101"/>
      <c r="Z634" s="101"/>
    </row>
    <row r="635" spans="1:26" ht="16.5" customHeight="1">
      <c r="A635" s="106"/>
      <c r="B635" s="106"/>
      <c r="C635" s="107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  <c r="V635" s="101"/>
      <c r="W635" s="101"/>
      <c r="X635" s="101"/>
      <c r="Y635" s="101"/>
      <c r="Z635" s="101"/>
    </row>
    <row r="636" spans="1:26" ht="16.5" customHeight="1">
      <c r="A636" s="106"/>
      <c r="B636" s="106"/>
      <c r="C636" s="107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  <c r="V636" s="101"/>
      <c r="W636" s="101"/>
      <c r="X636" s="101"/>
      <c r="Y636" s="101"/>
      <c r="Z636" s="101"/>
    </row>
    <row r="637" spans="1:26" ht="16.5" customHeight="1">
      <c r="A637" s="106"/>
      <c r="B637" s="106"/>
      <c r="C637" s="107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</row>
    <row r="638" spans="1:26" ht="16.5" customHeight="1">
      <c r="A638" s="106"/>
      <c r="B638" s="106"/>
      <c r="C638" s="107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  <c r="V638" s="101"/>
      <c r="W638" s="101"/>
      <c r="X638" s="101"/>
      <c r="Y638" s="101"/>
      <c r="Z638" s="101"/>
    </row>
    <row r="639" spans="1:26" ht="16.5" customHeight="1">
      <c r="A639" s="106"/>
      <c r="B639" s="106"/>
      <c r="C639" s="107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  <c r="V639" s="101"/>
      <c r="W639" s="101"/>
      <c r="X639" s="101"/>
      <c r="Y639" s="101"/>
      <c r="Z639" s="101"/>
    </row>
    <row r="640" spans="1:26" ht="16.5" customHeight="1">
      <c r="A640" s="106"/>
      <c r="B640" s="106"/>
      <c r="C640" s="107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  <c r="V640" s="101"/>
      <c r="W640" s="101"/>
      <c r="X640" s="101"/>
      <c r="Y640" s="101"/>
      <c r="Z640" s="101"/>
    </row>
    <row r="641" spans="1:26" ht="16.5" customHeight="1">
      <c r="A641" s="106"/>
      <c r="B641" s="106"/>
      <c r="C641" s="107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  <c r="V641" s="101"/>
      <c r="W641" s="101"/>
      <c r="X641" s="101"/>
      <c r="Y641" s="101"/>
      <c r="Z641" s="101"/>
    </row>
    <row r="642" spans="1:26" ht="16.5" customHeight="1">
      <c r="A642" s="106"/>
      <c r="B642" s="106"/>
      <c r="C642" s="107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  <c r="V642" s="101"/>
      <c r="W642" s="101"/>
      <c r="X642" s="101"/>
      <c r="Y642" s="101"/>
      <c r="Z642" s="101"/>
    </row>
    <row r="643" spans="1:26" ht="16.5" customHeight="1">
      <c r="A643" s="106"/>
      <c r="B643" s="106"/>
      <c r="C643" s="107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  <c r="V643" s="101"/>
      <c r="W643" s="101"/>
      <c r="X643" s="101"/>
      <c r="Y643" s="101"/>
      <c r="Z643" s="101"/>
    </row>
    <row r="644" spans="1:26" ht="16.5" customHeight="1">
      <c r="A644" s="106"/>
      <c r="B644" s="106"/>
      <c r="C644" s="107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  <c r="V644" s="101"/>
      <c r="W644" s="101"/>
      <c r="X644" s="101"/>
      <c r="Y644" s="101"/>
      <c r="Z644" s="101"/>
    </row>
    <row r="645" spans="1:26" ht="16.5" customHeight="1">
      <c r="A645" s="106"/>
      <c r="B645" s="106"/>
      <c r="C645" s="107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  <c r="V645" s="101"/>
      <c r="W645" s="101"/>
      <c r="X645" s="101"/>
      <c r="Y645" s="101"/>
      <c r="Z645" s="101"/>
    </row>
    <row r="646" spans="1:26" ht="16.5" customHeight="1">
      <c r="A646" s="106"/>
      <c r="B646" s="106"/>
      <c r="C646" s="107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  <c r="V646" s="101"/>
      <c r="W646" s="101"/>
      <c r="X646" s="101"/>
      <c r="Y646" s="101"/>
      <c r="Z646" s="101"/>
    </row>
    <row r="647" spans="1:26" ht="16.5" customHeight="1">
      <c r="A647" s="106"/>
      <c r="B647" s="106"/>
      <c r="C647" s="107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  <c r="V647" s="101"/>
      <c r="W647" s="101"/>
      <c r="X647" s="101"/>
      <c r="Y647" s="101"/>
      <c r="Z647" s="101"/>
    </row>
    <row r="648" spans="1:26" ht="16.5" customHeight="1">
      <c r="A648" s="106"/>
      <c r="B648" s="106"/>
      <c r="C648" s="107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  <c r="V648" s="101"/>
      <c r="W648" s="101"/>
      <c r="X648" s="101"/>
      <c r="Y648" s="101"/>
      <c r="Z648" s="101"/>
    </row>
    <row r="649" spans="1:26" ht="16.5" customHeight="1">
      <c r="A649" s="106"/>
      <c r="B649" s="106"/>
      <c r="C649" s="107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</row>
    <row r="650" spans="1:26" ht="16.5" customHeight="1">
      <c r="A650" s="106"/>
      <c r="B650" s="106"/>
      <c r="C650" s="107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  <c r="V650" s="101"/>
      <c r="W650" s="101"/>
      <c r="X650" s="101"/>
      <c r="Y650" s="101"/>
      <c r="Z650" s="101"/>
    </row>
    <row r="651" spans="1:26" ht="16.5" customHeight="1">
      <c r="A651" s="106"/>
      <c r="B651" s="106"/>
      <c r="C651" s="107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  <c r="V651" s="101"/>
      <c r="W651" s="101"/>
      <c r="X651" s="101"/>
      <c r="Y651" s="101"/>
      <c r="Z651" s="101"/>
    </row>
    <row r="652" spans="1:26" ht="16.5" customHeight="1">
      <c r="A652" s="106"/>
      <c r="B652" s="106"/>
      <c r="C652" s="107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  <c r="V652" s="101"/>
      <c r="W652" s="101"/>
      <c r="X652" s="101"/>
      <c r="Y652" s="101"/>
      <c r="Z652" s="101"/>
    </row>
    <row r="653" spans="1:26" ht="16.5" customHeight="1">
      <c r="A653" s="106"/>
      <c r="B653" s="106"/>
      <c r="C653" s="107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  <c r="V653" s="101"/>
      <c r="W653" s="101"/>
      <c r="X653" s="101"/>
      <c r="Y653" s="101"/>
      <c r="Z653" s="101"/>
    </row>
    <row r="654" spans="1:26" ht="16.5" customHeight="1">
      <c r="A654" s="106"/>
      <c r="B654" s="106"/>
      <c r="C654" s="107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  <c r="V654" s="101"/>
      <c r="W654" s="101"/>
      <c r="X654" s="101"/>
      <c r="Y654" s="101"/>
      <c r="Z654" s="101"/>
    </row>
    <row r="655" spans="1:26" ht="16.5" customHeight="1">
      <c r="A655" s="106"/>
      <c r="B655" s="106"/>
      <c r="C655" s="107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  <c r="V655" s="101"/>
      <c r="W655" s="101"/>
      <c r="X655" s="101"/>
      <c r="Y655" s="101"/>
      <c r="Z655" s="101"/>
    </row>
    <row r="656" spans="1:26" ht="16.5" customHeight="1">
      <c r="A656" s="106"/>
      <c r="B656" s="106"/>
      <c r="C656" s="107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  <c r="V656" s="101"/>
      <c r="W656" s="101"/>
      <c r="X656" s="101"/>
      <c r="Y656" s="101"/>
      <c r="Z656" s="101"/>
    </row>
    <row r="657" spans="1:26" ht="16.5" customHeight="1">
      <c r="A657" s="106"/>
      <c r="B657" s="106"/>
      <c r="C657" s="107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  <c r="V657" s="101"/>
      <c r="W657" s="101"/>
      <c r="X657" s="101"/>
      <c r="Y657" s="101"/>
      <c r="Z657" s="101"/>
    </row>
    <row r="658" spans="1:26" ht="16.5" customHeight="1">
      <c r="A658" s="106"/>
      <c r="B658" s="106"/>
      <c r="C658" s="107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  <c r="V658" s="101"/>
      <c r="W658" s="101"/>
      <c r="X658" s="101"/>
      <c r="Y658" s="101"/>
      <c r="Z658" s="101"/>
    </row>
    <row r="659" spans="1:26" ht="16.5" customHeight="1">
      <c r="A659" s="106"/>
      <c r="B659" s="106"/>
      <c r="C659" s="107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  <c r="V659" s="101"/>
      <c r="W659" s="101"/>
      <c r="X659" s="101"/>
      <c r="Y659" s="101"/>
      <c r="Z659" s="101"/>
    </row>
    <row r="660" spans="1:26" ht="16.5" customHeight="1">
      <c r="A660" s="106"/>
      <c r="B660" s="106"/>
      <c r="C660" s="107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  <c r="V660" s="101"/>
      <c r="W660" s="101"/>
      <c r="X660" s="101"/>
      <c r="Y660" s="101"/>
      <c r="Z660" s="101"/>
    </row>
    <row r="661" spans="1:26" ht="16.5" customHeight="1">
      <c r="A661" s="106"/>
      <c r="B661" s="106"/>
      <c r="C661" s="107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  <c r="V661" s="101"/>
      <c r="W661" s="101"/>
      <c r="X661" s="101"/>
      <c r="Y661" s="101"/>
      <c r="Z661" s="101"/>
    </row>
    <row r="662" spans="1:26" ht="16.5" customHeight="1">
      <c r="A662" s="106"/>
      <c r="B662" s="106"/>
      <c r="C662" s="107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  <c r="V662" s="101"/>
      <c r="W662" s="101"/>
      <c r="X662" s="101"/>
      <c r="Y662" s="101"/>
      <c r="Z662" s="101"/>
    </row>
    <row r="663" spans="1:26" ht="16.5" customHeight="1">
      <c r="A663" s="106"/>
      <c r="B663" s="106"/>
      <c r="C663" s="107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  <c r="V663" s="101"/>
      <c r="W663" s="101"/>
      <c r="X663" s="101"/>
      <c r="Y663" s="101"/>
      <c r="Z663" s="101"/>
    </row>
    <row r="664" spans="1:26" ht="16.5" customHeight="1">
      <c r="A664" s="106"/>
      <c r="B664" s="106"/>
      <c r="C664" s="107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  <c r="V664" s="101"/>
      <c r="W664" s="101"/>
      <c r="X664" s="101"/>
      <c r="Y664" s="101"/>
      <c r="Z664" s="101"/>
    </row>
    <row r="665" spans="1:26" ht="16.5" customHeight="1">
      <c r="A665" s="106"/>
      <c r="B665" s="106"/>
      <c r="C665" s="107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  <c r="V665" s="101"/>
      <c r="W665" s="101"/>
      <c r="X665" s="101"/>
      <c r="Y665" s="101"/>
      <c r="Z665" s="101"/>
    </row>
    <row r="666" spans="1:26" ht="16.5" customHeight="1">
      <c r="A666" s="106"/>
      <c r="B666" s="106"/>
      <c r="C666" s="107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</row>
    <row r="667" spans="1:26" ht="16.5" customHeight="1">
      <c r="A667" s="106"/>
      <c r="B667" s="106"/>
      <c r="C667" s="107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  <c r="V667" s="101"/>
      <c r="W667" s="101"/>
      <c r="X667" s="101"/>
      <c r="Y667" s="101"/>
      <c r="Z667" s="101"/>
    </row>
    <row r="668" spans="1:26" ht="16.5" customHeight="1">
      <c r="A668" s="106"/>
      <c r="B668" s="106"/>
      <c r="C668" s="107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  <c r="V668" s="101"/>
      <c r="W668" s="101"/>
      <c r="X668" s="101"/>
      <c r="Y668" s="101"/>
      <c r="Z668" s="101"/>
    </row>
    <row r="669" spans="1:26" ht="16.5" customHeight="1">
      <c r="A669" s="106"/>
      <c r="B669" s="106"/>
      <c r="C669" s="107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  <c r="V669" s="101"/>
      <c r="W669" s="101"/>
      <c r="X669" s="101"/>
      <c r="Y669" s="101"/>
      <c r="Z669" s="101"/>
    </row>
    <row r="670" spans="1:26" ht="16.5" customHeight="1">
      <c r="A670" s="106"/>
      <c r="B670" s="106"/>
      <c r="C670" s="107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  <c r="V670" s="101"/>
      <c r="W670" s="101"/>
      <c r="X670" s="101"/>
      <c r="Y670" s="101"/>
      <c r="Z670" s="101"/>
    </row>
    <row r="671" spans="1:26" ht="16.5" customHeight="1">
      <c r="A671" s="106"/>
      <c r="B671" s="106"/>
      <c r="C671" s="107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  <c r="V671" s="101"/>
      <c r="W671" s="101"/>
      <c r="X671" s="101"/>
      <c r="Y671" s="101"/>
      <c r="Z671" s="101"/>
    </row>
    <row r="672" spans="1:26" ht="16.5" customHeight="1">
      <c r="A672" s="106"/>
      <c r="B672" s="106"/>
      <c r="C672" s="107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  <c r="V672" s="101"/>
      <c r="W672" s="101"/>
      <c r="X672" s="101"/>
      <c r="Y672" s="101"/>
      <c r="Z672" s="101"/>
    </row>
    <row r="673" spans="1:26" ht="16.5" customHeight="1">
      <c r="A673" s="106"/>
      <c r="B673" s="106"/>
      <c r="C673" s="107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  <c r="V673" s="101"/>
      <c r="W673" s="101"/>
      <c r="X673" s="101"/>
      <c r="Y673" s="101"/>
      <c r="Z673" s="101"/>
    </row>
    <row r="674" spans="1:26" ht="16.5" customHeight="1">
      <c r="A674" s="106"/>
      <c r="B674" s="106"/>
      <c r="C674" s="107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  <c r="V674" s="101"/>
      <c r="W674" s="101"/>
      <c r="X674" s="101"/>
      <c r="Y674" s="101"/>
      <c r="Z674" s="101"/>
    </row>
    <row r="675" spans="1:26" ht="16.5" customHeight="1">
      <c r="A675" s="106"/>
      <c r="B675" s="106"/>
      <c r="C675" s="107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  <c r="V675" s="101"/>
      <c r="W675" s="101"/>
      <c r="X675" s="101"/>
      <c r="Y675" s="101"/>
      <c r="Z675" s="101"/>
    </row>
    <row r="676" spans="1:26" ht="16.5" customHeight="1">
      <c r="A676" s="106"/>
      <c r="B676" s="106"/>
      <c r="C676" s="107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  <c r="V676" s="101"/>
      <c r="W676" s="101"/>
      <c r="X676" s="101"/>
      <c r="Y676" s="101"/>
      <c r="Z676" s="101"/>
    </row>
    <row r="677" spans="1:26" ht="16.5" customHeight="1">
      <c r="A677" s="106"/>
      <c r="B677" s="106"/>
      <c r="C677" s="107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  <c r="V677" s="101"/>
      <c r="W677" s="101"/>
      <c r="X677" s="101"/>
      <c r="Y677" s="101"/>
      <c r="Z677" s="101"/>
    </row>
    <row r="678" spans="1:26" ht="16.5" customHeight="1">
      <c r="A678" s="106"/>
      <c r="B678" s="106"/>
      <c r="C678" s="107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  <c r="V678" s="101"/>
      <c r="W678" s="101"/>
      <c r="X678" s="101"/>
      <c r="Y678" s="101"/>
      <c r="Z678" s="101"/>
    </row>
    <row r="679" spans="1:26" ht="16.5" customHeight="1">
      <c r="A679" s="106"/>
      <c r="B679" s="106"/>
      <c r="C679" s="107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  <c r="V679" s="101"/>
      <c r="W679" s="101"/>
      <c r="X679" s="101"/>
      <c r="Y679" s="101"/>
      <c r="Z679" s="101"/>
    </row>
    <row r="680" spans="1:26" ht="16.5" customHeight="1">
      <c r="A680" s="106"/>
      <c r="B680" s="106"/>
      <c r="C680" s="107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  <c r="V680" s="101"/>
      <c r="W680" s="101"/>
      <c r="X680" s="101"/>
      <c r="Y680" s="101"/>
      <c r="Z680" s="101"/>
    </row>
    <row r="681" spans="1:26" ht="16.5" customHeight="1">
      <c r="A681" s="106"/>
      <c r="B681" s="106"/>
      <c r="C681" s="107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  <c r="V681" s="101"/>
      <c r="W681" s="101"/>
      <c r="X681" s="101"/>
      <c r="Y681" s="101"/>
      <c r="Z681" s="101"/>
    </row>
    <row r="682" spans="1:26" ht="16.5" customHeight="1">
      <c r="A682" s="106"/>
      <c r="B682" s="106"/>
      <c r="C682" s="107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  <c r="V682" s="101"/>
      <c r="W682" s="101"/>
      <c r="X682" s="101"/>
      <c r="Y682" s="101"/>
      <c r="Z682" s="101"/>
    </row>
    <row r="683" spans="1:26" ht="16.5" customHeight="1">
      <c r="A683" s="106"/>
      <c r="B683" s="106"/>
      <c r="C683" s="107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</row>
    <row r="684" spans="1:26" ht="16.5" customHeight="1">
      <c r="A684" s="106"/>
      <c r="B684" s="106"/>
      <c r="C684" s="107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  <c r="V684" s="101"/>
      <c r="W684" s="101"/>
      <c r="X684" s="101"/>
      <c r="Y684" s="101"/>
      <c r="Z684" s="101"/>
    </row>
    <row r="685" spans="1:26" ht="16.5" customHeight="1">
      <c r="A685" s="106"/>
      <c r="B685" s="106"/>
      <c r="C685" s="107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  <c r="V685" s="101"/>
      <c r="W685" s="101"/>
      <c r="X685" s="101"/>
      <c r="Y685" s="101"/>
      <c r="Z685" s="101"/>
    </row>
    <row r="686" spans="1:26" ht="16.5" customHeight="1">
      <c r="A686" s="106"/>
      <c r="B686" s="106"/>
      <c r="C686" s="107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  <c r="V686" s="101"/>
      <c r="W686" s="101"/>
      <c r="X686" s="101"/>
      <c r="Y686" s="101"/>
      <c r="Z686" s="101"/>
    </row>
    <row r="687" spans="1:26" ht="16.5" customHeight="1">
      <c r="A687" s="106"/>
      <c r="B687" s="106"/>
      <c r="C687" s="107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  <c r="V687" s="101"/>
      <c r="W687" s="101"/>
      <c r="X687" s="101"/>
      <c r="Y687" s="101"/>
      <c r="Z687" s="101"/>
    </row>
    <row r="688" spans="1:26" ht="16.5" customHeight="1">
      <c r="A688" s="106"/>
      <c r="B688" s="106"/>
      <c r="C688" s="107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  <c r="V688" s="101"/>
      <c r="W688" s="101"/>
      <c r="X688" s="101"/>
      <c r="Y688" s="101"/>
      <c r="Z688" s="101"/>
    </row>
    <row r="689" spans="1:26" ht="16.5" customHeight="1">
      <c r="A689" s="106"/>
      <c r="B689" s="106"/>
      <c r="C689" s="107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  <c r="V689" s="101"/>
      <c r="W689" s="101"/>
      <c r="X689" s="101"/>
      <c r="Y689" s="101"/>
      <c r="Z689" s="101"/>
    </row>
    <row r="690" spans="1:26" ht="16.5" customHeight="1">
      <c r="A690" s="106"/>
      <c r="B690" s="106"/>
      <c r="C690" s="107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  <c r="V690" s="101"/>
      <c r="W690" s="101"/>
      <c r="X690" s="101"/>
      <c r="Y690" s="101"/>
      <c r="Z690" s="101"/>
    </row>
    <row r="691" spans="1:26" ht="16.5" customHeight="1">
      <c r="A691" s="106"/>
      <c r="B691" s="106"/>
      <c r="C691" s="107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  <c r="V691" s="101"/>
      <c r="W691" s="101"/>
      <c r="X691" s="101"/>
      <c r="Y691" s="101"/>
      <c r="Z691" s="101"/>
    </row>
    <row r="692" spans="1:26" ht="16.5" customHeight="1">
      <c r="A692" s="106"/>
      <c r="B692" s="106"/>
      <c r="C692" s="107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  <c r="V692" s="101"/>
      <c r="W692" s="101"/>
      <c r="X692" s="101"/>
      <c r="Y692" s="101"/>
      <c r="Z692" s="101"/>
    </row>
    <row r="693" spans="1:26" ht="16.5" customHeight="1">
      <c r="A693" s="106"/>
      <c r="B693" s="106"/>
      <c r="C693" s="107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  <c r="V693" s="101"/>
      <c r="W693" s="101"/>
      <c r="X693" s="101"/>
      <c r="Y693" s="101"/>
      <c r="Z693" s="101"/>
    </row>
    <row r="694" spans="1:26" ht="16.5" customHeight="1">
      <c r="A694" s="106"/>
      <c r="B694" s="106"/>
      <c r="C694" s="107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  <c r="V694" s="101"/>
      <c r="W694" s="101"/>
      <c r="X694" s="101"/>
      <c r="Y694" s="101"/>
      <c r="Z694" s="101"/>
    </row>
    <row r="695" spans="1:26" ht="16.5" customHeight="1">
      <c r="A695" s="106"/>
      <c r="B695" s="106"/>
      <c r="C695" s="107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  <c r="V695" s="101"/>
      <c r="W695" s="101"/>
      <c r="X695" s="101"/>
      <c r="Y695" s="101"/>
      <c r="Z695" s="101"/>
    </row>
    <row r="696" spans="1:26" ht="16.5" customHeight="1">
      <c r="A696" s="106"/>
      <c r="B696" s="106"/>
      <c r="C696" s="107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  <c r="V696" s="101"/>
      <c r="W696" s="101"/>
      <c r="X696" s="101"/>
      <c r="Y696" s="101"/>
      <c r="Z696" s="101"/>
    </row>
    <row r="697" spans="1:26" ht="16.5" customHeight="1">
      <c r="A697" s="106"/>
      <c r="B697" s="106"/>
      <c r="C697" s="107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  <c r="V697" s="101"/>
      <c r="W697" s="101"/>
      <c r="X697" s="101"/>
      <c r="Y697" s="101"/>
      <c r="Z697" s="101"/>
    </row>
    <row r="698" spans="1:26" ht="16.5" customHeight="1">
      <c r="A698" s="106"/>
      <c r="B698" s="106"/>
      <c r="C698" s="107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  <c r="V698" s="101"/>
      <c r="W698" s="101"/>
      <c r="X698" s="101"/>
      <c r="Y698" s="101"/>
      <c r="Z698" s="101"/>
    </row>
    <row r="699" spans="1:26" ht="16.5" customHeight="1">
      <c r="A699" s="106"/>
      <c r="B699" s="106"/>
      <c r="C699" s="107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  <c r="V699" s="101"/>
      <c r="W699" s="101"/>
      <c r="X699" s="101"/>
      <c r="Y699" s="101"/>
      <c r="Z699" s="101"/>
    </row>
    <row r="700" spans="1:26" ht="16.5" customHeight="1">
      <c r="A700" s="106"/>
      <c r="B700" s="106"/>
      <c r="C700" s="107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</row>
    <row r="701" spans="1:26" ht="16.5" customHeight="1">
      <c r="A701" s="106"/>
      <c r="B701" s="106"/>
      <c r="C701" s="107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  <c r="V701" s="101"/>
      <c r="W701" s="101"/>
      <c r="X701" s="101"/>
      <c r="Y701" s="101"/>
      <c r="Z701" s="101"/>
    </row>
    <row r="702" spans="1:26" ht="16.5" customHeight="1">
      <c r="A702" s="106"/>
      <c r="B702" s="106"/>
      <c r="C702" s="107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  <c r="V702" s="101"/>
      <c r="W702" s="101"/>
      <c r="X702" s="101"/>
      <c r="Y702" s="101"/>
      <c r="Z702" s="101"/>
    </row>
    <row r="703" spans="1:26" ht="16.5" customHeight="1">
      <c r="A703" s="106"/>
      <c r="B703" s="106"/>
      <c r="C703" s="107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  <c r="V703" s="101"/>
      <c r="W703" s="101"/>
      <c r="X703" s="101"/>
      <c r="Y703" s="101"/>
      <c r="Z703" s="101"/>
    </row>
    <row r="704" spans="1:26" ht="16.5" customHeight="1">
      <c r="A704" s="106"/>
      <c r="B704" s="106"/>
      <c r="C704" s="107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  <c r="V704" s="101"/>
      <c r="W704" s="101"/>
      <c r="X704" s="101"/>
      <c r="Y704" s="101"/>
      <c r="Z704" s="101"/>
    </row>
    <row r="705" spans="1:26" ht="16.5" customHeight="1">
      <c r="A705" s="106"/>
      <c r="B705" s="106"/>
      <c r="C705" s="107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  <c r="V705" s="101"/>
      <c r="W705" s="101"/>
      <c r="X705" s="101"/>
      <c r="Y705" s="101"/>
      <c r="Z705" s="101"/>
    </row>
    <row r="706" spans="1:26" ht="16.5" customHeight="1">
      <c r="A706" s="106"/>
      <c r="B706" s="106"/>
      <c r="C706" s="107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  <c r="V706" s="101"/>
      <c r="W706" s="101"/>
      <c r="X706" s="101"/>
      <c r="Y706" s="101"/>
      <c r="Z706" s="101"/>
    </row>
    <row r="707" spans="1:26" ht="16.5" customHeight="1">
      <c r="A707" s="106"/>
      <c r="B707" s="106"/>
      <c r="C707" s="107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  <c r="V707" s="101"/>
      <c r="W707" s="101"/>
      <c r="X707" s="101"/>
      <c r="Y707" s="101"/>
      <c r="Z707" s="101"/>
    </row>
    <row r="708" spans="1:26" ht="16.5" customHeight="1">
      <c r="A708" s="106"/>
      <c r="B708" s="106"/>
      <c r="C708" s="107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  <c r="V708" s="101"/>
      <c r="W708" s="101"/>
      <c r="X708" s="101"/>
      <c r="Y708" s="101"/>
      <c r="Z708" s="101"/>
    </row>
    <row r="709" spans="1:26" ht="16.5" customHeight="1">
      <c r="A709" s="106"/>
      <c r="B709" s="106"/>
      <c r="C709" s="107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  <c r="V709" s="101"/>
      <c r="W709" s="101"/>
      <c r="X709" s="101"/>
      <c r="Y709" s="101"/>
      <c r="Z709" s="101"/>
    </row>
    <row r="710" spans="1:26" ht="16.5" customHeight="1">
      <c r="A710" s="106"/>
      <c r="B710" s="106"/>
      <c r="C710" s="107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  <c r="V710" s="101"/>
      <c r="W710" s="101"/>
      <c r="X710" s="101"/>
      <c r="Y710" s="101"/>
      <c r="Z710" s="101"/>
    </row>
    <row r="711" spans="1:26" ht="16.5" customHeight="1">
      <c r="A711" s="106"/>
      <c r="B711" s="106"/>
      <c r="C711" s="107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/>
      <c r="W711" s="101"/>
      <c r="X711" s="101"/>
      <c r="Y711" s="101"/>
      <c r="Z711" s="101"/>
    </row>
    <row r="712" spans="1:26" ht="16.5" customHeight="1">
      <c r="A712" s="106"/>
      <c r="B712" s="106"/>
      <c r="C712" s="107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  <c r="V712" s="101"/>
      <c r="W712" s="101"/>
      <c r="X712" s="101"/>
      <c r="Y712" s="101"/>
      <c r="Z712" s="101"/>
    </row>
    <row r="713" spans="1:26" ht="16.5" customHeight="1">
      <c r="A713" s="106"/>
      <c r="B713" s="106"/>
      <c r="C713" s="107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  <c r="V713" s="101"/>
      <c r="W713" s="101"/>
      <c r="X713" s="101"/>
      <c r="Y713" s="101"/>
      <c r="Z713" s="101"/>
    </row>
    <row r="714" spans="1:26" ht="16.5" customHeight="1">
      <c r="A714" s="106"/>
      <c r="B714" s="106"/>
      <c r="C714" s="107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  <c r="V714" s="101"/>
      <c r="W714" s="101"/>
      <c r="X714" s="101"/>
      <c r="Y714" s="101"/>
      <c r="Z714" s="101"/>
    </row>
    <row r="715" spans="1:26" ht="16.5" customHeight="1">
      <c r="A715" s="106"/>
      <c r="B715" s="106"/>
      <c r="C715" s="107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  <c r="V715" s="101"/>
      <c r="W715" s="101"/>
      <c r="X715" s="101"/>
      <c r="Y715" s="101"/>
      <c r="Z715" s="101"/>
    </row>
    <row r="716" spans="1:26" ht="16.5" customHeight="1">
      <c r="A716" s="106"/>
      <c r="B716" s="106"/>
      <c r="C716" s="107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  <c r="V716" s="101"/>
      <c r="W716" s="101"/>
      <c r="X716" s="101"/>
      <c r="Y716" s="101"/>
      <c r="Z716" s="101"/>
    </row>
    <row r="717" spans="1:26" ht="16.5" customHeight="1">
      <c r="A717" s="106"/>
      <c r="B717" s="106"/>
      <c r="C717" s="107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</row>
    <row r="718" spans="1:26" ht="16.5" customHeight="1">
      <c r="A718" s="106"/>
      <c r="B718" s="106"/>
      <c r="C718" s="107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  <c r="V718" s="101"/>
      <c r="W718" s="101"/>
      <c r="X718" s="101"/>
      <c r="Y718" s="101"/>
      <c r="Z718" s="101"/>
    </row>
    <row r="719" spans="1:26" ht="16.5" customHeight="1">
      <c r="A719" s="106"/>
      <c r="B719" s="106"/>
      <c r="C719" s="107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  <c r="V719" s="101"/>
      <c r="W719" s="101"/>
      <c r="X719" s="101"/>
      <c r="Y719" s="101"/>
      <c r="Z719" s="101"/>
    </row>
    <row r="720" spans="1:26" ht="16.5" customHeight="1">
      <c r="A720" s="106"/>
      <c r="B720" s="106"/>
      <c r="C720" s="107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  <c r="V720" s="101"/>
      <c r="W720" s="101"/>
      <c r="X720" s="101"/>
      <c r="Y720" s="101"/>
      <c r="Z720" s="101"/>
    </row>
    <row r="721" spans="1:26" ht="16.5" customHeight="1">
      <c r="A721" s="106"/>
      <c r="B721" s="106"/>
      <c r="C721" s="107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  <c r="V721" s="101"/>
      <c r="W721" s="101"/>
      <c r="X721" s="101"/>
      <c r="Y721" s="101"/>
      <c r="Z721" s="101"/>
    </row>
    <row r="722" spans="1:26" ht="16.5" customHeight="1">
      <c r="A722" s="106"/>
      <c r="B722" s="106"/>
      <c r="C722" s="107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  <c r="V722" s="101"/>
      <c r="W722" s="101"/>
      <c r="X722" s="101"/>
      <c r="Y722" s="101"/>
      <c r="Z722" s="101"/>
    </row>
    <row r="723" spans="1:26" ht="16.5" customHeight="1">
      <c r="A723" s="106"/>
      <c r="B723" s="106"/>
      <c r="C723" s="107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  <c r="V723" s="101"/>
      <c r="W723" s="101"/>
      <c r="X723" s="101"/>
      <c r="Y723" s="101"/>
      <c r="Z723" s="101"/>
    </row>
    <row r="724" spans="1:26" ht="16.5" customHeight="1">
      <c r="A724" s="106"/>
      <c r="B724" s="106"/>
      <c r="C724" s="107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  <c r="V724" s="101"/>
      <c r="W724" s="101"/>
      <c r="X724" s="101"/>
      <c r="Y724" s="101"/>
      <c r="Z724" s="101"/>
    </row>
    <row r="725" spans="1:26" ht="16.5" customHeight="1">
      <c r="A725" s="106"/>
      <c r="B725" s="106"/>
      <c r="C725" s="107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  <c r="V725" s="101"/>
      <c r="W725" s="101"/>
      <c r="X725" s="101"/>
      <c r="Y725" s="101"/>
      <c r="Z725" s="101"/>
    </row>
    <row r="726" spans="1:26" ht="16.5" customHeight="1">
      <c r="A726" s="106"/>
      <c r="B726" s="106"/>
      <c r="C726" s="107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  <c r="V726" s="101"/>
      <c r="W726" s="101"/>
      <c r="X726" s="101"/>
      <c r="Y726" s="101"/>
      <c r="Z726" s="101"/>
    </row>
    <row r="727" spans="1:26" ht="16.5" customHeight="1">
      <c r="A727" s="106"/>
      <c r="B727" s="106"/>
      <c r="C727" s="107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  <c r="V727" s="101"/>
      <c r="W727" s="101"/>
      <c r="X727" s="101"/>
      <c r="Y727" s="101"/>
      <c r="Z727" s="101"/>
    </row>
    <row r="728" spans="1:26" ht="16.5" customHeight="1">
      <c r="A728" s="106"/>
      <c r="B728" s="106"/>
      <c r="C728" s="107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  <c r="V728" s="101"/>
      <c r="W728" s="101"/>
      <c r="X728" s="101"/>
      <c r="Y728" s="101"/>
      <c r="Z728" s="101"/>
    </row>
    <row r="729" spans="1:26" ht="16.5" customHeight="1">
      <c r="A729" s="106"/>
      <c r="B729" s="106"/>
      <c r="C729" s="107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  <c r="V729" s="101"/>
      <c r="W729" s="101"/>
      <c r="X729" s="101"/>
      <c r="Y729" s="101"/>
      <c r="Z729" s="101"/>
    </row>
    <row r="730" spans="1:26" ht="16.5" customHeight="1">
      <c r="A730" s="106"/>
      <c r="B730" s="106"/>
      <c r="C730" s="107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  <c r="V730" s="101"/>
      <c r="W730" s="101"/>
      <c r="X730" s="101"/>
      <c r="Y730" s="101"/>
      <c r="Z730" s="101"/>
    </row>
    <row r="731" spans="1:26" ht="16.5" customHeight="1">
      <c r="A731" s="106"/>
      <c r="B731" s="106"/>
      <c r="C731" s="107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  <c r="V731" s="101"/>
      <c r="W731" s="101"/>
      <c r="X731" s="101"/>
      <c r="Y731" s="101"/>
      <c r="Z731" s="101"/>
    </row>
    <row r="732" spans="1:26" ht="16.5" customHeight="1">
      <c r="A732" s="106"/>
      <c r="B732" s="106"/>
      <c r="C732" s="107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  <c r="V732" s="101"/>
      <c r="W732" s="101"/>
      <c r="X732" s="101"/>
      <c r="Y732" s="101"/>
      <c r="Z732" s="101"/>
    </row>
    <row r="733" spans="1:26" ht="16.5" customHeight="1">
      <c r="A733" s="106"/>
      <c r="B733" s="106"/>
      <c r="C733" s="107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  <c r="V733" s="101"/>
      <c r="W733" s="101"/>
      <c r="X733" s="101"/>
      <c r="Y733" s="101"/>
      <c r="Z733" s="101"/>
    </row>
    <row r="734" spans="1:26" ht="16.5" customHeight="1">
      <c r="A734" s="106"/>
      <c r="B734" s="106"/>
      <c r="C734" s="107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</row>
    <row r="735" spans="1:26" ht="16.5" customHeight="1">
      <c r="A735" s="106"/>
      <c r="B735" s="106"/>
      <c r="C735" s="107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  <c r="V735" s="101"/>
      <c r="W735" s="101"/>
      <c r="X735" s="101"/>
      <c r="Y735" s="101"/>
      <c r="Z735" s="101"/>
    </row>
    <row r="736" spans="1:26" ht="16.5" customHeight="1">
      <c r="A736" s="106"/>
      <c r="B736" s="106"/>
      <c r="C736" s="107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  <c r="V736" s="101"/>
      <c r="W736" s="101"/>
      <c r="X736" s="101"/>
      <c r="Y736" s="101"/>
      <c r="Z736" s="101"/>
    </row>
    <row r="737" spans="1:26" ht="16.5" customHeight="1">
      <c r="A737" s="106"/>
      <c r="B737" s="106"/>
      <c r="C737" s="107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  <c r="V737" s="101"/>
      <c r="W737" s="101"/>
      <c r="X737" s="101"/>
      <c r="Y737" s="101"/>
      <c r="Z737" s="101"/>
    </row>
    <row r="738" spans="1:26" ht="16.5" customHeight="1">
      <c r="A738" s="106"/>
      <c r="B738" s="106"/>
      <c r="C738" s="107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  <c r="V738" s="101"/>
      <c r="W738" s="101"/>
      <c r="X738" s="101"/>
      <c r="Y738" s="101"/>
      <c r="Z738" s="101"/>
    </row>
    <row r="739" spans="1:26" ht="16.5" customHeight="1">
      <c r="A739" s="106"/>
      <c r="B739" s="106"/>
      <c r="C739" s="107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  <c r="V739" s="101"/>
      <c r="W739" s="101"/>
      <c r="X739" s="101"/>
      <c r="Y739" s="101"/>
      <c r="Z739" s="101"/>
    </row>
    <row r="740" spans="1:26" ht="16.5" customHeight="1">
      <c r="A740" s="106"/>
      <c r="B740" s="106"/>
      <c r="C740" s="107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  <c r="V740" s="101"/>
      <c r="W740" s="101"/>
      <c r="X740" s="101"/>
      <c r="Y740" s="101"/>
      <c r="Z740" s="101"/>
    </row>
    <row r="741" spans="1:26" ht="16.5" customHeight="1">
      <c r="A741" s="106"/>
      <c r="B741" s="106"/>
      <c r="C741" s="107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  <c r="V741" s="101"/>
      <c r="W741" s="101"/>
      <c r="X741" s="101"/>
      <c r="Y741" s="101"/>
      <c r="Z741" s="101"/>
    </row>
    <row r="742" spans="1:26" ht="16.5" customHeight="1">
      <c r="A742" s="106"/>
      <c r="B742" s="106"/>
      <c r="C742" s="107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  <c r="V742" s="101"/>
      <c r="W742" s="101"/>
      <c r="X742" s="101"/>
      <c r="Y742" s="101"/>
      <c r="Z742" s="101"/>
    </row>
    <row r="743" spans="1:26" ht="16.5" customHeight="1">
      <c r="A743" s="106"/>
      <c r="B743" s="106"/>
      <c r="C743" s="107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  <c r="V743" s="101"/>
      <c r="W743" s="101"/>
      <c r="X743" s="101"/>
      <c r="Y743" s="101"/>
      <c r="Z743" s="101"/>
    </row>
    <row r="744" spans="1:26" ht="16.5" customHeight="1">
      <c r="A744" s="106"/>
      <c r="B744" s="106"/>
      <c r="C744" s="107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  <c r="V744" s="101"/>
      <c r="W744" s="101"/>
      <c r="X744" s="101"/>
      <c r="Y744" s="101"/>
      <c r="Z744" s="101"/>
    </row>
    <row r="745" spans="1:26" ht="16.5" customHeight="1">
      <c r="A745" s="106"/>
      <c r="B745" s="106"/>
      <c r="C745" s="107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  <c r="V745" s="101"/>
      <c r="W745" s="101"/>
      <c r="X745" s="101"/>
      <c r="Y745" s="101"/>
      <c r="Z745" s="101"/>
    </row>
    <row r="746" spans="1:26" ht="16.5" customHeight="1">
      <c r="A746" s="106"/>
      <c r="B746" s="106"/>
      <c r="C746" s="107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  <c r="V746" s="101"/>
      <c r="W746" s="101"/>
      <c r="X746" s="101"/>
      <c r="Y746" s="101"/>
      <c r="Z746" s="101"/>
    </row>
    <row r="747" spans="1:26" ht="16.5" customHeight="1">
      <c r="A747" s="106"/>
      <c r="B747" s="106"/>
      <c r="C747" s="107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  <c r="V747" s="101"/>
      <c r="W747" s="101"/>
      <c r="X747" s="101"/>
      <c r="Y747" s="101"/>
      <c r="Z747" s="101"/>
    </row>
    <row r="748" spans="1:26" ht="16.5" customHeight="1">
      <c r="A748" s="106"/>
      <c r="B748" s="106"/>
      <c r="C748" s="107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  <c r="V748" s="101"/>
      <c r="W748" s="101"/>
      <c r="X748" s="101"/>
      <c r="Y748" s="101"/>
      <c r="Z748" s="101"/>
    </row>
    <row r="749" spans="1:26" ht="16.5" customHeight="1">
      <c r="A749" s="106"/>
      <c r="B749" s="106"/>
      <c r="C749" s="107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  <c r="V749" s="101"/>
      <c r="W749" s="101"/>
      <c r="X749" s="101"/>
      <c r="Y749" s="101"/>
      <c r="Z749" s="101"/>
    </row>
    <row r="750" spans="1:26" ht="16.5" customHeight="1">
      <c r="A750" s="106"/>
      <c r="B750" s="106"/>
      <c r="C750" s="107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  <c r="V750" s="101"/>
      <c r="W750" s="101"/>
      <c r="X750" s="101"/>
      <c r="Y750" s="101"/>
      <c r="Z750" s="101"/>
    </row>
    <row r="751" spans="1:26" ht="16.5" customHeight="1">
      <c r="A751" s="106"/>
      <c r="B751" s="106"/>
      <c r="C751" s="107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</row>
    <row r="752" spans="1:26" ht="16.5" customHeight="1">
      <c r="A752" s="106"/>
      <c r="B752" s="106"/>
      <c r="C752" s="107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  <c r="V752" s="101"/>
      <c r="W752" s="101"/>
      <c r="X752" s="101"/>
      <c r="Y752" s="101"/>
      <c r="Z752" s="101"/>
    </row>
    <row r="753" spans="1:26" ht="16.5" customHeight="1">
      <c r="A753" s="106"/>
      <c r="B753" s="106"/>
      <c r="C753" s="107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  <c r="V753" s="101"/>
      <c r="W753" s="101"/>
      <c r="X753" s="101"/>
      <c r="Y753" s="101"/>
      <c r="Z753" s="101"/>
    </row>
    <row r="754" spans="1:26" ht="16.5" customHeight="1">
      <c r="A754" s="106"/>
      <c r="B754" s="106"/>
      <c r="C754" s="107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  <c r="V754" s="101"/>
      <c r="W754" s="101"/>
      <c r="X754" s="101"/>
      <c r="Y754" s="101"/>
      <c r="Z754" s="101"/>
    </row>
    <row r="755" spans="1:26" ht="16.5" customHeight="1">
      <c r="A755" s="106"/>
      <c r="B755" s="106"/>
      <c r="C755" s="107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  <c r="V755" s="101"/>
      <c r="W755" s="101"/>
      <c r="X755" s="101"/>
      <c r="Y755" s="101"/>
      <c r="Z755" s="101"/>
    </row>
    <row r="756" spans="1:26" ht="16.5" customHeight="1">
      <c r="A756" s="106"/>
      <c r="B756" s="106"/>
      <c r="C756" s="107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  <c r="V756" s="101"/>
      <c r="W756" s="101"/>
      <c r="X756" s="101"/>
      <c r="Y756" s="101"/>
      <c r="Z756" s="101"/>
    </row>
    <row r="757" spans="1:26" ht="16.5" customHeight="1">
      <c r="A757" s="106"/>
      <c r="B757" s="106"/>
      <c r="C757" s="107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  <c r="V757" s="101"/>
      <c r="W757" s="101"/>
      <c r="X757" s="101"/>
      <c r="Y757" s="101"/>
      <c r="Z757" s="101"/>
    </row>
    <row r="758" spans="1:26" ht="16.5" customHeight="1">
      <c r="A758" s="106"/>
      <c r="B758" s="106"/>
      <c r="C758" s="107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  <c r="V758" s="101"/>
      <c r="W758" s="101"/>
      <c r="X758" s="101"/>
      <c r="Y758" s="101"/>
      <c r="Z758" s="101"/>
    </row>
    <row r="759" spans="1:26" ht="16.5" customHeight="1">
      <c r="A759" s="106"/>
      <c r="B759" s="106"/>
      <c r="C759" s="107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  <c r="V759" s="101"/>
      <c r="W759" s="101"/>
      <c r="X759" s="101"/>
      <c r="Y759" s="101"/>
      <c r="Z759" s="101"/>
    </row>
    <row r="760" spans="1:26" ht="16.5" customHeight="1">
      <c r="A760" s="106"/>
      <c r="B760" s="106"/>
      <c r="C760" s="107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  <c r="V760" s="101"/>
      <c r="W760" s="101"/>
      <c r="X760" s="101"/>
      <c r="Y760" s="101"/>
      <c r="Z760" s="101"/>
    </row>
    <row r="761" spans="1:26" ht="16.5" customHeight="1">
      <c r="A761" s="106"/>
      <c r="B761" s="106"/>
      <c r="C761" s="107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  <c r="V761" s="101"/>
      <c r="W761" s="101"/>
      <c r="X761" s="101"/>
      <c r="Y761" s="101"/>
      <c r="Z761" s="101"/>
    </row>
    <row r="762" spans="1:26" ht="16.5" customHeight="1">
      <c r="A762" s="106"/>
      <c r="B762" s="106"/>
      <c r="C762" s="107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  <c r="V762" s="101"/>
      <c r="W762" s="101"/>
      <c r="X762" s="101"/>
      <c r="Y762" s="101"/>
      <c r="Z762" s="101"/>
    </row>
    <row r="763" spans="1:26" ht="16.5" customHeight="1">
      <c r="A763" s="106"/>
      <c r="B763" s="106"/>
      <c r="C763" s="107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  <c r="V763" s="101"/>
      <c r="W763" s="101"/>
      <c r="X763" s="101"/>
      <c r="Y763" s="101"/>
      <c r="Z763" s="101"/>
    </row>
    <row r="764" spans="1:26" ht="16.5" customHeight="1">
      <c r="A764" s="106"/>
      <c r="B764" s="106"/>
      <c r="C764" s="107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  <c r="V764" s="101"/>
      <c r="W764" s="101"/>
      <c r="X764" s="101"/>
      <c r="Y764" s="101"/>
      <c r="Z764" s="101"/>
    </row>
    <row r="765" spans="1:26" ht="16.5" customHeight="1">
      <c r="A765" s="106"/>
      <c r="B765" s="106"/>
      <c r="C765" s="107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  <c r="V765" s="101"/>
      <c r="W765" s="101"/>
      <c r="X765" s="101"/>
      <c r="Y765" s="101"/>
      <c r="Z765" s="101"/>
    </row>
    <row r="766" spans="1:26" ht="16.5" customHeight="1">
      <c r="A766" s="106"/>
      <c r="B766" s="106"/>
      <c r="C766" s="107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  <c r="V766" s="101"/>
      <c r="W766" s="101"/>
      <c r="X766" s="101"/>
      <c r="Y766" s="101"/>
      <c r="Z766" s="101"/>
    </row>
    <row r="767" spans="1:26" ht="16.5" customHeight="1">
      <c r="A767" s="106"/>
      <c r="B767" s="106"/>
      <c r="C767" s="107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  <c r="V767" s="101"/>
      <c r="W767" s="101"/>
      <c r="X767" s="101"/>
      <c r="Y767" s="101"/>
      <c r="Z767" s="101"/>
    </row>
    <row r="768" spans="1:26" ht="16.5" customHeight="1">
      <c r="A768" s="106"/>
      <c r="B768" s="106"/>
      <c r="C768" s="107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</row>
    <row r="769" spans="1:26" ht="16.5" customHeight="1">
      <c r="A769" s="106"/>
      <c r="B769" s="106"/>
      <c r="C769" s="107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  <c r="V769" s="101"/>
      <c r="W769" s="101"/>
      <c r="X769" s="101"/>
      <c r="Y769" s="101"/>
      <c r="Z769" s="101"/>
    </row>
    <row r="770" spans="1:26" ht="16.5" customHeight="1">
      <c r="A770" s="106"/>
      <c r="B770" s="106"/>
      <c r="C770" s="107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  <c r="V770" s="101"/>
      <c r="W770" s="101"/>
      <c r="X770" s="101"/>
      <c r="Y770" s="101"/>
      <c r="Z770" s="101"/>
    </row>
    <row r="771" spans="1:26" ht="16.5" customHeight="1">
      <c r="A771" s="106"/>
      <c r="B771" s="106"/>
      <c r="C771" s="107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  <c r="V771" s="101"/>
      <c r="W771" s="101"/>
      <c r="X771" s="101"/>
      <c r="Y771" s="101"/>
      <c r="Z771" s="101"/>
    </row>
    <row r="772" spans="1:26" ht="16.5" customHeight="1">
      <c r="A772" s="106"/>
      <c r="B772" s="106"/>
      <c r="C772" s="107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  <c r="V772" s="101"/>
      <c r="W772" s="101"/>
      <c r="X772" s="101"/>
      <c r="Y772" s="101"/>
      <c r="Z772" s="101"/>
    </row>
    <row r="773" spans="1:26" ht="16.5" customHeight="1">
      <c r="A773" s="106"/>
      <c r="B773" s="106"/>
      <c r="C773" s="107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  <c r="V773" s="101"/>
      <c r="W773" s="101"/>
      <c r="X773" s="101"/>
      <c r="Y773" s="101"/>
      <c r="Z773" s="101"/>
    </row>
    <row r="774" spans="1:26" ht="16.5" customHeight="1">
      <c r="A774" s="106"/>
      <c r="B774" s="106"/>
      <c r="C774" s="107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  <c r="V774" s="101"/>
      <c r="W774" s="101"/>
      <c r="X774" s="101"/>
      <c r="Y774" s="101"/>
      <c r="Z774" s="101"/>
    </row>
    <row r="775" spans="1:26" ht="16.5" customHeight="1">
      <c r="A775" s="106"/>
      <c r="B775" s="106"/>
      <c r="C775" s="107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  <c r="V775" s="101"/>
      <c r="W775" s="101"/>
      <c r="X775" s="101"/>
      <c r="Y775" s="101"/>
      <c r="Z775" s="101"/>
    </row>
    <row r="776" spans="1:26" ht="16.5" customHeight="1">
      <c r="A776" s="106"/>
      <c r="B776" s="106"/>
      <c r="C776" s="107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  <c r="V776" s="101"/>
      <c r="W776" s="101"/>
      <c r="X776" s="101"/>
      <c r="Y776" s="101"/>
      <c r="Z776" s="101"/>
    </row>
    <row r="777" spans="1:26" ht="16.5" customHeight="1">
      <c r="A777" s="106"/>
      <c r="B777" s="106"/>
      <c r="C777" s="107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  <c r="V777" s="101"/>
      <c r="W777" s="101"/>
      <c r="X777" s="101"/>
      <c r="Y777" s="101"/>
      <c r="Z777" s="101"/>
    </row>
    <row r="778" spans="1:26" ht="16.5" customHeight="1">
      <c r="A778" s="106"/>
      <c r="B778" s="106"/>
      <c r="C778" s="107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  <c r="V778" s="101"/>
      <c r="W778" s="101"/>
      <c r="X778" s="101"/>
      <c r="Y778" s="101"/>
      <c r="Z778" s="101"/>
    </row>
    <row r="779" spans="1:26" ht="16.5" customHeight="1">
      <c r="A779" s="106"/>
      <c r="B779" s="106"/>
      <c r="C779" s="107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  <c r="V779" s="101"/>
      <c r="W779" s="101"/>
      <c r="X779" s="101"/>
      <c r="Y779" s="101"/>
      <c r="Z779" s="101"/>
    </row>
    <row r="780" spans="1:26" ht="16.5" customHeight="1">
      <c r="A780" s="106"/>
      <c r="B780" s="106"/>
      <c r="C780" s="107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  <c r="V780" s="101"/>
      <c r="W780" s="101"/>
      <c r="X780" s="101"/>
      <c r="Y780" s="101"/>
      <c r="Z780" s="101"/>
    </row>
    <row r="781" spans="1:26" ht="16.5" customHeight="1">
      <c r="A781" s="106"/>
      <c r="B781" s="106"/>
      <c r="C781" s="107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  <c r="V781" s="101"/>
      <c r="W781" s="101"/>
      <c r="X781" s="101"/>
      <c r="Y781" s="101"/>
      <c r="Z781" s="101"/>
    </row>
    <row r="782" spans="1:26" ht="16.5" customHeight="1">
      <c r="A782" s="106"/>
      <c r="B782" s="106"/>
      <c r="C782" s="107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  <c r="V782" s="101"/>
      <c r="W782" s="101"/>
      <c r="X782" s="101"/>
      <c r="Y782" s="101"/>
      <c r="Z782" s="101"/>
    </row>
    <row r="783" spans="1:26" ht="16.5" customHeight="1">
      <c r="A783" s="106"/>
      <c r="B783" s="106"/>
      <c r="C783" s="107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  <c r="V783" s="101"/>
      <c r="W783" s="101"/>
      <c r="X783" s="101"/>
      <c r="Y783" s="101"/>
      <c r="Z783" s="101"/>
    </row>
    <row r="784" spans="1:26" ht="16.5" customHeight="1">
      <c r="A784" s="106"/>
      <c r="B784" s="106"/>
      <c r="C784" s="107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  <c r="V784" s="101"/>
      <c r="W784" s="101"/>
      <c r="X784" s="101"/>
      <c r="Y784" s="101"/>
      <c r="Z784" s="101"/>
    </row>
    <row r="785" spans="1:26" ht="16.5" customHeight="1">
      <c r="A785" s="106"/>
      <c r="B785" s="106"/>
      <c r="C785" s="107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</row>
    <row r="786" spans="1:26" ht="16.5" customHeight="1">
      <c r="A786" s="106"/>
      <c r="B786" s="106"/>
      <c r="C786" s="107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  <c r="V786" s="101"/>
      <c r="W786" s="101"/>
      <c r="X786" s="101"/>
      <c r="Y786" s="101"/>
      <c r="Z786" s="101"/>
    </row>
    <row r="787" spans="1:26" ht="16.5" customHeight="1">
      <c r="A787" s="106"/>
      <c r="B787" s="106"/>
      <c r="C787" s="107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  <c r="V787" s="101"/>
      <c r="W787" s="101"/>
      <c r="X787" s="101"/>
      <c r="Y787" s="101"/>
      <c r="Z787" s="101"/>
    </row>
    <row r="788" spans="1:26" ht="16.5" customHeight="1">
      <c r="A788" s="106"/>
      <c r="B788" s="106"/>
      <c r="C788" s="107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  <c r="V788" s="101"/>
      <c r="W788" s="101"/>
      <c r="X788" s="101"/>
      <c r="Y788" s="101"/>
      <c r="Z788" s="101"/>
    </row>
    <row r="789" spans="1:26" ht="16.5" customHeight="1">
      <c r="A789" s="106"/>
      <c r="B789" s="106"/>
      <c r="C789" s="107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  <c r="V789" s="101"/>
      <c r="W789" s="101"/>
      <c r="X789" s="101"/>
      <c r="Y789" s="101"/>
      <c r="Z789" s="101"/>
    </row>
    <row r="790" spans="1:26" ht="16.5" customHeight="1">
      <c r="A790" s="106"/>
      <c r="B790" s="106"/>
      <c r="C790" s="107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  <c r="V790" s="101"/>
      <c r="W790" s="101"/>
      <c r="X790" s="101"/>
      <c r="Y790" s="101"/>
      <c r="Z790" s="101"/>
    </row>
    <row r="791" spans="1:26" ht="16.5" customHeight="1">
      <c r="A791" s="106"/>
      <c r="B791" s="106"/>
      <c r="C791" s="107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  <c r="V791" s="101"/>
      <c r="W791" s="101"/>
      <c r="X791" s="101"/>
      <c r="Y791" s="101"/>
      <c r="Z791" s="101"/>
    </row>
    <row r="792" spans="1:26" ht="16.5" customHeight="1">
      <c r="A792" s="106"/>
      <c r="B792" s="106"/>
      <c r="C792" s="107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  <c r="V792" s="101"/>
      <c r="W792" s="101"/>
      <c r="X792" s="101"/>
      <c r="Y792" s="101"/>
      <c r="Z792" s="101"/>
    </row>
    <row r="793" spans="1:26" ht="16.5" customHeight="1">
      <c r="A793" s="106"/>
      <c r="B793" s="106"/>
      <c r="C793" s="107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  <c r="V793" s="101"/>
      <c r="W793" s="101"/>
      <c r="X793" s="101"/>
      <c r="Y793" s="101"/>
      <c r="Z793" s="101"/>
    </row>
    <row r="794" spans="1:26" ht="16.5" customHeight="1">
      <c r="A794" s="106"/>
      <c r="B794" s="106"/>
      <c r="C794" s="107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  <c r="V794" s="101"/>
      <c r="W794" s="101"/>
      <c r="X794" s="101"/>
      <c r="Y794" s="101"/>
      <c r="Z794" s="101"/>
    </row>
    <row r="795" spans="1:26" ht="16.5" customHeight="1">
      <c r="A795" s="106"/>
      <c r="B795" s="106"/>
      <c r="C795" s="107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  <c r="V795" s="101"/>
      <c r="W795" s="101"/>
      <c r="X795" s="101"/>
      <c r="Y795" s="101"/>
      <c r="Z795" s="101"/>
    </row>
    <row r="796" spans="1:26" ht="16.5" customHeight="1">
      <c r="A796" s="106"/>
      <c r="B796" s="106"/>
      <c r="C796" s="107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  <c r="V796" s="101"/>
      <c r="W796" s="101"/>
      <c r="X796" s="101"/>
      <c r="Y796" s="101"/>
      <c r="Z796" s="101"/>
    </row>
    <row r="797" spans="1:26" ht="16.5" customHeight="1">
      <c r="A797" s="106"/>
      <c r="B797" s="106"/>
      <c r="C797" s="107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  <c r="V797" s="101"/>
      <c r="W797" s="101"/>
      <c r="X797" s="101"/>
      <c r="Y797" s="101"/>
      <c r="Z797" s="101"/>
    </row>
    <row r="798" spans="1:26" ht="16.5" customHeight="1">
      <c r="A798" s="106"/>
      <c r="B798" s="106"/>
      <c r="C798" s="107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  <c r="V798" s="101"/>
      <c r="W798" s="101"/>
      <c r="X798" s="101"/>
      <c r="Y798" s="101"/>
      <c r="Z798" s="101"/>
    </row>
    <row r="799" spans="1:26" ht="16.5" customHeight="1">
      <c r="A799" s="106"/>
      <c r="B799" s="106"/>
      <c r="C799" s="107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  <c r="V799" s="101"/>
      <c r="W799" s="101"/>
      <c r="X799" s="101"/>
      <c r="Y799" s="101"/>
      <c r="Z799" s="101"/>
    </row>
    <row r="800" spans="1:26" ht="16.5" customHeight="1">
      <c r="A800" s="106"/>
      <c r="B800" s="106"/>
      <c r="C800" s="107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  <c r="V800" s="101"/>
      <c r="W800" s="101"/>
      <c r="X800" s="101"/>
      <c r="Y800" s="101"/>
      <c r="Z800" s="101"/>
    </row>
    <row r="801" spans="1:26" ht="16.5" customHeight="1">
      <c r="A801" s="106"/>
      <c r="B801" s="106"/>
      <c r="C801" s="107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  <c r="V801" s="101"/>
      <c r="W801" s="101"/>
      <c r="X801" s="101"/>
      <c r="Y801" s="101"/>
      <c r="Z801" s="101"/>
    </row>
    <row r="802" spans="1:26" ht="16.5" customHeight="1">
      <c r="A802" s="106"/>
      <c r="B802" s="106"/>
      <c r="C802" s="107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</row>
    <row r="803" spans="1:26" ht="16.5" customHeight="1">
      <c r="A803" s="106"/>
      <c r="B803" s="106"/>
      <c r="C803" s="107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  <c r="V803" s="101"/>
      <c r="W803" s="101"/>
      <c r="X803" s="101"/>
      <c r="Y803" s="101"/>
      <c r="Z803" s="101"/>
    </row>
    <row r="804" spans="1:26" ht="16.5" customHeight="1">
      <c r="A804" s="106"/>
      <c r="B804" s="106"/>
      <c r="C804" s="107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  <c r="V804" s="101"/>
      <c r="W804" s="101"/>
      <c r="X804" s="101"/>
      <c r="Y804" s="101"/>
      <c r="Z804" s="101"/>
    </row>
    <row r="805" spans="1:26" ht="16.5" customHeight="1">
      <c r="A805" s="106"/>
      <c r="B805" s="106"/>
      <c r="C805" s="107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  <c r="V805" s="101"/>
      <c r="W805" s="101"/>
      <c r="X805" s="101"/>
      <c r="Y805" s="101"/>
      <c r="Z805" s="101"/>
    </row>
    <row r="806" spans="1:26" ht="16.5" customHeight="1">
      <c r="A806" s="106"/>
      <c r="B806" s="106"/>
      <c r="C806" s="107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  <c r="V806" s="101"/>
      <c r="W806" s="101"/>
      <c r="X806" s="101"/>
      <c r="Y806" s="101"/>
      <c r="Z806" s="101"/>
    </row>
    <row r="807" spans="1:26" ht="16.5" customHeight="1">
      <c r="A807" s="106"/>
      <c r="B807" s="106"/>
      <c r="C807" s="107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  <c r="V807" s="101"/>
      <c r="W807" s="101"/>
      <c r="X807" s="101"/>
      <c r="Y807" s="101"/>
      <c r="Z807" s="101"/>
    </row>
    <row r="808" spans="1:26" ht="16.5" customHeight="1">
      <c r="A808" s="106"/>
      <c r="B808" s="106"/>
      <c r="C808" s="107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  <c r="V808" s="101"/>
      <c r="W808" s="101"/>
      <c r="X808" s="101"/>
      <c r="Y808" s="101"/>
      <c r="Z808" s="101"/>
    </row>
    <row r="809" spans="1:26" ht="16.5" customHeight="1">
      <c r="A809" s="106"/>
      <c r="B809" s="106"/>
      <c r="C809" s="107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  <c r="V809" s="101"/>
      <c r="W809" s="101"/>
      <c r="X809" s="101"/>
      <c r="Y809" s="101"/>
      <c r="Z809" s="101"/>
    </row>
    <row r="810" spans="1:26" ht="16.5" customHeight="1">
      <c r="A810" s="106"/>
      <c r="B810" s="106"/>
      <c r="C810" s="107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  <c r="V810" s="101"/>
      <c r="W810" s="101"/>
      <c r="X810" s="101"/>
      <c r="Y810" s="101"/>
      <c r="Z810" s="101"/>
    </row>
    <row r="811" spans="1:26" ht="16.5" customHeight="1">
      <c r="A811" s="106"/>
      <c r="B811" s="106"/>
      <c r="C811" s="107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  <c r="V811" s="101"/>
      <c r="W811" s="101"/>
      <c r="X811" s="101"/>
      <c r="Y811" s="101"/>
      <c r="Z811" s="101"/>
    </row>
    <row r="812" spans="1:26" ht="16.5" customHeight="1">
      <c r="A812" s="106"/>
      <c r="B812" s="106"/>
      <c r="C812" s="107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  <c r="V812" s="101"/>
      <c r="W812" s="101"/>
      <c r="X812" s="101"/>
      <c r="Y812" s="101"/>
      <c r="Z812" s="101"/>
    </row>
    <row r="813" spans="1:26" ht="16.5" customHeight="1">
      <c r="A813" s="106"/>
      <c r="B813" s="106"/>
      <c r="C813" s="107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  <c r="V813" s="101"/>
      <c r="W813" s="101"/>
      <c r="X813" s="101"/>
      <c r="Y813" s="101"/>
      <c r="Z813" s="101"/>
    </row>
    <row r="814" spans="1:26" ht="16.5" customHeight="1">
      <c r="A814" s="106"/>
      <c r="B814" s="106"/>
      <c r="C814" s="107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  <c r="V814" s="101"/>
      <c r="W814" s="101"/>
      <c r="X814" s="101"/>
      <c r="Y814" s="101"/>
      <c r="Z814" s="101"/>
    </row>
    <row r="815" spans="1:26" ht="16.5" customHeight="1">
      <c r="A815" s="106"/>
      <c r="B815" s="106"/>
      <c r="C815" s="107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  <c r="V815" s="101"/>
      <c r="W815" s="101"/>
      <c r="X815" s="101"/>
      <c r="Y815" s="101"/>
      <c r="Z815" s="101"/>
    </row>
    <row r="816" spans="1:26" ht="16.5" customHeight="1">
      <c r="A816" s="106"/>
      <c r="B816" s="106"/>
      <c r="C816" s="107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  <c r="V816" s="101"/>
      <c r="W816" s="101"/>
      <c r="X816" s="101"/>
      <c r="Y816" s="101"/>
      <c r="Z816" s="101"/>
    </row>
    <row r="817" spans="1:26" ht="16.5" customHeight="1">
      <c r="A817" s="106"/>
      <c r="B817" s="106"/>
      <c r="C817" s="107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  <c r="V817" s="101"/>
      <c r="W817" s="101"/>
      <c r="X817" s="101"/>
      <c r="Y817" s="101"/>
      <c r="Z817" s="101"/>
    </row>
    <row r="818" spans="1:26" ht="16.5" customHeight="1">
      <c r="A818" s="106"/>
      <c r="B818" s="106"/>
      <c r="C818" s="107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  <c r="V818" s="101"/>
      <c r="W818" s="101"/>
      <c r="X818" s="101"/>
      <c r="Y818" s="101"/>
      <c r="Z818" s="101"/>
    </row>
    <row r="819" spans="1:26" ht="16.5" customHeight="1">
      <c r="A819" s="106"/>
      <c r="B819" s="106"/>
      <c r="C819" s="107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</row>
    <row r="820" spans="1:26" ht="16.5" customHeight="1">
      <c r="A820" s="106"/>
      <c r="B820" s="106"/>
      <c r="C820" s="107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  <c r="V820" s="101"/>
      <c r="W820" s="101"/>
      <c r="X820" s="101"/>
      <c r="Y820" s="101"/>
      <c r="Z820" s="101"/>
    </row>
    <row r="821" spans="1:26" ht="16.5" customHeight="1">
      <c r="A821" s="106"/>
      <c r="B821" s="106"/>
      <c r="C821" s="107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  <c r="V821" s="101"/>
      <c r="W821" s="101"/>
      <c r="X821" s="101"/>
      <c r="Y821" s="101"/>
      <c r="Z821" s="101"/>
    </row>
    <row r="822" spans="1:26" ht="16.5" customHeight="1">
      <c r="A822" s="106"/>
      <c r="B822" s="106"/>
      <c r="C822" s="107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  <c r="V822" s="101"/>
      <c r="W822" s="101"/>
      <c r="X822" s="101"/>
      <c r="Y822" s="101"/>
      <c r="Z822" s="101"/>
    </row>
    <row r="823" spans="1:26" ht="16.5" customHeight="1">
      <c r="A823" s="106"/>
      <c r="B823" s="106"/>
      <c r="C823" s="107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  <c r="V823" s="101"/>
      <c r="W823" s="101"/>
      <c r="X823" s="101"/>
      <c r="Y823" s="101"/>
      <c r="Z823" s="101"/>
    </row>
    <row r="824" spans="1:26" ht="16.5" customHeight="1">
      <c r="A824" s="106"/>
      <c r="B824" s="106"/>
      <c r="C824" s="107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  <c r="V824" s="101"/>
      <c r="W824" s="101"/>
      <c r="X824" s="101"/>
      <c r="Y824" s="101"/>
      <c r="Z824" s="101"/>
    </row>
    <row r="825" spans="1:26" ht="16.5" customHeight="1">
      <c r="A825" s="106"/>
      <c r="B825" s="106"/>
      <c r="C825" s="107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  <c r="V825" s="101"/>
      <c r="W825" s="101"/>
      <c r="X825" s="101"/>
      <c r="Y825" s="101"/>
      <c r="Z825" s="101"/>
    </row>
    <row r="826" spans="1:26" ht="16.5" customHeight="1">
      <c r="A826" s="106"/>
      <c r="B826" s="106"/>
      <c r="C826" s="107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  <c r="V826" s="101"/>
      <c r="W826" s="101"/>
      <c r="X826" s="101"/>
      <c r="Y826" s="101"/>
      <c r="Z826" s="101"/>
    </row>
    <row r="827" spans="1:26" ht="16.5" customHeight="1">
      <c r="A827" s="106"/>
      <c r="B827" s="106"/>
      <c r="C827" s="107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  <c r="V827" s="101"/>
      <c r="W827" s="101"/>
      <c r="X827" s="101"/>
      <c r="Y827" s="101"/>
      <c r="Z827" s="101"/>
    </row>
    <row r="828" spans="1:26" ht="16.5" customHeight="1">
      <c r="A828" s="106"/>
      <c r="B828" s="106"/>
      <c r="C828" s="107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  <c r="V828" s="101"/>
      <c r="W828" s="101"/>
      <c r="X828" s="101"/>
      <c r="Y828" s="101"/>
      <c r="Z828" s="101"/>
    </row>
    <row r="829" spans="1:26" ht="16.5" customHeight="1">
      <c r="A829" s="106"/>
      <c r="B829" s="106"/>
      <c r="C829" s="107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  <c r="V829" s="101"/>
      <c r="W829" s="101"/>
      <c r="X829" s="101"/>
      <c r="Y829" s="101"/>
      <c r="Z829" s="101"/>
    </row>
    <row r="830" spans="1:26" ht="16.5" customHeight="1">
      <c r="A830" s="106"/>
      <c r="B830" s="106"/>
      <c r="C830" s="107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  <c r="V830" s="101"/>
      <c r="W830" s="101"/>
      <c r="X830" s="101"/>
      <c r="Y830" s="101"/>
      <c r="Z830" s="101"/>
    </row>
    <row r="831" spans="1:26" ht="16.5" customHeight="1">
      <c r="A831" s="106"/>
      <c r="B831" s="106"/>
      <c r="C831" s="107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  <c r="V831" s="101"/>
      <c r="W831" s="101"/>
      <c r="X831" s="101"/>
      <c r="Y831" s="101"/>
      <c r="Z831" s="101"/>
    </row>
    <row r="832" spans="1:26" ht="16.5" customHeight="1">
      <c r="A832" s="106"/>
      <c r="B832" s="106"/>
      <c r="C832" s="107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  <c r="V832" s="101"/>
      <c r="W832" s="101"/>
      <c r="X832" s="101"/>
      <c r="Y832" s="101"/>
      <c r="Z832" s="101"/>
    </row>
    <row r="833" spans="1:26" ht="16.5" customHeight="1">
      <c r="A833" s="106"/>
      <c r="B833" s="106"/>
      <c r="C833" s="107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  <c r="V833" s="101"/>
      <c r="W833" s="101"/>
      <c r="X833" s="101"/>
      <c r="Y833" s="101"/>
      <c r="Z833" s="101"/>
    </row>
    <row r="834" spans="1:26" ht="16.5" customHeight="1">
      <c r="A834" s="106"/>
      <c r="B834" s="106"/>
      <c r="C834" s="107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  <c r="V834" s="101"/>
      <c r="W834" s="101"/>
      <c r="X834" s="101"/>
      <c r="Y834" s="101"/>
      <c r="Z834" s="101"/>
    </row>
    <row r="835" spans="1:26" ht="16.5" customHeight="1">
      <c r="A835" s="106"/>
      <c r="B835" s="106"/>
      <c r="C835" s="107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  <c r="V835" s="101"/>
      <c r="W835" s="101"/>
      <c r="X835" s="101"/>
      <c r="Y835" s="101"/>
      <c r="Z835" s="101"/>
    </row>
    <row r="836" spans="1:26" ht="16.5" customHeight="1">
      <c r="A836" s="106"/>
      <c r="B836" s="106"/>
      <c r="C836" s="107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</row>
    <row r="837" spans="1:26" ht="16.5" customHeight="1">
      <c r="A837" s="106"/>
      <c r="B837" s="106"/>
      <c r="C837" s="107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  <c r="V837" s="101"/>
      <c r="W837" s="101"/>
      <c r="X837" s="101"/>
      <c r="Y837" s="101"/>
      <c r="Z837" s="101"/>
    </row>
    <row r="838" spans="1:26" ht="16.5" customHeight="1">
      <c r="A838" s="106"/>
      <c r="B838" s="106"/>
      <c r="C838" s="107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  <c r="V838" s="101"/>
      <c r="W838" s="101"/>
      <c r="X838" s="101"/>
      <c r="Y838" s="101"/>
      <c r="Z838" s="101"/>
    </row>
    <row r="839" spans="1:26" ht="16.5" customHeight="1">
      <c r="A839" s="106"/>
      <c r="B839" s="106"/>
      <c r="C839" s="107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  <c r="V839" s="101"/>
      <c r="W839" s="101"/>
      <c r="X839" s="101"/>
      <c r="Y839" s="101"/>
      <c r="Z839" s="101"/>
    </row>
    <row r="840" spans="1:26" ht="16.5" customHeight="1">
      <c r="A840" s="106"/>
      <c r="B840" s="106"/>
      <c r="C840" s="107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  <c r="V840" s="101"/>
      <c r="W840" s="101"/>
      <c r="X840" s="101"/>
      <c r="Y840" s="101"/>
      <c r="Z840" s="101"/>
    </row>
    <row r="841" spans="1:26" ht="16.5" customHeight="1">
      <c r="A841" s="106"/>
      <c r="B841" s="106"/>
      <c r="C841" s="107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  <c r="V841" s="101"/>
      <c r="W841" s="101"/>
      <c r="X841" s="101"/>
      <c r="Y841" s="101"/>
      <c r="Z841" s="101"/>
    </row>
    <row r="842" spans="1:26" ht="16.5" customHeight="1">
      <c r="A842" s="106"/>
      <c r="B842" s="106"/>
      <c r="C842" s="107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  <c r="V842" s="101"/>
      <c r="W842" s="101"/>
      <c r="X842" s="101"/>
      <c r="Y842" s="101"/>
      <c r="Z842" s="101"/>
    </row>
    <row r="843" spans="1:26" ht="16.5" customHeight="1">
      <c r="A843" s="106"/>
      <c r="B843" s="106"/>
      <c r="C843" s="107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  <c r="V843" s="101"/>
      <c r="W843" s="101"/>
      <c r="X843" s="101"/>
      <c r="Y843" s="101"/>
      <c r="Z843" s="101"/>
    </row>
    <row r="844" spans="1:26" ht="16.5" customHeight="1">
      <c r="A844" s="106"/>
      <c r="B844" s="106"/>
      <c r="C844" s="107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  <c r="V844" s="101"/>
      <c r="W844" s="101"/>
      <c r="X844" s="101"/>
      <c r="Y844" s="101"/>
      <c r="Z844" s="101"/>
    </row>
    <row r="845" spans="1:26" ht="16.5" customHeight="1">
      <c r="A845" s="106"/>
      <c r="B845" s="106"/>
      <c r="C845" s="107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  <c r="V845" s="101"/>
      <c r="W845" s="101"/>
      <c r="X845" s="101"/>
      <c r="Y845" s="101"/>
      <c r="Z845" s="101"/>
    </row>
    <row r="846" spans="1:26" ht="16.5" customHeight="1">
      <c r="A846" s="106"/>
      <c r="B846" s="106"/>
      <c r="C846" s="107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  <c r="V846" s="101"/>
      <c r="W846" s="101"/>
      <c r="X846" s="101"/>
      <c r="Y846" s="101"/>
      <c r="Z846" s="101"/>
    </row>
    <row r="847" spans="1:26" ht="16.5" customHeight="1">
      <c r="A847" s="106"/>
      <c r="B847" s="106"/>
      <c r="C847" s="107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  <c r="V847" s="101"/>
      <c r="W847" s="101"/>
      <c r="X847" s="101"/>
      <c r="Y847" s="101"/>
      <c r="Z847" s="101"/>
    </row>
    <row r="848" spans="1:26" ht="16.5" customHeight="1">
      <c r="A848" s="106"/>
      <c r="B848" s="106"/>
      <c r="C848" s="107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  <c r="V848" s="101"/>
      <c r="W848" s="101"/>
      <c r="X848" s="101"/>
      <c r="Y848" s="101"/>
      <c r="Z848" s="101"/>
    </row>
    <row r="849" spans="1:26" ht="16.5" customHeight="1">
      <c r="A849" s="106"/>
      <c r="B849" s="106"/>
      <c r="C849" s="107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  <c r="V849" s="101"/>
      <c r="W849" s="101"/>
      <c r="X849" s="101"/>
      <c r="Y849" s="101"/>
      <c r="Z849" s="101"/>
    </row>
    <row r="850" spans="1:26" ht="16.5" customHeight="1">
      <c r="A850" s="106"/>
      <c r="B850" s="106"/>
      <c r="C850" s="107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  <c r="V850" s="101"/>
      <c r="W850" s="101"/>
      <c r="X850" s="101"/>
      <c r="Y850" s="101"/>
      <c r="Z850" s="101"/>
    </row>
    <row r="851" spans="1:26" ht="16.5" customHeight="1">
      <c r="A851" s="106"/>
      <c r="B851" s="106"/>
      <c r="C851" s="107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  <c r="V851" s="101"/>
      <c r="W851" s="101"/>
      <c r="X851" s="101"/>
      <c r="Y851" s="101"/>
      <c r="Z851" s="101"/>
    </row>
    <row r="852" spans="1:26" ht="16.5" customHeight="1">
      <c r="A852" s="106"/>
      <c r="B852" s="106"/>
      <c r="C852" s="107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  <c r="V852" s="101"/>
      <c r="W852" s="101"/>
      <c r="X852" s="101"/>
      <c r="Y852" s="101"/>
      <c r="Z852" s="101"/>
    </row>
    <row r="853" spans="1:26" ht="16.5" customHeight="1">
      <c r="A853" s="106"/>
      <c r="B853" s="106"/>
      <c r="C853" s="107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</row>
    <row r="854" spans="1:26" ht="16.5" customHeight="1">
      <c r="A854" s="106"/>
      <c r="B854" s="106"/>
      <c r="C854" s="107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  <c r="V854" s="101"/>
      <c r="W854" s="101"/>
      <c r="X854" s="101"/>
      <c r="Y854" s="101"/>
      <c r="Z854" s="101"/>
    </row>
    <row r="855" spans="1:26" ht="16.5" customHeight="1">
      <c r="A855" s="106"/>
      <c r="B855" s="106"/>
      <c r="C855" s="107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  <c r="V855" s="101"/>
      <c r="W855" s="101"/>
      <c r="X855" s="101"/>
      <c r="Y855" s="101"/>
      <c r="Z855" s="101"/>
    </row>
    <row r="856" spans="1:26" ht="16.5" customHeight="1">
      <c r="A856" s="106"/>
      <c r="B856" s="106"/>
      <c r="C856" s="107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  <c r="V856" s="101"/>
      <c r="W856" s="101"/>
      <c r="X856" s="101"/>
      <c r="Y856" s="101"/>
      <c r="Z856" s="101"/>
    </row>
    <row r="857" spans="1:26" ht="16.5" customHeight="1">
      <c r="A857" s="106"/>
      <c r="B857" s="106"/>
      <c r="C857" s="107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  <c r="V857" s="101"/>
      <c r="W857" s="101"/>
      <c r="X857" s="101"/>
      <c r="Y857" s="101"/>
      <c r="Z857" s="101"/>
    </row>
    <row r="858" spans="1:26" ht="16.5" customHeight="1">
      <c r="A858" s="106"/>
      <c r="B858" s="106"/>
      <c r="C858" s="107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  <c r="V858" s="101"/>
      <c r="W858" s="101"/>
      <c r="X858" s="101"/>
      <c r="Y858" s="101"/>
      <c r="Z858" s="101"/>
    </row>
    <row r="859" spans="1:26" ht="16.5" customHeight="1">
      <c r="A859" s="106"/>
      <c r="B859" s="106"/>
      <c r="C859" s="107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  <c r="V859" s="101"/>
      <c r="W859" s="101"/>
      <c r="X859" s="101"/>
      <c r="Y859" s="101"/>
      <c r="Z859" s="101"/>
    </row>
    <row r="860" spans="1:26" ht="16.5" customHeight="1">
      <c r="A860" s="106"/>
      <c r="B860" s="106"/>
      <c r="C860" s="107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  <c r="V860" s="101"/>
      <c r="W860" s="101"/>
      <c r="X860" s="101"/>
      <c r="Y860" s="101"/>
      <c r="Z860" s="101"/>
    </row>
    <row r="861" spans="1:26" ht="16.5" customHeight="1">
      <c r="A861" s="106"/>
      <c r="B861" s="106"/>
      <c r="C861" s="107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  <c r="V861" s="101"/>
      <c r="W861" s="101"/>
      <c r="X861" s="101"/>
      <c r="Y861" s="101"/>
      <c r="Z861" s="101"/>
    </row>
    <row r="862" spans="1:26" ht="16.5" customHeight="1">
      <c r="A862" s="106"/>
      <c r="B862" s="106"/>
      <c r="C862" s="107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  <c r="V862" s="101"/>
      <c r="W862" s="101"/>
      <c r="X862" s="101"/>
      <c r="Y862" s="101"/>
      <c r="Z862" s="101"/>
    </row>
    <row r="863" spans="1:26" ht="16.5" customHeight="1">
      <c r="A863" s="106"/>
      <c r="B863" s="106"/>
      <c r="C863" s="107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  <c r="V863" s="101"/>
      <c r="W863" s="101"/>
      <c r="X863" s="101"/>
      <c r="Y863" s="101"/>
      <c r="Z863" s="101"/>
    </row>
    <row r="864" spans="1:26" ht="16.5" customHeight="1">
      <c r="A864" s="106"/>
      <c r="B864" s="106"/>
      <c r="C864" s="107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  <c r="V864" s="101"/>
      <c r="W864" s="101"/>
      <c r="X864" s="101"/>
      <c r="Y864" s="101"/>
      <c r="Z864" s="101"/>
    </row>
    <row r="865" spans="1:26" ht="16.5" customHeight="1">
      <c r="A865" s="106"/>
      <c r="B865" s="106"/>
      <c r="C865" s="107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  <c r="V865" s="101"/>
      <c r="W865" s="101"/>
      <c r="X865" s="101"/>
      <c r="Y865" s="101"/>
      <c r="Z865" s="101"/>
    </row>
    <row r="866" spans="1:26" ht="16.5" customHeight="1">
      <c r="A866" s="106"/>
      <c r="B866" s="106"/>
      <c r="C866" s="107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  <c r="V866" s="101"/>
      <c r="W866" s="101"/>
      <c r="X866" s="101"/>
      <c r="Y866" s="101"/>
      <c r="Z866" s="101"/>
    </row>
    <row r="867" spans="1:26" ht="16.5" customHeight="1">
      <c r="A867" s="106"/>
      <c r="B867" s="106"/>
      <c r="C867" s="107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  <c r="V867" s="101"/>
      <c r="W867" s="101"/>
      <c r="X867" s="101"/>
      <c r="Y867" s="101"/>
      <c r="Z867" s="101"/>
    </row>
    <row r="868" spans="1:26" ht="16.5" customHeight="1">
      <c r="A868" s="106"/>
      <c r="B868" s="106"/>
      <c r="C868" s="107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  <c r="V868" s="101"/>
      <c r="W868" s="101"/>
      <c r="X868" s="101"/>
      <c r="Y868" s="101"/>
      <c r="Z868" s="101"/>
    </row>
    <row r="869" spans="1:26" ht="16.5" customHeight="1">
      <c r="A869" s="106"/>
      <c r="B869" s="106"/>
      <c r="C869" s="107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  <c r="V869" s="101"/>
      <c r="W869" s="101"/>
      <c r="X869" s="101"/>
      <c r="Y869" s="101"/>
      <c r="Z869" s="101"/>
    </row>
    <row r="870" spans="1:26" ht="16.5" customHeight="1">
      <c r="A870" s="106"/>
      <c r="B870" s="106"/>
      <c r="C870" s="107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</row>
    <row r="871" spans="1:26" ht="16.5" customHeight="1">
      <c r="A871" s="106"/>
      <c r="B871" s="106"/>
      <c r="C871" s="107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  <c r="V871" s="101"/>
      <c r="W871" s="101"/>
      <c r="X871" s="101"/>
      <c r="Y871" s="101"/>
      <c r="Z871" s="101"/>
    </row>
    <row r="872" spans="1:26" ht="16.5" customHeight="1">
      <c r="A872" s="106"/>
      <c r="B872" s="106"/>
      <c r="C872" s="107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  <c r="V872" s="101"/>
      <c r="W872" s="101"/>
      <c r="X872" s="101"/>
      <c r="Y872" s="101"/>
      <c r="Z872" s="101"/>
    </row>
    <row r="873" spans="1:26" ht="16.5" customHeight="1">
      <c r="A873" s="106"/>
      <c r="B873" s="106"/>
      <c r="C873" s="107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  <c r="V873" s="101"/>
      <c r="W873" s="101"/>
      <c r="X873" s="101"/>
      <c r="Y873" s="101"/>
      <c r="Z873" s="101"/>
    </row>
    <row r="874" spans="1:26" ht="16.5" customHeight="1">
      <c r="A874" s="106"/>
      <c r="B874" s="106"/>
      <c r="C874" s="107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  <c r="V874" s="101"/>
      <c r="W874" s="101"/>
      <c r="X874" s="101"/>
      <c r="Y874" s="101"/>
      <c r="Z874" s="101"/>
    </row>
    <row r="875" spans="1:26" ht="16.5" customHeight="1">
      <c r="A875" s="106"/>
      <c r="B875" s="106"/>
      <c r="C875" s="107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  <c r="V875" s="101"/>
      <c r="W875" s="101"/>
      <c r="X875" s="101"/>
      <c r="Y875" s="101"/>
      <c r="Z875" s="101"/>
    </row>
    <row r="876" spans="1:26" ht="16.5" customHeight="1">
      <c r="A876" s="106"/>
      <c r="B876" s="106"/>
      <c r="C876" s="107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  <c r="V876" s="101"/>
      <c r="W876" s="101"/>
      <c r="X876" s="101"/>
      <c r="Y876" s="101"/>
      <c r="Z876" s="101"/>
    </row>
    <row r="877" spans="1:26" ht="16.5" customHeight="1">
      <c r="A877" s="106"/>
      <c r="B877" s="106"/>
      <c r="C877" s="107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  <c r="V877" s="101"/>
      <c r="W877" s="101"/>
      <c r="X877" s="101"/>
      <c r="Y877" s="101"/>
      <c r="Z877" s="101"/>
    </row>
    <row r="878" spans="1:26" ht="16.5" customHeight="1">
      <c r="A878" s="106"/>
      <c r="B878" s="106"/>
      <c r="C878" s="107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  <c r="V878" s="101"/>
      <c r="W878" s="101"/>
      <c r="X878" s="101"/>
      <c r="Y878" s="101"/>
      <c r="Z878" s="101"/>
    </row>
    <row r="879" spans="1:26" ht="16.5" customHeight="1">
      <c r="A879" s="106"/>
      <c r="B879" s="106"/>
      <c r="C879" s="107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  <c r="V879" s="101"/>
      <c r="W879" s="101"/>
      <c r="X879" s="101"/>
      <c r="Y879" s="101"/>
      <c r="Z879" s="101"/>
    </row>
    <row r="880" spans="1:26" ht="16.5" customHeight="1">
      <c r="A880" s="106"/>
      <c r="B880" s="106"/>
      <c r="C880" s="107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  <c r="V880" s="101"/>
      <c r="W880" s="101"/>
      <c r="X880" s="101"/>
      <c r="Y880" s="101"/>
      <c r="Z880" s="101"/>
    </row>
    <row r="881" spans="1:26" ht="16.5" customHeight="1">
      <c r="A881" s="106"/>
      <c r="B881" s="106"/>
      <c r="C881" s="107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  <c r="V881" s="101"/>
      <c r="W881" s="101"/>
      <c r="X881" s="101"/>
      <c r="Y881" s="101"/>
      <c r="Z881" s="101"/>
    </row>
    <row r="882" spans="1:26" ht="16.5" customHeight="1">
      <c r="A882" s="106"/>
      <c r="B882" s="106"/>
      <c r="C882" s="107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  <c r="V882" s="101"/>
      <c r="W882" s="101"/>
      <c r="X882" s="101"/>
      <c r="Y882" s="101"/>
      <c r="Z882" s="101"/>
    </row>
    <row r="883" spans="1:26" ht="16.5" customHeight="1">
      <c r="A883" s="106"/>
      <c r="B883" s="106"/>
      <c r="C883" s="107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  <c r="V883" s="101"/>
      <c r="W883" s="101"/>
      <c r="X883" s="101"/>
      <c r="Y883" s="101"/>
      <c r="Z883" s="101"/>
    </row>
    <row r="884" spans="1:26" ht="16.5" customHeight="1">
      <c r="A884" s="106"/>
      <c r="B884" s="106"/>
      <c r="C884" s="107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  <c r="V884" s="101"/>
      <c r="W884" s="101"/>
      <c r="X884" s="101"/>
      <c r="Y884" s="101"/>
      <c r="Z884" s="101"/>
    </row>
    <row r="885" spans="1:26" ht="16.5" customHeight="1">
      <c r="A885" s="106"/>
      <c r="B885" s="106"/>
      <c r="C885" s="107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  <c r="V885" s="101"/>
      <c r="W885" s="101"/>
      <c r="X885" s="101"/>
      <c r="Y885" s="101"/>
      <c r="Z885" s="101"/>
    </row>
    <row r="886" spans="1:26" ht="16.5" customHeight="1">
      <c r="A886" s="106"/>
      <c r="B886" s="106"/>
      <c r="C886" s="107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  <c r="V886" s="101"/>
      <c r="W886" s="101"/>
      <c r="X886" s="101"/>
      <c r="Y886" s="101"/>
      <c r="Z886" s="101"/>
    </row>
    <row r="887" spans="1:26" ht="16.5" customHeight="1">
      <c r="A887" s="106"/>
      <c r="B887" s="106"/>
      <c r="C887" s="107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</row>
    <row r="888" spans="1:26" ht="16.5" customHeight="1">
      <c r="A888" s="106"/>
      <c r="B888" s="106"/>
      <c r="C888" s="107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  <c r="V888" s="101"/>
      <c r="W888" s="101"/>
      <c r="X888" s="101"/>
      <c r="Y888" s="101"/>
      <c r="Z888" s="101"/>
    </row>
    <row r="889" spans="1:26" ht="16.5" customHeight="1">
      <c r="A889" s="106"/>
      <c r="B889" s="106"/>
      <c r="C889" s="107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  <c r="V889" s="101"/>
      <c r="W889" s="101"/>
      <c r="X889" s="101"/>
      <c r="Y889" s="101"/>
      <c r="Z889" s="101"/>
    </row>
    <row r="890" spans="1:26" ht="16.5" customHeight="1">
      <c r="A890" s="106"/>
      <c r="B890" s="106"/>
      <c r="C890" s="107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  <c r="V890" s="101"/>
      <c r="W890" s="101"/>
      <c r="X890" s="101"/>
      <c r="Y890" s="101"/>
      <c r="Z890" s="101"/>
    </row>
    <row r="891" spans="1:26" ht="16.5" customHeight="1">
      <c r="A891" s="106"/>
      <c r="B891" s="106"/>
      <c r="C891" s="107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  <c r="V891" s="101"/>
      <c r="W891" s="101"/>
      <c r="X891" s="101"/>
      <c r="Y891" s="101"/>
      <c r="Z891" s="101"/>
    </row>
    <row r="892" spans="1:26" ht="16.5" customHeight="1">
      <c r="A892" s="106"/>
      <c r="B892" s="106"/>
      <c r="C892" s="107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  <c r="V892" s="101"/>
      <c r="W892" s="101"/>
      <c r="X892" s="101"/>
      <c r="Y892" s="101"/>
      <c r="Z892" s="101"/>
    </row>
    <row r="893" spans="1:26" ht="16.5" customHeight="1">
      <c r="A893" s="106"/>
      <c r="B893" s="106"/>
      <c r="C893" s="107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  <c r="V893" s="101"/>
      <c r="W893" s="101"/>
      <c r="X893" s="101"/>
      <c r="Y893" s="101"/>
      <c r="Z893" s="101"/>
    </row>
    <row r="894" spans="1:26" ht="16.5" customHeight="1">
      <c r="A894" s="106"/>
      <c r="B894" s="106"/>
      <c r="C894" s="107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  <c r="V894" s="101"/>
      <c r="W894" s="101"/>
      <c r="X894" s="101"/>
      <c r="Y894" s="101"/>
      <c r="Z894" s="101"/>
    </row>
    <row r="895" spans="1:26" ht="16.5" customHeight="1">
      <c r="A895" s="106"/>
      <c r="B895" s="106"/>
      <c r="C895" s="107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  <c r="V895" s="101"/>
      <c r="W895" s="101"/>
      <c r="X895" s="101"/>
      <c r="Y895" s="101"/>
      <c r="Z895" s="101"/>
    </row>
    <row r="896" spans="1:26" ht="16.5" customHeight="1">
      <c r="A896" s="106"/>
      <c r="B896" s="106"/>
      <c r="C896" s="107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  <c r="V896" s="101"/>
      <c r="W896" s="101"/>
      <c r="X896" s="101"/>
      <c r="Y896" s="101"/>
      <c r="Z896" s="101"/>
    </row>
    <row r="897" spans="1:26" ht="16.5" customHeight="1">
      <c r="A897" s="106"/>
      <c r="B897" s="106"/>
      <c r="C897" s="107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  <c r="V897" s="101"/>
      <c r="W897" s="101"/>
      <c r="X897" s="101"/>
      <c r="Y897" s="101"/>
      <c r="Z897" s="101"/>
    </row>
    <row r="898" spans="1:26" ht="16.5" customHeight="1">
      <c r="A898" s="106"/>
      <c r="B898" s="106"/>
      <c r="C898" s="107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  <c r="V898" s="101"/>
      <c r="W898" s="101"/>
      <c r="X898" s="101"/>
      <c r="Y898" s="101"/>
      <c r="Z898" s="101"/>
    </row>
    <row r="899" spans="1:26" ht="16.5" customHeight="1">
      <c r="A899" s="106"/>
      <c r="B899" s="106"/>
      <c r="C899" s="107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  <c r="V899" s="101"/>
      <c r="W899" s="101"/>
      <c r="X899" s="101"/>
      <c r="Y899" s="101"/>
      <c r="Z899" s="101"/>
    </row>
    <row r="900" spans="1:26" ht="16.5" customHeight="1">
      <c r="A900" s="106"/>
      <c r="B900" s="106"/>
      <c r="C900" s="107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  <c r="V900" s="101"/>
      <c r="W900" s="101"/>
      <c r="X900" s="101"/>
      <c r="Y900" s="101"/>
      <c r="Z900" s="101"/>
    </row>
    <row r="901" spans="1:26" ht="16.5" customHeight="1">
      <c r="A901" s="106"/>
      <c r="B901" s="106"/>
      <c r="C901" s="107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  <c r="V901" s="101"/>
      <c r="W901" s="101"/>
      <c r="X901" s="101"/>
      <c r="Y901" s="101"/>
      <c r="Z901" s="101"/>
    </row>
    <row r="902" spans="1:26" ht="16.5" customHeight="1">
      <c r="A902" s="106"/>
      <c r="B902" s="106"/>
      <c r="C902" s="107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  <c r="V902" s="101"/>
      <c r="W902" s="101"/>
      <c r="X902" s="101"/>
      <c r="Y902" s="101"/>
      <c r="Z902" s="101"/>
    </row>
    <row r="903" spans="1:26" ht="16.5" customHeight="1">
      <c r="A903" s="106"/>
      <c r="B903" s="106"/>
      <c r="C903" s="107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  <c r="V903" s="101"/>
      <c r="W903" s="101"/>
      <c r="X903" s="101"/>
      <c r="Y903" s="101"/>
      <c r="Z903" s="101"/>
    </row>
    <row r="904" spans="1:26" ht="16.5" customHeight="1">
      <c r="A904" s="106"/>
      <c r="B904" s="106"/>
      <c r="C904" s="107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</row>
    <row r="905" spans="1:26" ht="16.5" customHeight="1">
      <c r="A905" s="106"/>
      <c r="B905" s="106"/>
      <c r="C905" s="107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  <c r="V905" s="101"/>
      <c r="W905" s="101"/>
      <c r="X905" s="101"/>
      <c r="Y905" s="101"/>
      <c r="Z905" s="101"/>
    </row>
    <row r="906" spans="1:26" ht="16.5" customHeight="1">
      <c r="A906" s="106"/>
      <c r="B906" s="106"/>
      <c r="C906" s="107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  <c r="V906" s="101"/>
      <c r="W906" s="101"/>
      <c r="X906" s="101"/>
      <c r="Y906" s="101"/>
      <c r="Z906" s="101"/>
    </row>
    <row r="907" spans="1:26" ht="16.5" customHeight="1">
      <c r="A907" s="106"/>
      <c r="B907" s="106"/>
      <c r="C907" s="107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  <c r="V907" s="101"/>
      <c r="W907" s="101"/>
      <c r="X907" s="101"/>
      <c r="Y907" s="101"/>
      <c r="Z907" s="101"/>
    </row>
    <row r="908" spans="1:26" ht="16.5" customHeight="1">
      <c r="A908" s="106"/>
      <c r="B908" s="106"/>
      <c r="C908" s="107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  <c r="V908" s="101"/>
      <c r="W908" s="101"/>
      <c r="X908" s="101"/>
      <c r="Y908" s="101"/>
      <c r="Z908" s="101"/>
    </row>
    <row r="909" spans="1:26" ht="16.5" customHeight="1">
      <c r="A909" s="106"/>
      <c r="B909" s="106"/>
      <c r="C909" s="107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  <c r="V909" s="101"/>
      <c r="W909" s="101"/>
      <c r="X909" s="101"/>
      <c r="Y909" s="101"/>
      <c r="Z909" s="101"/>
    </row>
    <row r="910" spans="1:26" ht="16.5" customHeight="1">
      <c r="A910" s="106"/>
      <c r="B910" s="106"/>
      <c r="C910" s="107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  <c r="V910" s="101"/>
      <c r="W910" s="101"/>
      <c r="X910" s="101"/>
      <c r="Y910" s="101"/>
      <c r="Z910" s="101"/>
    </row>
    <row r="911" spans="1:26" ht="16.5" customHeight="1">
      <c r="A911" s="106"/>
      <c r="B911" s="106"/>
      <c r="C911" s="107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  <c r="V911" s="101"/>
      <c r="W911" s="101"/>
      <c r="X911" s="101"/>
      <c r="Y911" s="101"/>
      <c r="Z911" s="101"/>
    </row>
    <row r="912" spans="1:26" ht="16.5" customHeight="1">
      <c r="A912" s="106"/>
      <c r="B912" s="106"/>
      <c r="C912" s="107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  <c r="V912" s="101"/>
      <c r="W912" s="101"/>
      <c r="X912" s="101"/>
      <c r="Y912" s="101"/>
      <c r="Z912" s="101"/>
    </row>
    <row r="913" spans="1:26" ht="16.5" customHeight="1">
      <c r="A913" s="106"/>
      <c r="B913" s="106"/>
      <c r="C913" s="107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  <c r="V913" s="101"/>
      <c r="W913" s="101"/>
      <c r="X913" s="101"/>
      <c r="Y913" s="101"/>
      <c r="Z913" s="101"/>
    </row>
    <row r="914" spans="1:26" ht="16.5" customHeight="1">
      <c r="A914" s="106"/>
      <c r="B914" s="106"/>
      <c r="C914" s="107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  <c r="V914" s="101"/>
      <c r="W914" s="101"/>
      <c r="X914" s="101"/>
      <c r="Y914" s="101"/>
      <c r="Z914" s="101"/>
    </row>
    <row r="915" spans="1:26" ht="16.5" customHeight="1">
      <c r="A915" s="106"/>
      <c r="B915" s="106"/>
      <c r="C915" s="107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  <c r="V915" s="101"/>
      <c r="W915" s="101"/>
      <c r="X915" s="101"/>
      <c r="Y915" s="101"/>
      <c r="Z915" s="101"/>
    </row>
    <row r="916" spans="1:26" ht="16.5" customHeight="1">
      <c r="A916" s="106"/>
      <c r="B916" s="106"/>
      <c r="C916" s="107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  <c r="V916" s="101"/>
      <c r="W916" s="101"/>
      <c r="X916" s="101"/>
      <c r="Y916" s="101"/>
      <c r="Z916" s="101"/>
    </row>
    <row r="917" spans="1:26" ht="16.5" customHeight="1">
      <c r="A917" s="106"/>
      <c r="B917" s="106"/>
      <c r="C917" s="107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  <c r="V917" s="101"/>
      <c r="W917" s="101"/>
      <c r="X917" s="101"/>
      <c r="Y917" s="101"/>
      <c r="Z917" s="101"/>
    </row>
    <row r="918" spans="1:26" ht="16.5" customHeight="1">
      <c r="A918" s="106"/>
      <c r="B918" s="106"/>
      <c r="C918" s="107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  <c r="V918" s="101"/>
      <c r="W918" s="101"/>
      <c r="X918" s="101"/>
      <c r="Y918" s="101"/>
      <c r="Z918" s="101"/>
    </row>
    <row r="919" spans="1:26" ht="16.5" customHeight="1">
      <c r="A919" s="106"/>
      <c r="B919" s="106"/>
      <c r="C919" s="107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  <c r="V919" s="101"/>
      <c r="W919" s="101"/>
      <c r="X919" s="101"/>
      <c r="Y919" s="101"/>
      <c r="Z919" s="101"/>
    </row>
    <row r="920" spans="1:26" ht="16.5" customHeight="1">
      <c r="A920" s="106"/>
      <c r="B920" s="106"/>
      <c r="C920" s="107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  <c r="V920" s="101"/>
      <c r="W920" s="101"/>
      <c r="X920" s="101"/>
      <c r="Y920" s="101"/>
      <c r="Z920" s="101"/>
    </row>
    <row r="921" spans="1:26" ht="16.5" customHeight="1">
      <c r="A921" s="106"/>
      <c r="B921" s="106"/>
      <c r="C921" s="107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</row>
    <row r="922" spans="1:26" ht="16.5" customHeight="1">
      <c r="A922" s="106"/>
      <c r="B922" s="106"/>
      <c r="C922" s="107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  <c r="V922" s="101"/>
      <c r="W922" s="101"/>
      <c r="X922" s="101"/>
      <c r="Y922" s="101"/>
      <c r="Z922" s="101"/>
    </row>
    <row r="923" spans="1:26" ht="16.5" customHeight="1">
      <c r="A923" s="106"/>
      <c r="B923" s="106"/>
      <c r="C923" s="107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  <c r="V923" s="101"/>
      <c r="W923" s="101"/>
      <c r="X923" s="101"/>
      <c r="Y923" s="101"/>
      <c r="Z923" s="101"/>
    </row>
    <row r="924" spans="1:26" ht="16.5" customHeight="1">
      <c r="A924" s="106"/>
      <c r="B924" s="106"/>
      <c r="C924" s="107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  <c r="V924" s="101"/>
      <c r="W924" s="101"/>
      <c r="X924" s="101"/>
      <c r="Y924" s="101"/>
      <c r="Z924" s="101"/>
    </row>
    <row r="925" spans="1:26" ht="16.5" customHeight="1">
      <c r="A925" s="106"/>
      <c r="B925" s="106"/>
      <c r="C925" s="107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  <c r="V925" s="101"/>
      <c r="W925" s="101"/>
      <c r="X925" s="101"/>
      <c r="Y925" s="101"/>
      <c r="Z925" s="101"/>
    </row>
    <row r="926" spans="1:26" ht="16.5" customHeight="1">
      <c r="A926" s="106"/>
      <c r="B926" s="106"/>
      <c r="C926" s="107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  <c r="V926" s="101"/>
      <c r="W926" s="101"/>
      <c r="X926" s="101"/>
      <c r="Y926" s="101"/>
      <c r="Z926" s="101"/>
    </row>
    <row r="927" spans="1:26" ht="16.5" customHeight="1">
      <c r="A927" s="106"/>
      <c r="B927" s="106"/>
      <c r="C927" s="107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  <c r="V927" s="101"/>
      <c r="W927" s="101"/>
      <c r="X927" s="101"/>
      <c r="Y927" s="101"/>
      <c r="Z927" s="101"/>
    </row>
    <row r="928" spans="1:26" ht="16.5" customHeight="1">
      <c r="A928" s="106"/>
      <c r="B928" s="106"/>
      <c r="C928" s="107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  <c r="V928" s="101"/>
      <c r="W928" s="101"/>
      <c r="X928" s="101"/>
      <c r="Y928" s="101"/>
      <c r="Z928" s="101"/>
    </row>
    <row r="929" spans="1:26" ht="16.5" customHeight="1">
      <c r="A929" s="106"/>
      <c r="B929" s="106"/>
      <c r="C929" s="107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  <c r="V929" s="101"/>
      <c r="W929" s="101"/>
      <c r="X929" s="101"/>
      <c r="Y929" s="101"/>
      <c r="Z929" s="101"/>
    </row>
    <row r="930" spans="1:26" ht="16.5" customHeight="1">
      <c r="A930" s="106"/>
      <c r="B930" s="106"/>
      <c r="C930" s="107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  <c r="V930" s="101"/>
      <c r="W930" s="101"/>
      <c r="X930" s="101"/>
      <c r="Y930" s="101"/>
      <c r="Z930" s="101"/>
    </row>
    <row r="931" spans="1:26" ht="16.5" customHeight="1">
      <c r="A931" s="106"/>
      <c r="B931" s="106"/>
      <c r="C931" s="107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  <c r="V931" s="101"/>
      <c r="W931" s="101"/>
      <c r="X931" s="101"/>
      <c r="Y931" s="101"/>
      <c r="Z931" s="101"/>
    </row>
    <row r="932" spans="1:26" ht="16.5" customHeight="1">
      <c r="A932" s="106"/>
      <c r="B932" s="106"/>
      <c r="C932" s="107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  <c r="V932" s="101"/>
      <c r="W932" s="101"/>
      <c r="X932" s="101"/>
      <c r="Y932" s="101"/>
      <c r="Z932" s="101"/>
    </row>
    <row r="933" spans="1:26" ht="16.5" customHeight="1">
      <c r="A933" s="106"/>
      <c r="B933" s="106"/>
      <c r="C933" s="107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  <c r="V933" s="101"/>
      <c r="W933" s="101"/>
      <c r="X933" s="101"/>
      <c r="Y933" s="101"/>
      <c r="Z933" s="101"/>
    </row>
    <row r="934" spans="1:26" ht="16.5" customHeight="1">
      <c r="A934" s="106"/>
      <c r="B934" s="106"/>
      <c r="C934" s="107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  <c r="V934" s="101"/>
      <c r="W934" s="101"/>
      <c r="X934" s="101"/>
      <c r="Y934" s="101"/>
      <c r="Z934" s="101"/>
    </row>
    <row r="935" spans="1:26" ht="16.5" customHeight="1">
      <c r="A935" s="106"/>
      <c r="B935" s="106"/>
      <c r="C935" s="107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  <c r="V935" s="101"/>
      <c r="W935" s="101"/>
      <c r="X935" s="101"/>
      <c r="Y935" s="101"/>
      <c r="Z935" s="101"/>
    </row>
    <row r="936" spans="1:26" ht="16.5" customHeight="1">
      <c r="A936" s="106"/>
      <c r="B936" s="106"/>
      <c r="C936" s="107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  <c r="V936" s="101"/>
      <c r="W936" s="101"/>
      <c r="X936" s="101"/>
      <c r="Y936" s="101"/>
      <c r="Z936" s="101"/>
    </row>
    <row r="937" spans="1:26" ht="16.5" customHeight="1">
      <c r="A937" s="106"/>
      <c r="B937" s="106"/>
      <c r="C937" s="107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  <c r="V937" s="101"/>
      <c r="W937" s="101"/>
      <c r="X937" s="101"/>
      <c r="Y937" s="101"/>
      <c r="Z937" s="101"/>
    </row>
    <row r="938" spans="1:26" ht="16.5" customHeight="1">
      <c r="A938" s="106"/>
      <c r="B938" s="106"/>
      <c r="C938" s="107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</row>
    <row r="939" spans="1:26" ht="16.5" customHeight="1">
      <c r="A939" s="106"/>
      <c r="B939" s="106"/>
      <c r="C939" s="107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  <c r="V939" s="101"/>
      <c r="W939" s="101"/>
      <c r="X939" s="101"/>
      <c r="Y939" s="101"/>
      <c r="Z939" s="101"/>
    </row>
    <row r="940" spans="1:26" ht="16.5" customHeight="1">
      <c r="A940" s="106"/>
      <c r="B940" s="106"/>
      <c r="C940" s="107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  <c r="V940" s="101"/>
      <c r="W940" s="101"/>
      <c r="X940" s="101"/>
      <c r="Y940" s="101"/>
      <c r="Z940" s="101"/>
    </row>
    <row r="941" spans="1:26" ht="16.5" customHeight="1">
      <c r="A941" s="106"/>
      <c r="B941" s="106"/>
      <c r="C941" s="107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  <c r="V941" s="101"/>
      <c r="W941" s="101"/>
      <c r="X941" s="101"/>
      <c r="Y941" s="101"/>
      <c r="Z941" s="101"/>
    </row>
    <row r="942" spans="1:26" ht="16.5" customHeight="1">
      <c r="A942" s="106"/>
      <c r="B942" s="106"/>
      <c r="C942" s="107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  <c r="V942" s="101"/>
      <c r="W942" s="101"/>
      <c r="X942" s="101"/>
      <c r="Y942" s="101"/>
      <c r="Z942" s="101"/>
    </row>
    <row r="943" spans="1:26" ht="16.5" customHeight="1">
      <c r="A943" s="106"/>
      <c r="B943" s="106"/>
      <c r="C943" s="107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  <c r="V943" s="101"/>
      <c r="W943" s="101"/>
      <c r="X943" s="101"/>
      <c r="Y943" s="101"/>
      <c r="Z943" s="101"/>
    </row>
    <row r="944" spans="1:26" ht="16.5" customHeight="1">
      <c r="A944" s="106"/>
      <c r="B944" s="106"/>
      <c r="C944" s="107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  <c r="V944" s="101"/>
      <c r="W944" s="101"/>
      <c r="X944" s="101"/>
      <c r="Y944" s="101"/>
      <c r="Z944" s="101"/>
    </row>
    <row r="945" spans="1:26" ht="16.5" customHeight="1">
      <c r="A945" s="106"/>
      <c r="B945" s="106"/>
      <c r="C945" s="107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  <c r="V945" s="101"/>
      <c r="W945" s="101"/>
      <c r="X945" s="101"/>
      <c r="Y945" s="101"/>
      <c r="Z945" s="101"/>
    </row>
    <row r="946" spans="1:26" ht="16.5" customHeight="1">
      <c r="A946" s="106"/>
      <c r="B946" s="106"/>
      <c r="C946" s="107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  <c r="V946" s="101"/>
      <c r="W946" s="101"/>
      <c r="X946" s="101"/>
      <c r="Y946" s="101"/>
      <c r="Z946" s="101"/>
    </row>
    <row r="947" spans="1:26" ht="16.5" customHeight="1">
      <c r="A947" s="106"/>
      <c r="B947" s="106"/>
      <c r="C947" s="107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  <c r="V947" s="101"/>
      <c r="W947" s="101"/>
      <c r="X947" s="101"/>
      <c r="Y947" s="101"/>
      <c r="Z947" s="101"/>
    </row>
    <row r="948" spans="1:26" ht="16.5" customHeight="1">
      <c r="A948" s="106"/>
      <c r="B948" s="106"/>
      <c r="C948" s="107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  <c r="V948" s="101"/>
      <c r="W948" s="101"/>
      <c r="X948" s="101"/>
      <c r="Y948" s="101"/>
      <c r="Z948" s="101"/>
    </row>
    <row r="949" spans="1:26" ht="16.5" customHeight="1">
      <c r="A949" s="106"/>
      <c r="B949" s="106"/>
      <c r="C949" s="107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  <c r="V949" s="101"/>
      <c r="W949" s="101"/>
      <c r="X949" s="101"/>
      <c r="Y949" s="101"/>
      <c r="Z949" s="101"/>
    </row>
    <row r="950" spans="1:26" ht="16.5" customHeight="1">
      <c r="A950" s="106"/>
      <c r="B950" s="106"/>
      <c r="C950" s="107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  <c r="V950" s="101"/>
      <c r="W950" s="101"/>
      <c r="X950" s="101"/>
      <c r="Y950" s="101"/>
      <c r="Z950" s="101"/>
    </row>
    <row r="951" spans="1:26" ht="16.5" customHeight="1">
      <c r="A951" s="106"/>
      <c r="B951" s="106"/>
      <c r="C951" s="107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  <c r="V951" s="101"/>
      <c r="W951" s="101"/>
      <c r="X951" s="101"/>
      <c r="Y951" s="101"/>
      <c r="Z951" s="101"/>
    </row>
    <row r="952" spans="1:26" ht="16.5" customHeight="1">
      <c r="A952" s="106"/>
      <c r="B952" s="106"/>
      <c r="C952" s="107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  <c r="V952" s="101"/>
      <c r="W952" s="101"/>
      <c r="X952" s="101"/>
      <c r="Y952" s="101"/>
      <c r="Z952" s="101"/>
    </row>
    <row r="953" spans="1:26" ht="16.5" customHeight="1">
      <c r="A953" s="106"/>
      <c r="B953" s="106"/>
      <c r="C953" s="107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  <c r="V953" s="101"/>
      <c r="W953" s="101"/>
      <c r="X953" s="101"/>
      <c r="Y953" s="101"/>
      <c r="Z953" s="101"/>
    </row>
    <row r="954" spans="1:26" ht="16.5" customHeight="1">
      <c r="A954" s="106"/>
      <c r="B954" s="106"/>
      <c r="C954" s="107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  <c r="V954" s="101"/>
      <c r="W954" s="101"/>
      <c r="X954" s="101"/>
      <c r="Y954" s="101"/>
      <c r="Z954" s="101"/>
    </row>
    <row r="955" spans="1:26" ht="16.5" customHeight="1">
      <c r="A955" s="106"/>
      <c r="B955" s="106"/>
      <c r="C955" s="107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</row>
    <row r="956" spans="1:26" ht="16.5" customHeight="1">
      <c r="A956" s="106"/>
      <c r="B956" s="106"/>
      <c r="C956" s="107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  <c r="V956" s="101"/>
      <c r="W956" s="101"/>
      <c r="X956" s="101"/>
      <c r="Y956" s="101"/>
      <c r="Z956" s="101"/>
    </row>
    <row r="957" spans="1:26" ht="16.5" customHeight="1">
      <c r="A957" s="106"/>
      <c r="B957" s="106"/>
      <c r="C957" s="107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  <c r="V957" s="101"/>
      <c r="W957" s="101"/>
      <c r="X957" s="101"/>
      <c r="Y957" s="101"/>
      <c r="Z957" s="101"/>
    </row>
    <row r="958" spans="1:26" ht="16.5" customHeight="1">
      <c r="A958" s="106"/>
      <c r="B958" s="106"/>
      <c r="C958" s="107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  <c r="V958" s="101"/>
      <c r="W958" s="101"/>
      <c r="X958" s="101"/>
      <c r="Y958" s="101"/>
      <c r="Z958" s="101"/>
    </row>
    <row r="959" spans="1:26" ht="16.5" customHeight="1">
      <c r="A959" s="106"/>
      <c r="B959" s="106"/>
      <c r="C959" s="107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  <c r="V959" s="101"/>
      <c r="W959" s="101"/>
      <c r="X959" s="101"/>
      <c r="Y959" s="101"/>
      <c r="Z959" s="101"/>
    </row>
    <row r="960" spans="1:26" ht="16.5" customHeight="1">
      <c r="A960" s="106"/>
      <c r="B960" s="106"/>
      <c r="C960" s="107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  <c r="V960" s="101"/>
      <c r="W960" s="101"/>
      <c r="X960" s="101"/>
      <c r="Y960" s="101"/>
      <c r="Z960" s="101"/>
    </row>
    <row r="961" spans="1:26" ht="16.5" customHeight="1">
      <c r="A961" s="106"/>
      <c r="B961" s="106"/>
      <c r="C961" s="107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  <c r="V961" s="101"/>
      <c r="W961" s="101"/>
      <c r="X961" s="101"/>
      <c r="Y961" s="101"/>
      <c r="Z961" s="101"/>
    </row>
    <row r="962" spans="1:26" ht="16.5" customHeight="1">
      <c r="A962" s="106"/>
      <c r="B962" s="106"/>
      <c r="C962" s="107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  <c r="V962" s="101"/>
      <c r="W962" s="101"/>
      <c r="X962" s="101"/>
      <c r="Y962" s="101"/>
      <c r="Z962" s="101"/>
    </row>
    <row r="963" spans="1:26" ht="16.5" customHeight="1">
      <c r="A963" s="106"/>
      <c r="B963" s="106"/>
      <c r="C963" s="107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  <c r="V963" s="101"/>
      <c r="W963" s="101"/>
      <c r="X963" s="101"/>
      <c r="Y963" s="101"/>
      <c r="Z963" s="101"/>
    </row>
    <row r="964" spans="1:26" ht="16.5" customHeight="1">
      <c r="A964" s="106"/>
      <c r="B964" s="106"/>
      <c r="C964" s="107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  <c r="V964" s="101"/>
      <c r="W964" s="101"/>
      <c r="X964" s="101"/>
      <c r="Y964" s="101"/>
      <c r="Z964" s="101"/>
    </row>
    <row r="965" spans="1:26" ht="16.5" customHeight="1">
      <c r="A965" s="106"/>
      <c r="B965" s="106"/>
      <c r="C965" s="107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  <c r="V965" s="101"/>
      <c r="W965" s="101"/>
      <c r="X965" s="101"/>
      <c r="Y965" s="101"/>
      <c r="Z965" s="101"/>
    </row>
    <row r="966" spans="1:26" ht="16.5" customHeight="1">
      <c r="A966" s="106"/>
      <c r="B966" s="106"/>
      <c r="C966" s="107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  <c r="V966" s="101"/>
      <c r="W966" s="101"/>
      <c r="X966" s="101"/>
      <c r="Y966" s="101"/>
      <c r="Z966" s="101"/>
    </row>
    <row r="967" spans="1:26" ht="16.5" customHeight="1">
      <c r="A967" s="106"/>
      <c r="B967" s="106"/>
      <c r="C967" s="107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  <c r="V967" s="101"/>
      <c r="W967" s="101"/>
      <c r="X967" s="101"/>
      <c r="Y967" s="101"/>
      <c r="Z967" s="101"/>
    </row>
    <row r="968" spans="1:26" ht="16.5" customHeight="1">
      <c r="A968" s="106"/>
      <c r="B968" s="106"/>
      <c r="C968" s="107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  <c r="V968" s="101"/>
      <c r="W968" s="101"/>
      <c r="X968" s="101"/>
      <c r="Y968" s="101"/>
      <c r="Z968" s="101"/>
    </row>
    <row r="969" spans="1:26" ht="16.5" customHeight="1">
      <c r="A969" s="106"/>
      <c r="B969" s="106"/>
      <c r="C969" s="107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  <c r="V969" s="101"/>
      <c r="W969" s="101"/>
      <c r="X969" s="101"/>
      <c r="Y969" s="101"/>
      <c r="Z969" s="101"/>
    </row>
    <row r="970" spans="1:26" ht="16.5" customHeight="1">
      <c r="A970" s="106"/>
      <c r="B970" s="106"/>
      <c r="C970" s="107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  <c r="V970" s="101"/>
      <c r="W970" s="101"/>
      <c r="X970" s="101"/>
      <c r="Y970" s="101"/>
      <c r="Z970" s="101"/>
    </row>
    <row r="971" spans="1:26" ht="16.5" customHeight="1">
      <c r="A971" s="106"/>
      <c r="B971" s="106"/>
      <c r="C971" s="107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  <c r="V971" s="101"/>
      <c r="W971" s="101"/>
      <c r="X971" s="101"/>
      <c r="Y971" s="101"/>
      <c r="Z971" s="101"/>
    </row>
    <row r="972" spans="1:26" ht="16.5" customHeight="1">
      <c r="A972" s="106"/>
      <c r="B972" s="106"/>
      <c r="C972" s="107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</row>
    <row r="973" spans="1:26" ht="16.5" customHeight="1">
      <c r="A973" s="106"/>
      <c r="B973" s="106"/>
      <c r="C973" s="107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  <c r="V973" s="101"/>
      <c r="W973" s="101"/>
      <c r="X973" s="101"/>
      <c r="Y973" s="101"/>
      <c r="Z973" s="101"/>
    </row>
    <row r="974" spans="1:26" ht="16.5" customHeight="1">
      <c r="A974" s="106"/>
      <c r="B974" s="106"/>
      <c r="C974" s="107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  <c r="V974" s="101"/>
      <c r="W974" s="101"/>
      <c r="X974" s="101"/>
      <c r="Y974" s="101"/>
      <c r="Z974" s="101"/>
    </row>
    <row r="975" spans="1:26" ht="16.5" customHeight="1">
      <c r="A975" s="106"/>
      <c r="B975" s="106"/>
      <c r="C975" s="107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  <c r="V975" s="101"/>
      <c r="W975" s="101"/>
      <c r="X975" s="101"/>
      <c r="Y975" s="101"/>
      <c r="Z975" s="101"/>
    </row>
    <row r="976" spans="1:26" ht="16.5" customHeight="1">
      <c r="A976" s="106"/>
      <c r="B976" s="106"/>
      <c r="C976" s="107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  <c r="V976" s="101"/>
      <c r="W976" s="101"/>
      <c r="X976" s="101"/>
      <c r="Y976" s="101"/>
      <c r="Z976" s="101"/>
    </row>
    <row r="977" spans="1:26" ht="16.5" customHeight="1">
      <c r="A977" s="106"/>
      <c r="B977" s="106"/>
      <c r="C977" s="107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  <c r="V977" s="101"/>
      <c r="W977" s="101"/>
      <c r="X977" s="101"/>
      <c r="Y977" s="101"/>
      <c r="Z977" s="101"/>
    </row>
    <row r="978" spans="1:26" ht="16.5" customHeight="1">
      <c r="A978" s="106"/>
      <c r="B978" s="106"/>
      <c r="C978" s="107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</row>
    <row r="979" spans="1:26" ht="16.5" customHeight="1">
      <c r="A979" s="106"/>
      <c r="B979" s="106"/>
      <c r="C979" s="107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  <c r="V979" s="101"/>
      <c r="W979" s="101"/>
      <c r="X979" s="101"/>
      <c r="Y979" s="101"/>
      <c r="Z979" s="101"/>
    </row>
    <row r="980" spans="1:26" ht="16.5" customHeight="1">
      <c r="A980" s="106"/>
      <c r="B980" s="106"/>
      <c r="C980" s="107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  <c r="V980" s="101"/>
      <c r="W980" s="101"/>
      <c r="X980" s="101"/>
      <c r="Y980" s="101"/>
      <c r="Z980" s="101"/>
    </row>
    <row r="981" spans="1:26" ht="16.5" customHeight="1">
      <c r="A981" s="106"/>
      <c r="B981" s="106"/>
      <c r="C981" s="107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  <c r="V981" s="101"/>
      <c r="W981" s="101"/>
      <c r="X981" s="101"/>
      <c r="Y981" s="101"/>
      <c r="Z981" s="101"/>
    </row>
    <row r="982" spans="1:26" ht="16.5" customHeight="1">
      <c r="A982" s="106"/>
      <c r="B982" s="106"/>
      <c r="C982" s="107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  <c r="V982" s="101"/>
      <c r="W982" s="101"/>
      <c r="X982" s="101"/>
      <c r="Y982" s="101"/>
      <c r="Z982" s="101"/>
    </row>
    <row r="983" spans="1:26" ht="16.5" customHeight="1">
      <c r="A983" s="106"/>
      <c r="B983" s="106"/>
      <c r="C983" s="107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  <c r="V983" s="101"/>
      <c r="W983" s="101"/>
      <c r="X983" s="101"/>
      <c r="Y983" s="101"/>
      <c r="Z983" s="101"/>
    </row>
    <row r="984" spans="1:26" ht="16.5" customHeight="1">
      <c r="A984" s="106"/>
      <c r="B984" s="106"/>
      <c r="C984" s="107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  <c r="T984" s="101"/>
      <c r="U984" s="101"/>
      <c r="V984" s="101"/>
      <c r="W984" s="101"/>
      <c r="X984" s="101"/>
      <c r="Y984" s="101"/>
      <c r="Z984" s="101"/>
    </row>
    <row r="985" spans="1:26" ht="16.5" customHeight="1">
      <c r="A985" s="106"/>
      <c r="B985" s="106"/>
      <c r="C985" s="107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  <c r="T985" s="101"/>
      <c r="U985" s="101"/>
      <c r="V985" s="101"/>
      <c r="W985" s="101"/>
      <c r="X985" s="101"/>
      <c r="Y985" s="101"/>
      <c r="Z985" s="101"/>
    </row>
    <row r="986" spans="1:26" ht="16.5" customHeight="1">
      <c r="A986" s="106"/>
      <c r="B986" s="106"/>
      <c r="C986" s="107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  <c r="T986" s="101"/>
      <c r="U986" s="101"/>
      <c r="V986" s="101"/>
      <c r="W986" s="101"/>
      <c r="X986" s="101"/>
      <c r="Y986" s="101"/>
      <c r="Z986" s="101"/>
    </row>
    <row r="987" spans="1:26" ht="16.5" customHeight="1">
      <c r="A987" s="106"/>
      <c r="B987" s="106"/>
      <c r="C987" s="107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  <c r="T987" s="101"/>
      <c r="U987" s="101"/>
      <c r="V987" s="101"/>
      <c r="W987" s="101"/>
      <c r="X987" s="101"/>
      <c r="Y987" s="101"/>
      <c r="Z987" s="101"/>
    </row>
    <row r="988" spans="1:26" ht="16.5" customHeight="1">
      <c r="A988" s="106"/>
      <c r="B988" s="106"/>
      <c r="C988" s="107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  <c r="T988" s="101"/>
      <c r="U988" s="101"/>
      <c r="V988" s="101"/>
      <c r="W988" s="101"/>
      <c r="X988" s="101"/>
      <c r="Y988" s="101"/>
      <c r="Z988" s="101"/>
    </row>
    <row r="989" spans="1:26" ht="16.5" customHeight="1">
      <c r="A989" s="106"/>
      <c r="B989" s="106"/>
      <c r="C989" s="107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</row>
    <row r="990" spans="1:26" ht="16.5" customHeight="1">
      <c r="A990" s="106"/>
      <c r="B990" s="106"/>
      <c r="C990" s="107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  <c r="T990" s="101"/>
      <c r="U990" s="101"/>
      <c r="V990" s="101"/>
      <c r="W990" s="101"/>
      <c r="X990" s="101"/>
      <c r="Y990" s="101"/>
      <c r="Z990" s="101"/>
    </row>
    <row r="991" spans="1:26" ht="16.5" customHeight="1">
      <c r="A991" s="106"/>
      <c r="B991" s="106"/>
      <c r="C991" s="107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  <c r="T991" s="101"/>
      <c r="U991" s="101"/>
      <c r="V991" s="101"/>
      <c r="W991" s="101"/>
      <c r="X991" s="101"/>
      <c r="Y991" s="101"/>
      <c r="Z991" s="101"/>
    </row>
    <row r="992" spans="1:26" ht="16.5" customHeight="1">
      <c r="A992" s="106"/>
      <c r="B992" s="106"/>
      <c r="C992" s="107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  <c r="T992" s="101"/>
      <c r="U992" s="101"/>
      <c r="V992" s="101"/>
      <c r="W992" s="101"/>
      <c r="X992" s="101"/>
      <c r="Y992" s="101"/>
      <c r="Z992" s="101"/>
    </row>
    <row r="993" spans="1:26" ht="16.5" customHeight="1">
      <c r="A993" s="106"/>
      <c r="B993" s="106"/>
      <c r="C993" s="107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  <c r="T993" s="101"/>
      <c r="U993" s="101"/>
      <c r="V993" s="101"/>
      <c r="W993" s="101"/>
      <c r="X993" s="101"/>
      <c r="Y993" s="101"/>
      <c r="Z993" s="101"/>
    </row>
    <row r="994" spans="1:26" ht="16.5" customHeight="1">
      <c r="A994" s="106"/>
      <c r="B994" s="106"/>
      <c r="C994" s="107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  <c r="T994" s="101"/>
      <c r="U994" s="101"/>
      <c r="V994" s="101"/>
      <c r="W994" s="101"/>
      <c r="X994" s="101"/>
      <c r="Y994" s="101"/>
      <c r="Z994" s="101"/>
    </row>
    <row r="995" spans="1:26" ht="16.5" customHeight="1">
      <c r="A995" s="106"/>
      <c r="B995" s="106"/>
      <c r="C995" s="107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  <c r="T995" s="101"/>
      <c r="U995" s="101"/>
      <c r="V995" s="101"/>
      <c r="W995" s="101"/>
      <c r="X995" s="101"/>
      <c r="Y995" s="101"/>
      <c r="Z995" s="101"/>
    </row>
    <row r="996" spans="1:26" ht="16.5" customHeight="1">
      <c r="A996" s="106"/>
      <c r="B996" s="106"/>
      <c r="C996" s="107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  <c r="T996" s="101"/>
      <c r="U996" s="101"/>
      <c r="V996" s="101"/>
      <c r="W996" s="101"/>
      <c r="X996" s="101"/>
      <c r="Y996" s="101"/>
      <c r="Z996" s="101"/>
    </row>
    <row r="997" spans="1:26" ht="16.5" customHeight="1">
      <c r="A997" s="106"/>
      <c r="B997" s="106"/>
      <c r="C997" s="107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  <c r="T997" s="101"/>
      <c r="U997" s="101"/>
      <c r="V997" s="101"/>
      <c r="W997" s="101"/>
      <c r="X997" s="101"/>
      <c r="Y997" s="101"/>
      <c r="Z997" s="101"/>
    </row>
    <row r="998" spans="1:26" ht="16.5" customHeight="1">
      <c r="A998" s="106"/>
      <c r="B998" s="106"/>
      <c r="C998" s="107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  <c r="T998" s="101"/>
      <c r="U998" s="101"/>
      <c r="V998" s="101"/>
      <c r="W998" s="101"/>
      <c r="X998" s="101"/>
      <c r="Y998" s="101"/>
      <c r="Z998" s="101"/>
    </row>
    <row r="999" spans="1:26" ht="16.5" customHeight="1">
      <c r="A999" s="106"/>
      <c r="B999" s="106"/>
      <c r="C999" s="107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  <c r="T999" s="101"/>
      <c r="U999" s="101"/>
      <c r="V999" s="101"/>
      <c r="W999" s="101"/>
      <c r="X999" s="101"/>
      <c r="Y999" s="101"/>
      <c r="Z999" s="101"/>
    </row>
    <row r="1000" spans="1:26" ht="16.5" customHeight="1">
      <c r="A1000" s="106"/>
      <c r="B1000" s="106"/>
      <c r="C1000" s="107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  <c r="T1000" s="101"/>
      <c r="U1000" s="101"/>
      <c r="V1000" s="101"/>
      <c r="W1000" s="101"/>
      <c r="X1000" s="101"/>
      <c r="Y1000" s="101"/>
      <c r="Z1000" s="101"/>
    </row>
  </sheetData>
  <mergeCells count="1">
    <mergeCell ref="A1:C1"/>
  </mergeCells>
  <phoneticPr fontId="12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102</vt:i4>
      </vt:variant>
    </vt:vector>
  </HeadingPairs>
  <TitlesOfParts>
    <vt:vector size="112" baseType="lpstr">
      <vt:lpstr>Params</vt:lpstr>
      <vt:lpstr>PSV</vt:lpstr>
      <vt:lpstr>OrificeSize</vt:lpstr>
      <vt:lpstr>PSVSize_Spring</vt:lpstr>
      <vt:lpstr>PSVSize_Pilot</vt:lpstr>
      <vt:lpstr>PipeID</vt:lpstr>
      <vt:lpstr>KFactor</vt:lpstr>
      <vt:lpstr>Formula</vt:lpstr>
      <vt:lpstr>KSH</vt:lpstr>
      <vt:lpstr>RevNote</vt:lpstr>
      <vt:lpstr>AllowOverPres</vt:lpstr>
      <vt:lpstr>Areq</vt:lpstr>
      <vt:lpstr>Asel</vt:lpstr>
      <vt:lpstr>CalcEquivLengthDesign</vt:lpstr>
      <vt:lpstr>CalculationMode</vt:lpstr>
      <vt:lpstr>Density</vt:lpstr>
      <vt:lpstr>DwgNo</vt:lpstr>
      <vt:lpstr>Fluid</vt:lpstr>
      <vt:lpstr>InletAllowEL</vt:lpstr>
      <vt:lpstr>InletIsPass</vt:lpstr>
      <vt:lpstr>InletLine45Elbow</vt:lpstr>
      <vt:lpstr>InletLine45ElbowDesign</vt:lpstr>
      <vt:lpstr>InletLine90Elobw</vt:lpstr>
      <vt:lpstr>InletLine90ElobwDesign</vt:lpstr>
      <vt:lpstr>InletLineCalcEquivLength</vt:lpstr>
      <vt:lpstr>InletLineClass</vt:lpstr>
      <vt:lpstr>InletLineClassDesign</vt:lpstr>
      <vt:lpstr>InletLineEL</vt:lpstr>
      <vt:lpstr>InletLineELDesign</vt:lpstr>
      <vt:lpstr>InletLineGateValve</vt:lpstr>
      <vt:lpstr>InletLineGateValveDesign</vt:lpstr>
      <vt:lpstr>InletLineID</vt:lpstr>
      <vt:lpstr>InletLineLength</vt:lpstr>
      <vt:lpstr>InletLineLengthDesign</vt:lpstr>
      <vt:lpstr>InletLineReducer</vt:lpstr>
      <vt:lpstr>InletLineReducerDesign</vt:lpstr>
      <vt:lpstr>InletLineRupDisk</vt:lpstr>
      <vt:lpstr>InletLineRupDiskDesign</vt:lpstr>
      <vt:lpstr>InletLineSize</vt:lpstr>
      <vt:lpstr>InletLineTeeBranch</vt:lpstr>
      <vt:lpstr>InletLineTeeBranchDesign</vt:lpstr>
      <vt:lpstr>InletLineTeeLine</vt:lpstr>
      <vt:lpstr>InletLineTeeLineDesign</vt:lpstr>
      <vt:lpstr>InletPresDrop</vt:lpstr>
      <vt:lpstr>InletPresDropPerLength</vt:lpstr>
      <vt:lpstr>InletVelocity</vt:lpstr>
      <vt:lpstr>k</vt:lpstr>
      <vt:lpstr>Kb</vt:lpstr>
      <vt:lpstr>Kc</vt:lpstr>
      <vt:lpstr>Kd</vt:lpstr>
      <vt:lpstr>KN</vt:lpstr>
      <vt:lpstr>Kp</vt:lpstr>
      <vt:lpstr>KSH</vt:lpstr>
      <vt:lpstr>Kv</vt:lpstr>
      <vt:lpstr>Kw</vt:lpstr>
      <vt:lpstr>LineSizingFlowrate</vt:lpstr>
      <vt:lpstr>M</vt:lpstr>
      <vt:lpstr>MABPforBellows</vt:lpstr>
      <vt:lpstr>MaxBP</vt:lpstr>
      <vt:lpstr>MaxMaNoDesign</vt:lpstr>
      <vt:lpstr>MinBP</vt:lpstr>
      <vt:lpstr>mu</vt:lpstr>
      <vt:lpstr>NoPSV</vt:lpstr>
      <vt:lpstr>OutletAllowEL</vt:lpstr>
      <vt:lpstr>OutletCalBP</vt:lpstr>
      <vt:lpstr>OutletIsPass</vt:lpstr>
      <vt:lpstr>OutletLine45Elbow</vt:lpstr>
      <vt:lpstr>OutletLine45ElbowDesign</vt:lpstr>
      <vt:lpstr>OutletLine90Elobw</vt:lpstr>
      <vt:lpstr>OutletLine90ElobwDesign</vt:lpstr>
      <vt:lpstr>OutletLineCalcEquivLength</vt:lpstr>
      <vt:lpstr>OutletLineClass</vt:lpstr>
      <vt:lpstr>OutletLineClassDesign</vt:lpstr>
      <vt:lpstr>OutletLineDualConnections</vt:lpstr>
      <vt:lpstr>OutletLineEL</vt:lpstr>
      <vt:lpstr>OutletLineELDesign</vt:lpstr>
      <vt:lpstr>OutletLineGateValve</vt:lpstr>
      <vt:lpstr>OutletLineGateValveDesign</vt:lpstr>
      <vt:lpstr>OutletLineID</vt:lpstr>
      <vt:lpstr>OutletLineLength</vt:lpstr>
      <vt:lpstr>OutletLineLengthDesign</vt:lpstr>
      <vt:lpstr>OutletLineReducer</vt:lpstr>
      <vt:lpstr>OutletLineReducerDesign</vt:lpstr>
      <vt:lpstr>OutletLineSize</vt:lpstr>
      <vt:lpstr>OutletLineTeeBranch</vt:lpstr>
      <vt:lpstr>OutletLineTeeBranchDesign</vt:lpstr>
      <vt:lpstr>OutletLineTeeLine</vt:lpstr>
      <vt:lpstr>OutletLineTeeLineDesign</vt:lpstr>
      <vt:lpstr>OutletMABP</vt:lpstr>
      <vt:lpstr>OutletMaNo</vt:lpstr>
      <vt:lpstr>OutletMaxAllowableVelocity</vt:lpstr>
      <vt:lpstr>OutletPresDrop</vt:lpstr>
      <vt:lpstr>OutletPresDropPerLength</vt:lpstr>
      <vt:lpstr>OutletSonicVelocity</vt:lpstr>
      <vt:lpstr>OutletVelocity</vt:lpstr>
      <vt:lpstr>OutletVelocityForMinBP</vt:lpstr>
      <vt:lpstr>PSVClass</vt:lpstr>
      <vt:lpstr>PSVMaterial</vt:lpstr>
      <vt:lpstr>PSVMaterialDesign</vt:lpstr>
      <vt:lpstr>PSVSize</vt:lpstr>
      <vt:lpstr>PSVType</vt:lpstr>
      <vt:lpstr>RatioOfMaxBP</vt:lpstr>
      <vt:lpstr>SetP</vt:lpstr>
      <vt:lpstr>SetPresX3P</vt:lpstr>
      <vt:lpstr>SF</vt:lpstr>
      <vt:lpstr>State</vt:lpstr>
      <vt:lpstr>T</vt:lpstr>
      <vt:lpstr>TagNo</vt:lpstr>
      <vt:lpstr>UsePSVRatedCapacity</vt:lpstr>
      <vt:lpstr>W</vt:lpstr>
      <vt:lpstr>WithRupDisk</vt:lpstr>
      <vt:lpstr>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41631</dc:creator>
  <cp:lastModifiedBy>琍涵 楊</cp:lastModifiedBy>
  <dcterms:created xsi:type="dcterms:W3CDTF">2004-07-15T02:56:16Z</dcterms:created>
  <dcterms:modified xsi:type="dcterms:W3CDTF">2025-07-20T14:29:40Z</dcterms:modified>
</cp:coreProperties>
</file>